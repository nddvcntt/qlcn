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xml"/>
  <Override ContentType="application/vnd.openxmlformats-officedocument.spreadsheetml.table+xml" PartName="/xl/tables/table7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18.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78.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90.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ập Hàng" sheetId="1" r:id="rId5"/>
    <sheet state="visible" name="Chi Phí" sheetId="2" r:id="rId6"/>
    <sheet state="visible" name="Giá NhậpXuất" sheetId="3" r:id="rId7"/>
    <sheet state="visible" name="Lương NV" sheetId="4" r:id="rId8"/>
    <sheet state="visible" name="Nhập hàng New" sheetId="5" r:id="rId9"/>
    <sheet state="visible" name="Nhật ký bán hàng T4" sheetId="6" r:id="rId10"/>
    <sheet state="visible" name="Nhật ký bán hàng T3" sheetId="7" r:id="rId11"/>
    <sheet state="visible" name="Lương&amp;Thưởng" sheetId="8" r:id="rId12"/>
  </sheets>
  <definedNames>
    <definedName hidden="1" localSheetId="5" name="_xlnm._FilterDatabase">'Nhật ký bán hàng T4'!$A$1:$L$949</definedName>
    <definedName hidden="1" localSheetId="6" name="_xlnm._FilterDatabase">'Nhật ký bán hàng T3'!$A$1:$L$949</definedName>
  </definedNames>
  <calcPr/>
</workbook>
</file>

<file path=xl/sharedStrings.xml><?xml version="1.0" encoding="utf-8"?>
<sst xmlns="http://schemas.openxmlformats.org/spreadsheetml/2006/main" count="11173" uniqueCount="309">
  <si>
    <t>Vốn</t>
  </si>
  <si>
    <t>Nhập</t>
  </si>
  <si>
    <t>Tặng</t>
  </si>
  <si>
    <t>Thành tiền</t>
  </si>
  <si>
    <t>Thanh cua trứng Mayo</t>
  </si>
  <si>
    <t xml:space="preserve">🧀Pate phô mai kéo sợi </t>
  </si>
  <si>
    <t>🐷Heo cao bồi xúc xích</t>
  </si>
  <si>
    <t xml:space="preserve">🐔Gà tomyum </t>
  </si>
  <si>
    <t xml:space="preserve">🐔 Gà teriyaki </t>
  </si>
  <si>
    <t xml:space="preserve">🐮Bò BBQ </t>
  </si>
  <si>
    <t xml:space="preserve">🦐Tôm đút lò </t>
  </si>
  <si>
    <t xml:space="preserve">🎏Cá ngừ </t>
  </si>
  <si>
    <t xml:space="preserve">🥘Chả cá xốt cay </t>
  </si>
  <si>
    <t xml:space="preserve">🌮 Trứng xúc xích mayo </t>
  </si>
  <si>
    <t xml:space="preserve">🍣Cá hồi mayo </t>
  </si>
  <si>
    <t>🌭 Xúc xích siêu phomai</t>
  </si>
  <si>
    <t>Tổng</t>
  </si>
  <si>
    <t>Bán</t>
  </si>
  <si>
    <t>Chi Phí</t>
  </si>
  <si>
    <t>Cố định</t>
  </si>
  <si>
    <t>Tổng CP</t>
  </si>
  <si>
    <t>Đơn giá</t>
  </si>
  <si>
    <t>Số lượng</t>
  </si>
  <si>
    <t>Đồng phục</t>
  </si>
  <si>
    <t>Quầy Kệ</t>
  </si>
  <si>
    <t>Tờ Rơi</t>
  </si>
  <si>
    <t>Túi mù</t>
  </si>
  <si>
    <t>Lego</t>
  </si>
  <si>
    <t>Lò vi sóng</t>
  </si>
  <si>
    <t>Thùng đá</t>
  </si>
  <si>
    <t>Lò vi sóng 3</t>
  </si>
  <si>
    <t>Lò vi sóng 2</t>
  </si>
  <si>
    <t>Lò vi sóng 1</t>
  </si>
  <si>
    <t>Túi nilon</t>
  </si>
  <si>
    <t>Giá</t>
  </si>
  <si>
    <t>STT</t>
  </si>
  <si>
    <t>Mặt Hàng</t>
  </si>
  <si>
    <t>Giá bán</t>
  </si>
  <si>
    <t>Chi phí/nắm</t>
  </si>
  <si>
    <t>Vận chuyển</t>
  </si>
  <si>
    <t>Quà</t>
  </si>
  <si>
    <t>Túi</t>
  </si>
  <si>
    <t>Điện</t>
  </si>
  <si>
    <t>Đồ chơi</t>
  </si>
  <si>
    <t>Túi Mù</t>
  </si>
  <si>
    <t>Tuần 8/3 - 13/3</t>
  </si>
  <si>
    <t>T2</t>
  </si>
  <si>
    <t>T3</t>
  </si>
  <si>
    <t>T4</t>
  </si>
  <si>
    <t>T5</t>
  </si>
  <si>
    <t>T6</t>
  </si>
  <si>
    <t>Lương/tuần</t>
  </si>
  <si>
    <t>Họ Tên</t>
  </si>
  <si>
    <t>Phùng Hà My</t>
  </si>
  <si>
    <t>S</t>
  </si>
  <si>
    <t>C</t>
  </si>
  <si>
    <t>Ninh Thị Diệu Anh</t>
  </si>
  <si>
    <t>Hoàng Vân Anh</t>
  </si>
  <si>
    <t>Nguyễn Ánh Hồng</t>
  </si>
  <si>
    <t>Nguyễn Tuấn Định</t>
  </si>
  <si>
    <t>Trịnh Thị Ngọc Minh</t>
  </si>
  <si>
    <t>Lưu Quỳnh Nga</t>
  </si>
  <si>
    <t>Ngọc Ánh</t>
  </si>
  <si>
    <t>Tạ Thị Ngọc Hà</t>
  </si>
  <si>
    <t>HV buổi đầu</t>
  </si>
  <si>
    <t>HV buổi 1,2</t>
  </si>
  <si>
    <t>Làm xa</t>
  </si>
  <si>
    <t>Ca sáng gần</t>
  </si>
  <si>
    <t>Ca chiều gần</t>
  </si>
  <si>
    <t>Ca LV</t>
  </si>
  <si>
    <t>TV</t>
  </si>
  <si>
    <t>CT</t>
  </si>
  <si>
    <t>Dương Tuấn Định</t>
  </si>
  <si>
    <t>Lưu Thị Mỹ Duyên</t>
  </si>
  <si>
    <t>NS làm sáng</t>
  </si>
  <si>
    <t>NS làm chiều</t>
  </si>
  <si>
    <t>Lương</t>
  </si>
  <si>
    <t>Ứng</t>
  </si>
  <si>
    <t>Xuân La</t>
  </si>
  <si>
    <t>XĐ Sau</t>
  </si>
  <si>
    <t>CN A</t>
  </si>
  <si>
    <t>CN B</t>
  </si>
  <si>
    <t>Nguyễn Thị Kim Ngân</t>
  </si>
  <si>
    <t>CT từ chiều thứ 4</t>
  </si>
  <si>
    <t>Văn tiến dũng</t>
  </si>
  <si>
    <t>Nguyễn Thị Chúc An</t>
  </si>
  <si>
    <t>Lưu Doãn Hoài Nam</t>
  </si>
  <si>
    <t>Văn Tiến Dũng</t>
  </si>
  <si>
    <t>c</t>
  </si>
  <si>
    <t>VTD</t>
  </si>
  <si>
    <t>Ngân,Nam</t>
  </si>
  <si>
    <t>Nam</t>
  </si>
  <si>
    <t>Ngân</t>
  </si>
  <si>
    <t>XL</t>
  </si>
  <si>
    <t>Ánh</t>
  </si>
  <si>
    <t>Ngọc Minh</t>
  </si>
  <si>
    <t>My</t>
  </si>
  <si>
    <t>XĐ Trc</t>
  </si>
  <si>
    <t>XĐ S</t>
  </si>
  <si>
    <t>Vân Anh + my</t>
  </si>
  <si>
    <t>Nga</t>
  </si>
  <si>
    <t>Diệu Anh</t>
  </si>
  <si>
    <t>Cổ Nhuế B</t>
  </si>
  <si>
    <t>đông ngạc</t>
  </si>
  <si>
    <t>Lịch</t>
  </si>
  <si>
    <t>Cổ Nhuế A</t>
  </si>
  <si>
    <t>Vân Anh, Chúc An</t>
  </si>
  <si>
    <t>s</t>
  </si>
  <si>
    <t>Tống Thị Xuân Mai</t>
  </si>
  <si>
    <t>Anh Duy</t>
  </si>
  <si>
    <t>Duy</t>
  </si>
  <si>
    <t>Phạm Thu Hương</t>
  </si>
  <si>
    <t>XĐ</t>
  </si>
  <si>
    <t>Sáng</t>
  </si>
  <si>
    <t>Chiều</t>
  </si>
  <si>
    <t>Ngân + Hương</t>
  </si>
  <si>
    <t>Nam + Ngân</t>
  </si>
  <si>
    <t>Ngân + Mai</t>
  </si>
  <si>
    <t>Minh</t>
  </si>
  <si>
    <t>Phụng</t>
  </si>
  <si>
    <t>Nga + phụng</t>
  </si>
  <si>
    <t xml:space="preserve">Vân Anh </t>
  </si>
  <si>
    <t>Hương</t>
  </si>
  <si>
    <t>Lịch + Duy</t>
  </si>
  <si>
    <t>Duyên</t>
  </si>
  <si>
    <t>Dyên</t>
  </si>
  <si>
    <t>L + Mai</t>
  </si>
  <si>
    <t>V.A+ Duy</t>
  </si>
  <si>
    <t>Đông Ngạc</t>
  </si>
  <si>
    <t>Phụng + Nam</t>
  </si>
  <si>
    <t>Quỳnh Nhi</t>
  </si>
  <si>
    <t>Ngân + Nhi</t>
  </si>
  <si>
    <t xml:space="preserve">Ngân </t>
  </si>
  <si>
    <t>Phụng + Nhi</t>
  </si>
  <si>
    <t>Mai</t>
  </si>
  <si>
    <t>Duyên + Mai</t>
  </si>
  <si>
    <t xml:space="preserve">Nhi </t>
  </si>
  <si>
    <t>V.A</t>
  </si>
  <si>
    <t>Nhi</t>
  </si>
  <si>
    <t xml:space="preserve"> Nam</t>
  </si>
  <si>
    <t>nam</t>
  </si>
  <si>
    <t>Khánh Linh</t>
  </si>
  <si>
    <t>Đức Mạnh</t>
  </si>
  <si>
    <t>Thanh Vinh</t>
  </si>
  <si>
    <t>Trọng Đạt</t>
  </si>
  <si>
    <t>Văn Trường</t>
  </si>
  <si>
    <t xml:space="preserve">Lịch </t>
  </si>
  <si>
    <t>Linh</t>
  </si>
  <si>
    <t>Ngân + Linh</t>
  </si>
  <si>
    <t>Ngân + Trường</t>
  </si>
  <si>
    <t>Vân Anh</t>
  </si>
  <si>
    <t>Duyên + Vinh</t>
  </si>
  <si>
    <t>Mai + 5 nước</t>
  </si>
  <si>
    <t>Mai + Mạnh</t>
  </si>
  <si>
    <t>Mạnh</t>
  </si>
  <si>
    <t>Đông Ngạc B</t>
  </si>
  <si>
    <t>Phụng + Đạt</t>
  </si>
  <si>
    <t>Đông Ngạc A</t>
  </si>
  <si>
    <t>Mở điểm : Nam, Ngân, Mai, Đạt</t>
  </si>
  <si>
    <t>Đạt</t>
  </si>
  <si>
    <t>Chuyên Cần</t>
  </si>
  <si>
    <t>My ( 2 nước)</t>
  </si>
  <si>
    <t>Mai + Trường</t>
  </si>
  <si>
    <t>Mai + Nam</t>
  </si>
  <si>
    <t xml:space="preserve">Mai </t>
  </si>
  <si>
    <t>Vinh</t>
  </si>
  <si>
    <t>Đạt(7 nước)</t>
  </si>
  <si>
    <t>Huong</t>
  </si>
  <si>
    <t>ngân</t>
  </si>
  <si>
    <t>Đức Thắng</t>
  </si>
  <si>
    <t>Nam + Mai (mở điểm)</t>
  </si>
  <si>
    <t>Nam + Mạnh</t>
  </si>
  <si>
    <t>L</t>
  </si>
  <si>
    <t>Linh(5 nước)</t>
  </si>
  <si>
    <t>Mai+DUy(2 nước)</t>
  </si>
  <si>
    <t>Mai(4 nước)</t>
  </si>
  <si>
    <t>Mai (10 nước)</t>
  </si>
  <si>
    <t>Hương(10 nước)</t>
  </si>
  <si>
    <t>Nhi (6 nước)</t>
  </si>
  <si>
    <t>Hương(8 nước)</t>
  </si>
  <si>
    <t>Thụy Phương</t>
  </si>
  <si>
    <t>Mai+đạt (mở điểm)</t>
  </si>
  <si>
    <t>DUyên</t>
  </si>
  <si>
    <t>Đạt(9 nước)</t>
  </si>
  <si>
    <t>Mạnh (5 nước)</t>
  </si>
  <si>
    <t>Hương(4 nước)</t>
  </si>
  <si>
    <t>Nhi (5 nước)</t>
  </si>
  <si>
    <t>Ngân (4 nước)</t>
  </si>
  <si>
    <t>Vinh (1 nước)</t>
  </si>
  <si>
    <t>Nam + Nhi (8 nước)</t>
  </si>
  <si>
    <t>Hương (4 nước)</t>
  </si>
  <si>
    <t>Nam (5 nước)</t>
  </si>
  <si>
    <t>Nam (8 nước)</t>
  </si>
  <si>
    <t>Hương (6 nước)</t>
  </si>
  <si>
    <t>Hương (8)</t>
  </si>
  <si>
    <t>Hương(7 nước)</t>
  </si>
  <si>
    <t>Đạt (8 nước)</t>
  </si>
  <si>
    <t>ngân (4 nước)</t>
  </si>
  <si>
    <t>Linh (7 nước)</t>
  </si>
  <si>
    <t>Hương (7 nước)</t>
  </si>
  <si>
    <t>Mạnh (8 nước)</t>
  </si>
  <si>
    <t xml:space="preserve">Mạnh </t>
  </si>
  <si>
    <t>Ngân (9 nước)</t>
  </si>
  <si>
    <t>Nam (10 nước)</t>
  </si>
  <si>
    <t>Hương (8 nước)</t>
  </si>
  <si>
    <t>Ngày Nhập</t>
  </si>
  <si>
    <t>Loại hàng</t>
  </si>
  <si>
    <t>Số lượng Nhập</t>
  </si>
  <si>
    <t>Thành Tiền</t>
  </si>
  <si>
    <t>Loại Hàng</t>
  </si>
  <si>
    <t>Tổng Nhập</t>
  </si>
  <si>
    <t>Đã Xuất</t>
  </si>
  <si>
    <t>Tồn kho tổng</t>
  </si>
  <si>
    <t>Trạng Thái</t>
  </si>
  <si>
    <t>✅ AN TOÀN</t>
  </si>
  <si>
    <t>back</t>
  </si>
  <si>
    <t>treo</t>
  </si>
  <si>
    <t>300 lego</t>
  </si>
  <si>
    <t>5 quầy</t>
  </si>
  <si>
    <t>5 đồng phục</t>
  </si>
  <si>
    <t xml:space="preserve">tôm </t>
  </si>
  <si>
    <t xml:space="preserve">hồi </t>
  </si>
  <si>
    <t xml:space="preserve">bò </t>
  </si>
  <si>
    <t xml:space="preserve">gà  yum </t>
  </si>
  <si>
    <t xml:space="preserve">heo </t>
  </si>
  <si>
    <t xml:space="preserve">gà terri </t>
  </si>
  <si>
    <t>Tồn</t>
  </si>
  <si>
    <t>XĐ. Sau</t>
  </si>
  <si>
    <t>hàng mới</t>
  </si>
  <si>
    <t>Tồn sáng</t>
  </si>
  <si>
    <t>ko hiểu ở đâu</t>
  </si>
  <si>
    <t>Tồn XĐ sau</t>
  </si>
  <si>
    <t>ĐN</t>
  </si>
  <si>
    <t>Chưa Quay</t>
  </si>
  <si>
    <t>Tổng Tồn</t>
  </si>
  <si>
    <t xml:space="preserve">Tồn bán </t>
  </si>
  <si>
    <t>Column 1</t>
  </si>
  <si>
    <t>Column 10</t>
  </si>
  <si>
    <t>Tồn XL</t>
  </si>
  <si>
    <t>Tồn VTD</t>
  </si>
  <si>
    <t>tồn ĐN</t>
  </si>
  <si>
    <t>Column 8</t>
  </si>
  <si>
    <t>Column 9</t>
  </si>
  <si>
    <t>Nhập Thêm</t>
  </si>
  <si>
    <t>Tồn đầu</t>
  </si>
  <si>
    <t>Tồn Cuối</t>
  </si>
  <si>
    <t>Tồn CN A</t>
  </si>
  <si>
    <t>Tồn CN B</t>
  </si>
  <si>
    <t>Tồn ĐN</t>
  </si>
  <si>
    <t>???</t>
  </si>
  <si>
    <t>Nhập thêm</t>
  </si>
  <si>
    <t>Tồn Đầu</t>
  </si>
  <si>
    <t>Đã bán</t>
  </si>
  <si>
    <t>Hàng Còn</t>
  </si>
  <si>
    <t>CN B 1</t>
  </si>
  <si>
    <t>CN B2</t>
  </si>
  <si>
    <t>Tồn CN B2</t>
  </si>
  <si>
    <t>xem lại giấy</t>
  </si>
  <si>
    <t>Online</t>
  </si>
  <si>
    <t>19</t>
  </si>
  <si>
    <t>online</t>
  </si>
  <si>
    <t>thu thiếu 1 hồi</t>
  </si>
  <si>
    <t>7</t>
  </si>
  <si>
    <t>+ ăn 4: CSNV'</t>
  </si>
  <si>
    <t>ĐN B</t>
  </si>
  <si>
    <t>ĐN A</t>
  </si>
  <si>
    <t>Nhập thêm P Lên</t>
  </si>
  <si>
    <t>Tồn ĐN A</t>
  </si>
  <si>
    <t>Tồn ĐN B</t>
  </si>
  <si>
    <t>Đẩy bán</t>
  </si>
  <si>
    <t>Nhập mới</t>
  </si>
  <si>
    <t>Đơn cũ chưa lên</t>
  </si>
  <si>
    <t>Tồn cũ</t>
  </si>
  <si>
    <t>Còn lại</t>
  </si>
  <si>
    <t>Tồn mới</t>
  </si>
  <si>
    <t>Bổ xung + tặng</t>
  </si>
  <si>
    <t>còn</t>
  </si>
  <si>
    <t>onl</t>
  </si>
  <si>
    <t>khách đặt trước đã trả tiền 1 xxpm buổi chiều</t>
  </si>
  <si>
    <t>Mất 2 cái</t>
  </si>
  <si>
    <t xml:space="preserve"> Đức Thắng</t>
  </si>
  <si>
    <t>Tồn Quay sáng</t>
  </si>
  <si>
    <t>Tồn Thụy Phương</t>
  </si>
  <si>
    <t>TP</t>
  </si>
  <si>
    <t>bán nv 1 bò,1 ngừ</t>
  </si>
  <si>
    <t>đã quay</t>
  </si>
  <si>
    <t>Khách Lạ</t>
  </si>
  <si>
    <t>đặt thêm</t>
  </si>
  <si>
    <t>Nhập Mới</t>
  </si>
  <si>
    <t>Ngày</t>
  </si>
  <si>
    <t>Ca Bán</t>
  </si>
  <si>
    <t>Điểm bán</t>
  </si>
  <si>
    <t>NV Bán</t>
  </si>
  <si>
    <t>Hàng Bán Mới</t>
  </si>
  <si>
    <t>Hàng Lỗi</t>
  </si>
  <si>
    <t>Bán Thực</t>
  </si>
  <si>
    <t>Doanh Thu</t>
  </si>
  <si>
    <t>🍣Cá hồi mayo</t>
  </si>
  <si>
    <t>Thu Hương</t>
  </si>
  <si>
    <t>NGHỈ BÁN</t>
  </si>
  <si>
    <t>DN B</t>
  </si>
  <si>
    <t>ONLINE</t>
  </si>
  <si>
    <t>XĐ CT</t>
  </si>
  <si>
    <t xml:space="preserve"> Lưu Quỳnh Nga</t>
  </si>
  <si>
    <t>XĐ CS</t>
  </si>
  <si>
    <t>Tên NV</t>
  </si>
  <si>
    <t>Trạng thái</t>
  </si>
  <si>
    <t>Tổng Ca Làm</t>
  </si>
  <si>
    <t>HV</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</si>
</sst>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yyyy"/>
  </numFmts>
  <fonts count="15">
    <font>
      <sz val="10.0"/>
      <color rgb="FF000000"/>
      <name val="Arial"/>
      <scheme val="minor"/>
    </font>
    <font>
      <sz val="11.0"/>
      <color rgb="FF081B3A"/>
      <name val="Arial"/>
    </font>
    <font>
      <color theme="1"/>
      <name val="Arial"/>
      <scheme val="minor"/>
    </font>
    <font>
      <sz val="11.0"/>
      <color rgb="FF000000"/>
      <name val="Calibri"/>
    </font>
    <font>
      <sz val="11.0"/>
      <color theme="1"/>
      <name val="Arial"/>
    </font>
    <font>
      <b/>
      <color theme="1"/>
      <name val="Arial"/>
      <scheme val="minor"/>
    </font>
    <font/>
    <font>
      <i/>
      <color theme="1"/>
      <name val="Arial"/>
      <scheme val="minor"/>
    </font>
    <font>
      <color rgb="FF000000"/>
      <name val="Arial"/>
      <scheme val="minor"/>
    </font>
    <font>
      <b/>
      <i/>
      <color theme="1"/>
      <name val="Arial"/>
      <scheme val="minor"/>
    </font>
    <font>
      <color rgb="FFFFFFFF"/>
      <name val="Arial"/>
      <scheme val="minor"/>
    </font>
    <font>
      <color theme="1"/>
      <name val="Arial"/>
    </font>
    <font>
      <color rgb="FFFFFFFF"/>
      <name val="Arial"/>
    </font>
    <font>
      <b/>
      <color rgb="FFFFFFFF"/>
      <name val="Arial"/>
      <scheme val="minor"/>
    </font>
    <font>
      <b/>
      <color theme="1"/>
      <name val="Arial"/>
    </font>
  </fonts>
  <fills count="24">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FF0000"/>
        <bgColor rgb="FFFF0000"/>
      </patternFill>
    </fill>
    <fill>
      <patternFill patternType="solid">
        <fgColor rgb="FF00FF00"/>
        <bgColor rgb="FF00FF00"/>
      </patternFill>
    </fill>
    <fill>
      <patternFill patternType="solid">
        <fgColor rgb="FFFFF2CC"/>
        <bgColor rgb="FFFFF2CC"/>
      </patternFill>
    </fill>
    <fill>
      <patternFill patternType="solid">
        <fgColor rgb="FFD0E0E3"/>
        <bgColor rgb="FFD0E0E3"/>
      </patternFill>
    </fill>
    <fill>
      <patternFill patternType="solid">
        <fgColor rgb="FFFF9900"/>
        <bgColor rgb="FFFF9900"/>
      </patternFill>
    </fill>
    <fill>
      <patternFill patternType="solid">
        <fgColor rgb="FFFFFF00"/>
        <bgColor rgb="FFFFFF00"/>
      </patternFill>
    </fill>
    <fill>
      <patternFill patternType="solid">
        <fgColor rgb="FFFF00FF"/>
        <bgColor rgb="FFFF00FF"/>
      </patternFill>
    </fill>
    <fill>
      <patternFill patternType="solid">
        <fgColor rgb="FF3C78D8"/>
        <bgColor rgb="FF3C78D8"/>
      </patternFill>
    </fill>
    <fill>
      <patternFill patternType="solid">
        <fgColor rgb="FFCFE2F3"/>
        <bgColor rgb="FFCFE2F3"/>
      </patternFill>
    </fill>
    <fill>
      <patternFill patternType="solid">
        <fgColor theme="9"/>
        <bgColor theme="9"/>
      </patternFill>
    </fill>
    <fill>
      <patternFill patternType="solid">
        <fgColor rgb="FFA4C2F4"/>
        <bgColor rgb="FFA4C2F4"/>
      </patternFill>
    </fill>
    <fill>
      <patternFill patternType="solid">
        <fgColor rgb="FFFFE599"/>
        <bgColor rgb="FFFFE599"/>
      </patternFill>
    </fill>
    <fill>
      <patternFill patternType="solid">
        <fgColor rgb="FFF4CCCC"/>
        <bgColor rgb="FFF4CCCC"/>
      </patternFill>
    </fill>
    <fill>
      <patternFill patternType="solid">
        <fgColor rgb="FFEAD1DC"/>
        <bgColor rgb="FFEAD1DC"/>
      </patternFill>
    </fill>
    <fill>
      <patternFill patternType="solid">
        <fgColor rgb="FF356854"/>
        <bgColor rgb="FF356854"/>
      </patternFill>
    </fill>
    <fill>
      <patternFill patternType="solid">
        <fgColor rgb="FFF6F8F9"/>
        <bgColor rgb="FFF6F8F9"/>
      </patternFill>
    </fill>
    <fill>
      <patternFill patternType="solid">
        <fgColor rgb="FFCCD9D4"/>
        <bgColor rgb="FFCCD9D4"/>
      </patternFill>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s>
  <borders count="8">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rder>
    <border>
      <left style="thin">
        <color rgb="FF000000"/>
      </left>
      <right style="thin">
        <color rgb="FF000000"/>
      </right>
      <bottom style="medium">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center" readingOrder="0"/>
    </xf>
    <xf borderId="0" fillId="0" fontId="2" numFmtId="14" xfId="0" applyAlignment="1" applyFont="1" applyNumberFormat="1">
      <alignment horizontal="center" readingOrder="0"/>
    </xf>
    <xf borderId="0" fillId="0" fontId="2" numFmtId="0" xfId="0" applyAlignment="1" applyFont="1">
      <alignment readingOrder="0"/>
    </xf>
    <xf borderId="0" fillId="0" fontId="3" numFmtId="0" xfId="0" applyAlignment="1" applyFont="1">
      <alignment horizontal="right" readingOrder="0" shrinkToFit="0" wrapText="0"/>
    </xf>
    <xf borderId="0" fillId="0" fontId="2" numFmtId="3" xfId="0" applyFont="1" applyNumberFormat="1"/>
    <xf borderId="0" fillId="2" fontId="4" numFmtId="0" xfId="0" applyAlignment="1" applyFont="1">
      <alignment readingOrder="0"/>
    </xf>
    <xf borderId="0" fillId="0" fontId="5" numFmtId="0" xfId="0" applyAlignment="1" applyFont="1">
      <alignment horizontal="center"/>
    </xf>
    <xf borderId="0" fillId="0" fontId="5" numFmtId="3" xfId="0" applyFont="1" applyNumberFormat="1"/>
    <xf borderId="0" fillId="0" fontId="2" numFmtId="14" xfId="0" applyAlignment="1" applyFont="1" applyNumberFormat="1">
      <alignment horizontal="center" readingOrder="0" vertical="center"/>
    </xf>
    <xf borderId="0" fillId="0" fontId="2" numFmtId="14" xfId="0" applyAlignment="1" applyFont="1" applyNumberFormat="1">
      <alignment readingOrder="0"/>
    </xf>
    <xf borderId="0" fillId="0" fontId="2" numFmtId="164" xfId="0" applyAlignment="1" applyFont="1" applyNumberFormat="1">
      <alignment readingOrder="0"/>
    </xf>
    <xf borderId="0" fillId="0" fontId="2" numFmtId="0" xfId="0" applyFont="1"/>
    <xf borderId="0" fillId="0" fontId="2" numFmtId="1" xfId="0" applyFont="1" applyNumberFormat="1"/>
    <xf borderId="0" fillId="0" fontId="2" numFmtId="165" xfId="0" applyAlignment="1" applyFont="1" applyNumberFormat="1">
      <alignment readingOrder="0"/>
    </xf>
    <xf borderId="0" fillId="0" fontId="2" numFmtId="165" xfId="0" applyFont="1" applyNumberFormat="1"/>
    <xf borderId="0" fillId="0" fontId="2"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horizontal="center"/>
    </xf>
    <xf borderId="0" fillId="3" fontId="2"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readingOrder="0"/>
    </xf>
    <xf borderId="1" fillId="6" fontId="2" numFmtId="0" xfId="0" applyAlignment="1" applyBorder="1" applyFill="1" applyFont="1">
      <alignment horizontal="center" vertical="center"/>
    </xf>
    <xf borderId="2" fillId="7" fontId="2" numFmtId="0" xfId="0" applyAlignment="1" applyBorder="1" applyFill="1" applyFont="1">
      <alignment horizontal="center" vertical="center"/>
    </xf>
    <xf borderId="3" fillId="0" fontId="2" numFmtId="0" xfId="0" applyAlignment="1" applyBorder="1" applyFont="1">
      <alignment horizontal="center" readingOrder="0"/>
    </xf>
    <xf borderId="1" fillId="0" fontId="2" numFmtId="0" xfId="0" applyAlignment="1" applyBorder="1" applyFont="1">
      <alignment horizontal="center" readingOrder="0"/>
    </xf>
    <xf borderId="4" fillId="0" fontId="6" numFmtId="0" xfId="0" applyBorder="1" applyFont="1"/>
    <xf borderId="2" fillId="0" fontId="2" numFmtId="165" xfId="0" applyAlignment="1" applyBorder="1" applyFont="1" applyNumberFormat="1">
      <alignment readingOrder="0"/>
    </xf>
    <xf borderId="2" fillId="0" fontId="2" numFmtId="165" xfId="0" applyBorder="1" applyFont="1" applyNumberFormat="1"/>
    <xf borderId="3" fillId="0" fontId="2" numFmtId="0" xfId="0" applyAlignment="1" applyBorder="1" applyFont="1">
      <alignment horizontal="center" readingOrder="0" vertical="center"/>
    </xf>
    <xf borderId="1" fillId="6" fontId="2" numFmtId="0" xfId="0" applyAlignment="1" applyBorder="1" applyFont="1">
      <alignment horizontal="center" readingOrder="0" vertical="center"/>
    </xf>
    <xf borderId="1" fillId="6" fontId="5" numFmtId="0" xfId="0" applyAlignment="1" applyBorder="1" applyFont="1">
      <alignment horizontal="center" readingOrder="0" vertical="center"/>
    </xf>
    <xf borderId="2" fillId="7" fontId="2" numFmtId="0" xfId="0" applyAlignment="1" applyBorder="1" applyFont="1">
      <alignment horizontal="center" readingOrder="0" vertical="center"/>
    </xf>
    <xf borderId="5" fillId="0" fontId="2" numFmtId="0" xfId="0" applyAlignment="1" applyBorder="1" applyFont="1">
      <alignment horizontal="center"/>
    </xf>
    <xf borderId="2" fillId="5" fontId="2" numFmtId="0" xfId="0" applyAlignment="1" applyBorder="1" applyFont="1">
      <alignment horizontal="center" readingOrder="0" vertical="center"/>
    </xf>
    <xf borderId="6" fillId="0" fontId="2" numFmtId="0" xfId="0" applyAlignment="1" applyBorder="1" applyFont="1">
      <alignment horizontal="center" readingOrder="0" vertical="center"/>
    </xf>
    <xf borderId="4" fillId="0" fontId="2" numFmtId="0" xfId="0" applyAlignment="1" applyBorder="1" applyFont="1">
      <alignment horizontal="center"/>
    </xf>
    <xf borderId="2" fillId="0" fontId="2" numFmtId="0" xfId="0" applyAlignment="1" applyBorder="1" applyFont="1">
      <alignment horizontal="center" readingOrder="0" vertical="center"/>
    </xf>
    <xf borderId="4" fillId="0" fontId="2" numFmtId="0" xfId="0" applyAlignment="1" applyBorder="1" applyFont="1">
      <alignment horizontal="center" readingOrder="0"/>
    </xf>
    <xf borderId="5" fillId="0" fontId="2" numFmtId="0" xfId="0" applyAlignment="1" applyBorder="1" applyFont="1">
      <alignment horizontal="center" readingOrder="0"/>
    </xf>
    <xf borderId="7" fillId="0" fontId="6" numFmtId="0" xfId="0" applyBorder="1" applyFont="1"/>
    <xf borderId="5" fillId="7" fontId="2" numFmtId="0" xfId="0" applyAlignment="1" applyBorder="1" applyFont="1">
      <alignment horizontal="center" vertical="center"/>
    </xf>
    <xf borderId="5" fillId="7" fontId="2" numFmtId="0" xfId="0" applyAlignment="1" applyBorder="1" applyFont="1">
      <alignment horizontal="center" readingOrder="0" vertical="center"/>
    </xf>
    <xf borderId="0" fillId="0" fontId="2" numFmtId="0" xfId="0" applyAlignment="1" applyFont="1">
      <alignment readingOrder="0" vertical="center"/>
    </xf>
    <xf borderId="1" fillId="4" fontId="2" numFmtId="0" xfId="0" applyAlignment="1" applyBorder="1" applyFont="1">
      <alignment horizontal="center" readingOrder="0" vertical="center"/>
    </xf>
    <xf borderId="1" fillId="5" fontId="2" numFmtId="0" xfId="0" applyAlignment="1" applyBorder="1" applyFont="1">
      <alignment horizontal="center" readingOrder="0" vertical="center"/>
    </xf>
    <xf borderId="2" fillId="3" fontId="2" numFmtId="0" xfId="0" applyAlignment="1" applyBorder="1" applyFont="1">
      <alignment horizontal="center" readingOrder="0" vertical="center"/>
    </xf>
    <xf borderId="2" fillId="4" fontId="2" numFmtId="0" xfId="0" applyAlignment="1" applyBorder="1" applyFont="1">
      <alignment horizontal="center" readingOrder="0" vertical="center"/>
    </xf>
    <xf borderId="1" fillId="5" fontId="5" numFmtId="0" xfId="0" applyAlignment="1" applyBorder="1" applyFont="1">
      <alignment horizontal="center" readingOrder="0" vertical="center"/>
    </xf>
    <xf borderId="2" fillId="0" fontId="2" numFmtId="0" xfId="0" applyAlignment="1" applyBorder="1" applyFont="1">
      <alignment readingOrder="0" vertical="center"/>
    </xf>
    <xf borderId="2" fillId="0" fontId="2" numFmtId="0" xfId="0" applyAlignment="1" applyBorder="1" applyFont="1">
      <alignment readingOrder="0"/>
    </xf>
    <xf borderId="0" fillId="8" fontId="2" numFmtId="0" xfId="0" applyFill="1" applyFont="1"/>
    <xf borderId="0" fillId="3" fontId="2" numFmtId="0" xfId="0" applyFont="1"/>
    <xf borderId="0" fillId="9" fontId="2" numFmtId="0" xfId="0" applyFill="1" applyFont="1"/>
    <xf borderId="1" fillId="3" fontId="2" numFmtId="0" xfId="0" applyAlignment="1" applyBorder="1" applyFont="1">
      <alignment horizontal="center" readingOrder="0" vertical="center"/>
    </xf>
    <xf borderId="0" fillId="5" fontId="2" numFmtId="0" xfId="0" applyFont="1"/>
    <xf borderId="1" fillId="10" fontId="2" numFmtId="0" xfId="0" applyAlignment="1" applyBorder="1" applyFill="1" applyFont="1">
      <alignment horizontal="center" readingOrder="0" vertical="center"/>
    </xf>
    <xf borderId="0" fillId="11" fontId="2" numFmtId="0" xfId="0" applyFill="1" applyFont="1"/>
    <xf borderId="0" fillId="0" fontId="5" numFmtId="0" xfId="0" applyAlignment="1" applyFont="1">
      <alignment readingOrder="0"/>
    </xf>
    <xf borderId="0" fillId="2" fontId="2" numFmtId="0" xfId="0" applyFont="1"/>
    <xf borderId="0" fillId="9" fontId="2" numFmtId="0" xfId="0" applyAlignment="1" applyFont="1">
      <alignment horizontal="center" readingOrder="0"/>
    </xf>
    <xf borderId="0" fillId="5" fontId="2" numFmtId="0" xfId="0" applyAlignment="1" applyFont="1">
      <alignment horizontal="center" readingOrder="0"/>
    </xf>
    <xf borderId="0" fillId="8" fontId="2" numFmtId="0" xfId="0" applyAlignment="1" applyFont="1">
      <alignment horizontal="center" readingOrder="0"/>
    </xf>
    <xf borderId="0" fillId="12" fontId="2" numFmtId="0" xfId="0" applyAlignment="1" applyFill="1" applyFont="1">
      <alignment horizontal="center" readingOrder="0"/>
    </xf>
    <xf borderId="0" fillId="13" fontId="2" numFmtId="0" xfId="0" applyAlignment="1" applyFill="1" applyFont="1">
      <alignment horizontal="center" readingOrder="0"/>
    </xf>
    <xf borderId="0" fillId="0" fontId="2" numFmtId="0" xfId="0" applyFont="1"/>
    <xf borderId="0" fillId="0" fontId="2" numFmtId="0" xfId="0" applyAlignment="1" applyFont="1">
      <alignment readingOrder="0"/>
    </xf>
    <xf borderId="0" fillId="10" fontId="2" numFmtId="0" xfId="0" applyFont="1"/>
    <xf borderId="0" fillId="14" fontId="2" numFmtId="0" xfId="0" applyFill="1" applyFont="1"/>
    <xf borderId="0" fillId="0" fontId="2" numFmtId="0" xfId="0" applyAlignment="1" applyFont="1">
      <alignment readingOrder="0" shrinkToFit="0" wrapText="1"/>
    </xf>
    <xf borderId="1" fillId="4" fontId="5" numFmtId="0" xfId="0" applyAlignment="1" applyBorder="1" applyFont="1">
      <alignment horizontal="center" readingOrder="0" vertical="center"/>
    </xf>
    <xf borderId="0" fillId="0" fontId="7" numFmtId="0" xfId="0" applyAlignment="1" applyFont="1">
      <alignment readingOrder="0"/>
    </xf>
    <xf borderId="0" fillId="0" fontId="8" numFmtId="0" xfId="0" applyAlignment="1" applyFont="1">
      <alignment readingOrder="0"/>
    </xf>
    <xf borderId="0" fillId="0" fontId="7" numFmtId="0" xfId="0" applyFont="1"/>
    <xf borderId="0" fillId="0" fontId="9" numFmtId="0" xfId="0" applyAlignment="1" applyFont="1">
      <alignment readingOrder="0"/>
    </xf>
    <xf borderId="0" fillId="0" fontId="2" numFmtId="0" xfId="0" applyAlignment="1" applyFont="1">
      <alignment readingOrder="0"/>
    </xf>
    <xf borderId="0" fillId="0" fontId="10" numFmtId="0" xfId="0" applyFont="1"/>
    <xf borderId="0" fillId="0" fontId="8" numFmtId="0" xfId="0" applyFont="1"/>
    <xf borderId="0" fillId="0" fontId="7" numFmtId="0" xfId="0" applyFont="1"/>
    <xf borderId="0" fillId="0" fontId="5" numFmtId="0" xfId="0" applyAlignment="1" applyFont="1">
      <alignment readingOrder="0"/>
    </xf>
    <xf borderId="0" fillId="0" fontId="2" numFmtId="4" xfId="0" applyFont="1" applyNumberFormat="1"/>
    <xf borderId="0" fillId="0" fontId="2" numFmtId="3" xfId="0" applyAlignment="1" applyFont="1" applyNumberFormat="1">
      <alignment readingOrder="0"/>
    </xf>
    <xf borderId="0" fillId="0" fontId="2" numFmtId="10" xfId="0" applyFont="1" applyNumberFormat="1"/>
    <xf borderId="0" fillId="3" fontId="2" numFmtId="14" xfId="0" applyAlignment="1" applyFont="1" applyNumberFormat="1">
      <alignment horizontal="center" readingOrder="0" vertical="center"/>
    </xf>
    <xf borderId="0" fillId="3" fontId="3" numFmtId="0" xfId="0" applyAlignment="1" applyFont="1">
      <alignment horizontal="right" readingOrder="0" shrinkToFit="0" wrapText="0"/>
    </xf>
    <xf borderId="0" fillId="3" fontId="2" numFmtId="3" xfId="0" applyFont="1" applyNumberFormat="1"/>
    <xf borderId="0" fillId="3" fontId="11" numFmtId="14" xfId="0" applyAlignment="1" applyFont="1" applyNumberFormat="1">
      <alignment horizontal="center"/>
    </xf>
    <xf borderId="0" fillId="0" fontId="11" numFmtId="14" xfId="0" applyAlignment="1" applyFont="1" applyNumberFormat="1">
      <alignment readingOrder="0"/>
    </xf>
    <xf borderId="0" fillId="2" fontId="2" numFmtId="3" xfId="0" applyFont="1" applyNumberFormat="1"/>
    <xf borderId="0" fillId="15" fontId="2" numFmtId="0" xfId="0" applyFill="1" applyFont="1"/>
    <xf borderId="0" fillId="15" fontId="2" numFmtId="0" xfId="0" applyAlignment="1" applyFont="1">
      <alignment readingOrder="0"/>
    </xf>
    <xf borderId="0" fillId="15" fontId="2" numFmtId="14" xfId="0" applyFont="1" applyNumberFormat="1"/>
    <xf borderId="0" fillId="15" fontId="2" numFmtId="3" xfId="0" applyFont="1" applyNumberFormat="1"/>
    <xf borderId="0" fillId="0" fontId="2" numFmtId="14" xfId="0" applyFont="1" applyNumberFormat="1"/>
    <xf borderId="0" fillId="16" fontId="2" numFmtId="0" xfId="0" applyAlignment="1" applyFill="1" applyFont="1">
      <alignment horizontal="center" readingOrder="0"/>
    </xf>
    <xf borderId="0" fillId="2" fontId="2" numFmtId="0" xfId="0" applyAlignment="1" applyFont="1">
      <alignment readingOrder="0"/>
    </xf>
    <xf borderId="0" fillId="0" fontId="5" numFmtId="0" xfId="0" applyFont="1"/>
    <xf borderId="0" fillId="0" fontId="2" numFmtId="0" xfId="0" applyAlignment="1" applyFont="1">
      <alignment horizontal="center" readingOrder="0" shrinkToFit="0"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15"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15"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horizontal="left" readingOrder="0"/>
    </xf>
    <xf borderId="0" fillId="2" fontId="8" numFmtId="0" xfId="0" applyAlignment="1" applyFont="1">
      <alignment readingOrder="0"/>
    </xf>
    <xf borderId="0" fillId="2" fontId="8" numFmtId="0" xfId="0" applyFont="1"/>
    <xf borderId="0" fillId="2" fontId="2" numFmtId="0" xfId="0" applyAlignment="1" applyFont="1">
      <alignment horizontal="center" readingOrder="0"/>
    </xf>
    <xf borderId="0" fillId="17" fontId="2" numFmtId="0" xfId="0" applyFill="1" applyFont="1"/>
    <xf borderId="0" fillId="17" fontId="2" numFmtId="0" xfId="0" applyAlignment="1" applyFont="1">
      <alignment readingOrder="0"/>
    </xf>
    <xf borderId="0" fillId="17" fontId="2" numFmtId="0" xfId="0" applyFont="1"/>
    <xf borderId="0" fillId="17" fontId="5" numFmtId="0" xfId="0" applyFont="1"/>
    <xf borderId="0" fillId="0" fontId="5" numFmtId="0" xfId="0" applyFont="1"/>
    <xf borderId="0" fillId="0" fontId="9" numFmtId="0" xfId="0" applyFont="1"/>
    <xf borderId="0" fillId="2" fontId="11" numFmtId="3" xfId="0" applyAlignment="1" applyFont="1" applyNumberFormat="1">
      <alignment horizontal="right" vertical="bottom"/>
    </xf>
    <xf borderId="0" fillId="0" fontId="2" numFmtId="0" xfId="0" applyAlignment="1" applyFont="1">
      <alignment readingOrder="0"/>
    </xf>
    <xf borderId="0" fillId="0" fontId="2" numFmtId="0" xfId="0" applyFont="1"/>
    <xf borderId="0" fillId="0" fontId="2" numFmtId="0" xfId="0" applyAlignment="1" applyFont="1">
      <alignment readingOrder="0"/>
    </xf>
    <xf borderId="0" fillId="8" fontId="2" numFmtId="3" xfId="0" applyFont="1" applyNumberFormat="1"/>
    <xf borderId="0" fillId="0" fontId="2" numFmtId="0" xfId="0" applyAlignment="1" applyFont="1">
      <alignment readingOrder="0" shrinkToFit="0" vertical="center" wrapText="0"/>
    </xf>
    <xf quotePrefix="1" borderId="0" fillId="0" fontId="2" numFmtId="0" xfId="0" applyAlignment="1" applyFont="1">
      <alignment readingOrder="0"/>
    </xf>
    <xf borderId="0" fillId="18" fontId="10" numFmtId="0" xfId="0" applyAlignment="1" applyFill="1" applyFont="1">
      <alignment readingOrder="0"/>
    </xf>
    <xf borderId="0" fillId="18" fontId="10" numFmtId="0" xfId="0" applyAlignment="1" applyFont="1">
      <alignment readingOrder="0"/>
    </xf>
    <xf borderId="0" fillId="18" fontId="10" numFmtId="49" xfId="0" applyAlignment="1" applyFont="1" applyNumberFormat="1">
      <alignment readingOrder="0"/>
    </xf>
    <xf borderId="0" fillId="18" fontId="12" numFmtId="0" xfId="0" applyAlignment="1" applyFont="1">
      <alignment readingOrder="0" vertical="bottom"/>
    </xf>
    <xf borderId="0" fillId="17" fontId="7" numFmtId="0" xfId="0" applyAlignment="1" applyFont="1">
      <alignment readingOrder="0"/>
    </xf>
    <xf borderId="0" fillId="0" fontId="11" numFmtId="0" xfId="0" applyAlignment="1" applyFont="1">
      <alignment vertical="bottom"/>
    </xf>
    <xf borderId="0" fillId="19" fontId="11" numFmtId="0" xfId="0" applyAlignment="1" applyFill="1" applyFont="1">
      <alignment vertical="bottom"/>
    </xf>
    <xf borderId="0" fillId="2" fontId="11" numFmtId="0" xfId="0" applyAlignment="1" applyFont="1">
      <alignment vertical="bottom"/>
    </xf>
    <xf borderId="0" fillId="20" fontId="2" numFmtId="0" xfId="0" applyFill="1" applyFont="1"/>
    <xf borderId="0" fillId="20" fontId="2" numFmtId="0" xfId="0" applyFont="1"/>
    <xf borderId="0" fillId="20" fontId="2" numFmtId="0" xfId="0" applyAlignment="1" applyFont="1">
      <alignment readingOrder="0"/>
    </xf>
    <xf borderId="0" fillId="0" fontId="11" numFmtId="0" xfId="0" applyAlignment="1" applyFont="1">
      <alignment readingOrder="0" vertical="bottom"/>
    </xf>
    <xf borderId="0" fillId="2" fontId="11" numFmtId="0" xfId="0" applyAlignment="1" applyFont="1">
      <alignment readingOrder="0" vertical="bottom"/>
    </xf>
    <xf borderId="0" fillId="19" fontId="11" numFmtId="0" xfId="0" applyAlignment="1" applyFont="1">
      <alignment readingOrder="0" vertical="bottom"/>
    </xf>
    <xf borderId="0" fillId="4" fontId="2" numFmtId="0" xfId="0" applyFont="1"/>
    <xf borderId="0" fillId="4" fontId="2" numFmtId="3" xfId="0" applyFont="1" applyNumberFormat="1"/>
    <xf borderId="0" fillId="20" fontId="2" numFmtId="0" xfId="0" applyAlignment="1" applyFont="1">
      <alignment readingOrder="0"/>
    </xf>
    <xf borderId="0" fillId="17" fontId="5" numFmtId="0" xfId="0" applyAlignment="1" applyFont="1">
      <alignment readingOrder="0"/>
    </xf>
    <xf borderId="0" fillId="0" fontId="5" numFmtId="0" xfId="0" applyAlignment="1" applyFont="1">
      <alignment readingOrder="0"/>
    </xf>
    <xf borderId="0" fillId="0" fontId="9" numFmtId="0" xfId="0" applyFont="1"/>
    <xf borderId="0" fillId="9" fontId="2" numFmtId="3" xfId="0" applyFont="1" applyNumberFormat="1"/>
    <xf borderId="0" fillId="5" fontId="2" numFmtId="3" xfId="0" applyFont="1" applyNumberFormat="1"/>
    <xf borderId="0" fillId="4" fontId="13" numFmtId="0" xfId="0" applyAlignment="1" applyFont="1">
      <alignment horizontal="center" readingOrder="0"/>
    </xf>
    <xf borderId="0" fillId="21" fontId="2" numFmtId="0" xfId="0" applyAlignment="1" applyFill="1" applyFont="1">
      <alignment readingOrder="0"/>
    </xf>
    <xf borderId="0" fillId="21" fontId="2" numFmtId="0" xfId="0" applyFont="1"/>
    <xf borderId="0" fillId="21" fontId="2" numFmtId="0" xfId="0" applyAlignment="1" applyFont="1">
      <alignment readingOrder="0"/>
    </xf>
    <xf borderId="0" fillId="21" fontId="5" numFmtId="0" xfId="0" applyFont="1"/>
    <xf borderId="0" fillId="15" fontId="2" numFmtId="0" xfId="0" applyAlignment="1" applyFont="1">
      <alignment shrinkToFit="0" wrapText="1"/>
    </xf>
    <xf borderId="0" fillId="22" fontId="2" numFmtId="0" xfId="0" applyAlignment="1" applyFill="1" applyFont="1">
      <alignment readingOrder="0"/>
    </xf>
    <xf borderId="0" fillId="22" fontId="2" numFmtId="0" xfId="0" applyFont="1"/>
    <xf borderId="0" fillId="23" fontId="5" numFmtId="0" xfId="0" applyFill="1" applyFont="1"/>
    <xf borderId="0" fillId="20" fontId="2" numFmtId="3" xfId="0" applyFont="1" applyNumberFormat="1"/>
    <xf borderId="0" fillId="0" fontId="9" numFmtId="3" xfId="0" applyFont="1" applyNumberFormat="1"/>
    <xf borderId="0" fillId="2" fontId="5" numFmtId="0" xfId="0" applyFont="1"/>
    <xf borderId="0" fillId="2" fontId="5" numFmtId="0" xfId="0" applyAlignment="1" applyFont="1">
      <alignment readingOrder="0"/>
    </xf>
    <xf borderId="0" fillId="19" fontId="14" numFmtId="0" xfId="0" applyAlignment="1" applyFont="1">
      <alignment readingOrder="0" vertical="bottom"/>
    </xf>
    <xf borderId="0" fillId="2" fontId="14" numFmtId="0" xfId="0" applyAlignment="1" applyFont="1">
      <alignment readingOrder="0" vertical="bottom"/>
    </xf>
    <xf borderId="0" fillId="2" fontId="14" numFmtId="0" xfId="0" applyAlignment="1" applyFont="1">
      <alignment readingOrder="0" vertical="bottom"/>
    </xf>
    <xf borderId="0" fillId="19" fontId="14" numFmtId="0" xfId="0" applyAlignment="1" applyFont="1">
      <alignment readingOrder="0" vertical="bottom"/>
    </xf>
    <xf borderId="0" fillId="5" fontId="5" numFmtId="0" xfId="0" applyFont="1"/>
    <xf borderId="4" fillId="0" fontId="2" numFmtId="0" xfId="0" applyAlignment="1" applyBorder="1" applyFont="1">
      <alignment horizontal="center" readingOrder="0" vertical="center"/>
    </xf>
    <xf borderId="7" fillId="0" fontId="2" numFmtId="0" xfId="0" applyAlignment="1" applyBorder="1" applyFont="1">
      <alignment horizontal="center" readingOrder="0" vertical="center"/>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strike/>
      </font>
      <fill>
        <patternFill patternType="solid">
          <fgColor rgb="FFB7E1CD"/>
          <bgColor rgb="FFB7E1CD"/>
        </patternFill>
      </fill>
      <border/>
    </dxf>
    <dxf>
      <font>
        <color rgb="FFFFFFFF"/>
      </font>
      <fill>
        <patternFill patternType="solid">
          <fgColor rgb="FFFF0000"/>
          <bgColor rgb="FFFF0000"/>
        </patternFill>
      </fill>
      <border/>
    </dxf>
    <dxf>
      <font>
        <color rgb="FFFFFFFF"/>
      </font>
      <fill>
        <patternFill patternType="solid">
          <fgColor rgb="FFFFE599"/>
          <bgColor rgb="FFFFE599"/>
        </patternFill>
      </fill>
      <border/>
    </dxf>
  </dxfs>
  <tableStyles count="122">
    <tableStyle count="5" pivot="0" name="Nhập hàng New-style">
      <tableStyleElement dxfId="1" type="headerRow"/>
      <tableStyleElement dxfId="2" type="firstRowStripe"/>
      <tableStyleElement dxfId="3" type="secondRowStripe"/>
      <tableStyleElement dxfId="4" type="totalRow"/>
      <tableStyleElement dxfId="5" size="0" type="wholeTable"/>
    </tableStyle>
    <tableStyle count="5" pivot="0" name="Nhập hàng New-style 2">
      <tableStyleElement dxfId="1" type="headerRow"/>
      <tableStyleElement dxfId="2" type="firstRowStripe"/>
      <tableStyleElement dxfId="3" type="secondRowStripe"/>
      <tableStyleElement dxfId="4" type="totalRow"/>
      <tableStyleElement dxfId="5" size="0" type="wholeTable"/>
    </tableStyle>
    <tableStyle count="5" pivot="0" name="Nhập hàng New-style 3">
      <tableStyleElement dxfId="1" type="headerRow"/>
      <tableStyleElement dxfId="2" type="firstRowStripe"/>
      <tableStyleElement dxfId="3" type="secondRowStripe"/>
      <tableStyleElement dxfId="4" type="totalRow"/>
      <tableStyleElement dxfId="5" size="0" type="wholeTable"/>
    </tableStyle>
    <tableStyle count="5" pivot="0" name="Nhập hàng New-style 4">
      <tableStyleElement dxfId="1" type="headerRow"/>
      <tableStyleElement dxfId="2" type="firstRowStripe"/>
      <tableStyleElement dxfId="3" type="secondRowStripe"/>
      <tableStyleElement dxfId="4" type="totalRow"/>
      <tableStyleElement dxfId="5" size="0" type="wholeTable"/>
    </tableStyle>
    <tableStyle count="5" pivot="0" name="Nhập hàng New-style 5">
      <tableStyleElement dxfId="1" type="headerRow"/>
      <tableStyleElement dxfId="2" type="firstRowStripe"/>
      <tableStyleElement dxfId="3" type="secondRowStripe"/>
      <tableStyleElement dxfId="4" type="totalRow"/>
      <tableStyleElement dxfId="5" size="0" type="wholeTable"/>
    </tableStyle>
    <tableStyle count="5" pivot="0" name="Nhập hàng New-style 6">
      <tableStyleElement dxfId="1" type="headerRow"/>
      <tableStyleElement dxfId="2" type="firstRowStripe"/>
      <tableStyleElement dxfId="3" type="secondRowStripe"/>
      <tableStyleElement dxfId="4" type="totalRow"/>
      <tableStyleElement dxfId="5" size="0" type="wholeTable"/>
    </tableStyle>
    <tableStyle count="5" pivot="0" name="Nhập hàng New-style 7">
      <tableStyleElement dxfId="1" type="headerRow"/>
      <tableStyleElement dxfId="2" type="firstRowStripe"/>
      <tableStyleElement dxfId="3" type="secondRowStripe"/>
      <tableStyleElement dxfId="4" type="totalRow"/>
      <tableStyleElement dxfId="5" size="0" type="wholeTable"/>
    </tableStyle>
    <tableStyle count="5" pivot="0" name="Nhập hàng New-style 8">
      <tableStyleElement dxfId="1" type="headerRow"/>
      <tableStyleElement dxfId="2" type="firstRowStripe"/>
      <tableStyleElement dxfId="3" type="secondRowStripe"/>
      <tableStyleElement dxfId="4" type="totalRow"/>
      <tableStyleElement dxfId="5" size="0" type="wholeTable"/>
    </tableStyle>
    <tableStyle count="2" pivot="0" name="Nhập hàng New-style 9">
      <tableStyleElement dxfId="3" type="firstRowStripe"/>
      <tableStyleElement dxfId="2" type="secondRowStripe"/>
    </tableStyle>
    <tableStyle count="5" pivot="0" name="Nhập hàng New-style 10">
      <tableStyleElement dxfId="1" type="headerRow"/>
      <tableStyleElement dxfId="2" type="firstRowStripe"/>
      <tableStyleElement dxfId="3" type="secondRowStripe"/>
      <tableStyleElement dxfId="4" type="totalRow"/>
      <tableStyleElement dxfId="5" size="0" type="wholeTable"/>
    </tableStyle>
    <tableStyle count="5" pivot="0" name="Nhập hàng New-style 11">
      <tableStyleElement dxfId="1" type="headerRow"/>
      <tableStyleElement dxfId="2" type="firstRowStripe"/>
      <tableStyleElement dxfId="3" type="secondRowStripe"/>
      <tableStyleElement dxfId="4" type="totalRow"/>
      <tableStyleElement dxfId="5" size="0" type="wholeTable"/>
    </tableStyle>
    <tableStyle count="2" pivot="0" name="Nhập hàng New-style 12">
      <tableStyleElement dxfId="3" type="firstRowStripe"/>
      <tableStyleElement dxfId="2" type="secondRowStripe"/>
    </tableStyle>
    <tableStyle count="5" pivot="0" name="Nhập hàng New-style 13">
      <tableStyleElement dxfId="1" type="headerRow"/>
      <tableStyleElement dxfId="2" type="firstRowStripe"/>
      <tableStyleElement dxfId="3" type="secondRowStripe"/>
      <tableStyleElement dxfId="4" type="totalRow"/>
      <tableStyleElement dxfId="5" size="0" type="wholeTable"/>
    </tableStyle>
    <tableStyle count="5" pivot="0" name="Nhập hàng New-style 14">
      <tableStyleElement dxfId="1" type="headerRow"/>
      <tableStyleElement dxfId="2" type="firstRowStripe"/>
      <tableStyleElement dxfId="3" type="secondRowStripe"/>
      <tableStyleElement dxfId="4" type="totalRow"/>
      <tableStyleElement dxfId="5" size="0" type="wholeTable"/>
    </tableStyle>
    <tableStyle count="2" pivot="0" name="Nhập hàng New-style 15">
      <tableStyleElement dxfId="3" type="firstRowStripe"/>
      <tableStyleElement dxfId="2" type="secondRowStripe"/>
    </tableStyle>
    <tableStyle count="5" pivot="0" name="Nhập hàng New-style 16">
      <tableStyleElement dxfId="1" type="headerRow"/>
      <tableStyleElement dxfId="2" type="firstRowStripe"/>
      <tableStyleElement dxfId="3" type="secondRowStripe"/>
      <tableStyleElement dxfId="4" type="totalRow"/>
      <tableStyleElement dxfId="5" size="0" type="wholeTable"/>
    </tableStyle>
    <tableStyle count="5" pivot="0" name="Nhập hàng New-style 17">
      <tableStyleElement dxfId="1" type="headerRow"/>
      <tableStyleElement dxfId="2" type="firstRowStripe"/>
      <tableStyleElement dxfId="3" type="secondRowStripe"/>
      <tableStyleElement dxfId="4" type="totalRow"/>
      <tableStyleElement dxfId="5" size="0" type="wholeTable"/>
    </tableStyle>
    <tableStyle count="2" pivot="0" name="Nhập hàng New-style 18">
      <tableStyleElement dxfId="3" type="firstRowStripe"/>
      <tableStyleElement dxfId="2" type="secondRowStripe"/>
    </tableStyle>
    <tableStyle count="5" pivot="0" name="Nhập hàng New-style 19">
      <tableStyleElement dxfId="1" type="headerRow"/>
      <tableStyleElement dxfId="2" type="firstRowStripe"/>
      <tableStyleElement dxfId="3" type="secondRowStripe"/>
      <tableStyleElement dxfId="4" type="totalRow"/>
      <tableStyleElement dxfId="5" size="0" type="wholeTable"/>
    </tableStyle>
    <tableStyle count="5" pivot="0" name="Nhập hàng New-style 20">
      <tableStyleElement dxfId="1" type="headerRow"/>
      <tableStyleElement dxfId="2" type="firstRowStripe"/>
      <tableStyleElement dxfId="3" type="secondRowStripe"/>
      <tableStyleElement dxfId="4" type="totalRow"/>
      <tableStyleElement dxfId="5" size="0" type="wholeTable"/>
    </tableStyle>
    <tableStyle count="2" pivot="0" name="Nhập hàng New-style 21">
      <tableStyleElement dxfId="3" type="firstRowStripe"/>
      <tableStyleElement dxfId="2" type="secondRowStripe"/>
    </tableStyle>
    <tableStyle count="5" pivot="0" name="Nhập hàng New-style 22">
      <tableStyleElement dxfId="1" type="headerRow"/>
      <tableStyleElement dxfId="2" type="firstRowStripe"/>
      <tableStyleElement dxfId="3" type="secondRowStripe"/>
      <tableStyleElement dxfId="4" type="totalRow"/>
      <tableStyleElement dxfId="5" size="0" type="wholeTable"/>
    </tableStyle>
    <tableStyle count="5" pivot="0" name="Nhập hàng New-style 23">
      <tableStyleElement dxfId="1" type="headerRow"/>
      <tableStyleElement dxfId="2" type="firstRowStripe"/>
      <tableStyleElement dxfId="3" type="secondRowStripe"/>
      <tableStyleElement dxfId="4" type="totalRow"/>
      <tableStyleElement dxfId="5" size="0" type="wholeTable"/>
    </tableStyle>
    <tableStyle count="2" pivot="0" name="Nhập hàng New-style 24">
      <tableStyleElement dxfId="3" type="firstRowStripe"/>
      <tableStyleElement dxfId="2" type="secondRowStripe"/>
    </tableStyle>
    <tableStyle count="5" pivot="0" name="Nhập hàng New-style 25">
      <tableStyleElement dxfId="1" type="headerRow"/>
      <tableStyleElement dxfId="2" type="firstRowStripe"/>
      <tableStyleElement dxfId="3" type="secondRowStripe"/>
      <tableStyleElement dxfId="4" type="totalRow"/>
      <tableStyleElement dxfId="5" size="0" type="wholeTable"/>
    </tableStyle>
    <tableStyle count="5" pivot="0" name="Nhập hàng New-style 26">
      <tableStyleElement dxfId="1" type="headerRow"/>
      <tableStyleElement dxfId="2" type="firstRowStripe"/>
      <tableStyleElement dxfId="3" type="secondRowStripe"/>
      <tableStyleElement dxfId="4" type="totalRow"/>
      <tableStyleElement dxfId="5" size="0" type="wholeTable"/>
    </tableStyle>
    <tableStyle count="2" pivot="0" name="Nhập hàng New-style 27">
      <tableStyleElement dxfId="3" type="firstRowStripe"/>
      <tableStyleElement dxfId="2" type="secondRowStripe"/>
    </tableStyle>
    <tableStyle count="2" pivot="0" name="Nhập hàng New-style 28">
      <tableStyleElement dxfId="3" type="firstRowStripe"/>
      <tableStyleElement dxfId="2" type="secondRowStripe"/>
    </tableStyle>
    <tableStyle count="2" pivot="0" name="Nhập hàng New-style 29">
      <tableStyleElement dxfId="3" type="firstRowStripe"/>
      <tableStyleElement dxfId="2" type="secondRowStripe"/>
    </tableStyle>
    <tableStyle count="2" pivot="0" name="Nhập hàng New-style 30">
      <tableStyleElement dxfId="3" type="firstRowStripe"/>
      <tableStyleElement dxfId="2" type="secondRowStripe"/>
    </tableStyle>
    <tableStyle count="2" pivot="0" name="Nhập hàng New-style 31">
      <tableStyleElement dxfId="3" type="firstRowStripe"/>
      <tableStyleElement dxfId="2" type="secondRowStripe"/>
    </tableStyle>
    <tableStyle count="2" pivot="0" name="Nhập hàng New-style 32">
      <tableStyleElement dxfId="3" type="firstRowStripe"/>
      <tableStyleElement dxfId="2" type="secondRowStripe"/>
    </tableStyle>
    <tableStyle count="2" pivot="0" name="Nhập hàng New-style 33">
      <tableStyleElement dxfId="3" type="firstRowStripe"/>
      <tableStyleElement dxfId="2" type="secondRowStripe"/>
    </tableStyle>
    <tableStyle count="2" pivot="0" name="Nhập hàng New-style 34">
      <tableStyleElement dxfId="3" type="firstRowStripe"/>
      <tableStyleElement dxfId="2" type="secondRowStripe"/>
    </tableStyle>
    <tableStyle count="2" pivot="0" name="Nhập hàng New-style 35">
      <tableStyleElement dxfId="3" type="firstRowStripe"/>
      <tableStyleElement dxfId="2" type="secondRowStripe"/>
    </tableStyle>
    <tableStyle count="2" pivot="0" name="Nhập hàng New-style 36">
      <tableStyleElement dxfId="3" type="firstRowStripe"/>
      <tableStyleElement dxfId="2" type="secondRowStripe"/>
    </tableStyle>
    <tableStyle count="2" pivot="0" name="Nhập hàng New-style 37">
      <tableStyleElement dxfId="3" type="firstRowStripe"/>
      <tableStyleElement dxfId="2" type="secondRowStripe"/>
    </tableStyle>
    <tableStyle count="2" pivot="0" name="Nhập hàng New-style 38">
      <tableStyleElement dxfId="3" type="firstRowStripe"/>
      <tableStyleElement dxfId="2" type="secondRowStripe"/>
    </tableStyle>
    <tableStyle count="2" pivot="0" name="Nhập hàng New-style 39">
      <tableStyleElement dxfId="2" type="firstRowStripe"/>
      <tableStyleElement dxfId="3" type="secondRowStripe"/>
    </tableStyle>
    <tableStyle count="2" pivot="0" name="Nhập hàng New-style 40">
      <tableStyleElement dxfId="3" type="firstRowStripe"/>
      <tableStyleElement dxfId="2" type="secondRowStripe"/>
    </tableStyle>
    <tableStyle count="2" pivot="0" name="Nhập hàng New-style 41">
      <tableStyleElement dxfId="3" type="firstRowStripe"/>
      <tableStyleElement dxfId="2" type="secondRowStripe"/>
    </tableStyle>
    <tableStyle count="2" pivot="0" name="Nhập hàng New-style 42">
      <tableStyleElement dxfId="3" type="firstRowStripe"/>
      <tableStyleElement dxfId="2" type="secondRowStripe"/>
    </tableStyle>
    <tableStyle count="2" pivot="0" name="Nhập hàng New-style 43">
      <tableStyleElement dxfId="3" type="firstRowStripe"/>
      <tableStyleElement dxfId="2" type="secondRowStripe"/>
    </tableStyle>
    <tableStyle count="2" pivot="0" name="Nhập hàng New-style 44">
      <tableStyleElement dxfId="3" type="firstRowStripe"/>
      <tableStyleElement dxfId="2" type="secondRowStripe"/>
    </tableStyle>
    <tableStyle count="2" pivot="0" name="Nhập hàng New-style 45">
      <tableStyleElement dxfId="3" type="firstRowStripe"/>
      <tableStyleElement dxfId="2" type="secondRowStripe"/>
    </tableStyle>
    <tableStyle count="2" pivot="0" name="Nhập hàng New-style 46">
      <tableStyleElement dxfId="3" type="firstRowStripe"/>
      <tableStyleElement dxfId="2" type="secondRowStripe"/>
    </tableStyle>
    <tableStyle count="2" pivot="0" name="Nhập hàng New-style 47">
      <tableStyleElement dxfId="3" type="firstRowStripe"/>
      <tableStyleElement dxfId="2" type="secondRowStripe"/>
    </tableStyle>
    <tableStyle count="2" pivot="0" name="Nhập hàng New-style 48">
      <tableStyleElement dxfId="2" type="firstRowStripe"/>
      <tableStyleElement dxfId="3" type="secondRowStripe"/>
    </tableStyle>
    <tableStyle count="2" pivot="0" name="Nhập hàng New-style 49">
      <tableStyleElement dxfId="3" type="firstRowStripe"/>
      <tableStyleElement dxfId="2" type="secondRowStripe"/>
    </tableStyle>
    <tableStyle count="2" pivot="0" name="Nhập hàng New-style 50">
      <tableStyleElement dxfId="3" type="firstRowStripe"/>
      <tableStyleElement dxfId="2" type="secondRowStripe"/>
    </tableStyle>
    <tableStyle count="2" pivot="0" name="Nhập hàng New-style 51">
      <tableStyleElement dxfId="3" type="firstRowStripe"/>
      <tableStyleElement dxfId="2" type="secondRowStripe"/>
    </tableStyle>
    <tableStyle count="2" pivot="0" name="Nhập hàng New-style 52">
      <tableStyleElement dxfId="2" type="firstRowStripe"/>
      <tableStyleElement dxfId="3" type="secondRowStripe"/>
    </tableStyle>
    <tableStyle count="2" pivot="0" name="Nhập hàng New-style 53">
      <tableStyleElement dxfId="3" type="firstRowStripe"/>
      <tableStyleElement dxfId="2" type="secondRowStripe"/>
    </tableStyle>
    <tableStyle count="2" pivot="0" name="Nhập hàng New-style 54">
      <tableStyleElement dxfId="3" type="firstRowStripe"/>
      <tableStyleElement dxfId="2" type="secondRowStripe"/>
    </tableStyle>
    <tableStyle count="2" pivot="0" name="Nhập hàng New-style 55">
      <tableStyleElement dxfId="3" type="firstRowStripe"/>
      <tableStyleElement dxfId="2" type="secondRowStripe"/>
    </tableStyle>
    <tableStyle count="2" pivot="0" name="Nhập hàng New-style 56">
      <tableStyleElement dxfId="2" type="firstRowStripe"/>
      <tableStyleElement dxfId="3" type="secondRowStripe"/>
    </tableStyle>
    <tableStyle count="2" pivot="0" name="Nhập hàng New-style 57">
      <tableStyleElement dxfId="3" type="firstRowStripe"/>
      <tableStyleElement dxfId="2" type="secondRowStripe"/>
    </tableStyle>
    <tableStyle count="2" pivot="0" name="Nhập hàng New-style 58">
      <tableStyleElement dxfId="3" type="firstRowStripe"/>
      <tableStyleElement dxfId="2" type="secondRowStripe"/>
    </tableStyle>
    <tableStyle count="2" pivot="0" name="Nhập hàng New-style 59">
      <tableStyleElement dxfId="3" type="firstRowStripe"/>
      <tableStyleElement dxfId="2" type="secondRowStripe"/>
    </tableStyle>
    <tableStyle count="2" pivot="0" name="Nhập hàng New-style 60">
      <tableStyleElement dxfId="2" type="firstRowStripe"/>
      <tableStyleElement dxfId="3" type="secondRowStripe"/>
    </tableStyle>
    <tableStyle count="2" pivot="0" name="Nhập hàng New-style 61">
      <tableStyleElement dxfId="3" type="firstRowStripe"/>
      <tableStyleElement dxfId="2" type="secondRowStripe"/>
    </tableStyle>
    <tableStyle count="2" pivot="0" name="Nhập hàng New-style 62">
      <tableStyleElement dxfId="3" type="firstRowStripe"/>
      <tableStyleElement dxfId="2" type="secondRowStripe"/>
    </tableStyle>
    <tableStyle count="2" pivot="0" name="Nhập hàng New-style 63">
      <tableStyleElement dxfId="3" type="firstRowStripe"/>
      <tableStyleElement dxfId="2" type="secondRowStripe"/>
    </tableStyle>
    <tableStyle count="2" pivot="0" name="Nhập hàng New-style 64">
      <tableStyleElement dxfId="2" type="firstRowStripe"/>
      <tableStyleElement dxfId="3" type="secondRowStripe"/>
    </tableStyle>
    <tableStyle count="2" pivot="0" name="Nhập hàng New-style 65">
      <tableStyleElement dxfId="3" type="firstRowStripe"/>
      <tableStyleElement dxfId="2" type="secondRowStripe"/>
    </tableStyle>
    <tableStyle count="2" pivot="0" name="Nhập hàng New-style 66">
      <tableStyleElement dxfId="3" type="firstRowStripe"/>
      <tableStyleElement dxfId="2" type="secondRowStripe"/>
    </tableStyle>
    <tableStyle count="2" pivot="0" name="Nhập hàng New-style 67">
      <tableStyleElement dxfId="2" type="firstRowStripe"/>
      <tableStyleElement dxfId="3" type="secondRowStripe"/>
    </tableStyle>
    <tableStyle count="2" pivot="0" name="Nhập hàng New-style 68">
      <tableStyleElement dxfId="2" type="firstRowStripe"/>
      <tableStyleElement dxfId="3" type="secondRowStripe"/>
    </tableStyle>
    <tableStyle count="2" pivot="0" name="Nhập hàng New-style 69">
      <tableStyleElement dxfId="3" type="firstRowStripe"/>
      <tableStyleElement dxfId="2" type="secondRowStripe"/>
    </tableStyle>
    <tableStyle count="2" pivot="0" name="Nhập hàng New-style 70">
      <tableStyleElement dxfId="3" type="firstRowStripe"/>
      <tableStyleElement dxfId="2" type="secondRowStripe"/>
    </tableStyle>
    <tableStyle count="2" pivot="0" name="Nhập hàng New-style 71">
      <tableStyleElement dxfId="2" type="firstRowStripe"/>
      <tableStyleElement dxfId="3" type="secondRowStripe"/>
    </tableStyle>
    <tableStyle count="2" pivot="0" name="Nhập hàng New-style 72">
      <tableStyleElement dxfId="2" type="firstRowStripe"/>
      <tableStyleElement dxfId="3" type="secondRowStripe"/>
    </tableStyle>
    <tableStyle count="2" pivot="0" name="Nhập hàng New-style 73">
      <tableStyleElement dxfId="3" type="firstRowStripe"/>
      <tableStyleElement dxfId="2" type="secondRowStripe"/>
    </tableStyle>
    <tableStyle count="2" pivot="0" name="Nhập hàng New-style 74">
      <tableStyleElement dxfId="3" type="firstRowStripe"/>
      <tableStyleElement dxfId="2" type="secondRowStripe"/>
    </tableStyle>
    <tableStyle count="2" pivot="0" name="Nhập hàng New-style 75">
      <tableStyleElement dxfId="2" type="firstRowStripe"/>
      <tableStyleElement dxfId="3" type="secondRowStripe"/>
    </tableStyle>
    <tableStyle count="2" pivot="0" name="Nhập hàng New-style 76">
      <tableStyleElement dxfId="2" type="firstRowStripe"/>
      <tableStyleElement dxfId="3" type="secondRowStripe"/>
    </tableStyle>
    <tableStyle count="2" pivot="0" name="Nhập hàng New-style 77">
      <tableStyleElement dxfId="3" type="firstRowStripe"/>
      <tableStyleElement dxfId="2" type="secondRowStripe"/>
    </tableStyle>
    <tableStyle count="2" pivot="0" name="Nhập hàng New-style 78">
      <tableStyleElement dxfId="3" type="firstRowStripe"/>
      <tableStyleElement dxfId="2" type="secondRowStripe"/>
    </tableStyle>
    <tableStyle count="2" pivot="0" name="Nhập hàng New-style 79">
      <tableStyleElement dxfId="2" type="firstRowStripe"/>
      <tableStyleElement dxfId="3" type="secondRowStripe"/>
    </tableStyle>
    <tableStyle count="2" pivot="0" name="Nhập hàng New-style 80">
      <tableStyleElement dxfId="2" type="firstRowStripe"/>
      <tableStyleElement dxfId="3" type="secondRowStripe"/>
    </tableStyle>
    <tableStyle count="2" pivot="0" name="Nhập hàng New-style 81">
      <tableStyleElement dxfId="3" type="firstRowStripe"/>
      <tableStyleElement dxfId="2" type="secondRowStripe"/>
    </tableStyle>
    <tableStyle count="2" pivot="0" name="Nhập hàng New-style 82">
      <tableStyleElement dxfId="3" type="firstRowStripe"/>
      <tableStyleElement dxfId="2" type="secondRowStripe"/>
    </tableStyle>
    <tableStyle count="2" pivot="0" name="Nhập hàng New-style 83">
      <tableStyleElement dxfId="2" type="firstRowStripe"/>
      <tableStyleElement dxfId="3" type="secondRowStripe"/>
    </tableStyle>
    <tableStyle count="2" pivot="0" name="Nhập hàng New-style 84">
      <tableStyleElement dxfId="2" type="firstRowStripe"/>
      <tableStyleElement dxfId="3" type="secondRowStripe"/>
    </tableStyle>
    <tableStyle count="2" pivot="0" name="Nhập hàng New-style 85">
      <tableStyleElement dxfId="3" type="firstRowStripe"/>
      <tableStyleElement dxfId="2" type="secondRowStripe"/>
    </tableStyle>
    <tableStyle count="2" pivot="0" name="Nhập hàng New-style 86">
      <tableStyleElement dxfId="3" type="firstRowStripe"/>
      <tableStyleElement dxfId="2" type="secondRowStripe"/>
    </tableStyle>
    <tableStyle count="2" pivot="0" name="Nhập hàng New-style 87">
      <tableStyleElement dxfId="3" type="firstRowStripe"/>
      <tableStyleElement dxfId="2" type="secondRowStripe"/>
    </tableStyle>
    <tableStyle count="2" pivot="0" name="Nhập hàng New-style 88">
      <tableStyleElement dxfId="2" type="firstRowStripe"/>
      <tableStyleElement dxfId="3" type="secondRowStripe"/>
    </tableStyle>
    <tableStyle count="2" pivot="0" name="Nhập hàng New-style 89">
      <tableStyleElement dxfId="2" type="firstRowStripe"/>
      <tableStyleElement dxfId="3" type="secondRowStripe"/>
    </tableStyle>
    <tableStyle count="2" pivot="0" name="Nhập hàng New-style 90">
      <tableStyleElement dxfId="3" type="firstRowStripe"/>
      <tableStyleElement dxfId="2" type="secondRowStripe"/>
    </tableStyle>
    <tableStyle count="2" pivot="0" name="Nhập hàng New-style 91">
      <tableStyleElement dxfId="3" type="firstRowStripe"/>
      <tableStyleElement dxfId="2" type="secondRowStripe"/>
    </tableStyle>
    <tableStyle count="2" pivot="0" name="Nhập hàng New-style 92">
      <tableStyleElement dxfId="3" type="firstRowStripe"/>
      <tableStyleElement dxfId="2" type="secondRowStripe"/>
    </tableStyle>
    <tableStyle count="2" pivot="0" name="Nhập hàng New-style 93">
      <tableStyleElement dxfId="2" type="firstRowStripe"/>
      <tableStyleElement dxfId="3" type="secondRowStripe"/>
    </tableStyle>
    <tableStyle count="2" pivot="0" name="Nhập hàng New-style 94">
      <tableStyleElement dxfId="2" type="firstRowStripe"/>
      <tableStyleElement dxfId="3" type="secondRowStripe"/>
    </tableStyle>
    <tableStyle count="2" pivot="0" name="Nhập hàng New-style 95">
      <tableStyleElement dxfId="3" type="firstRowStripe"/>
      <tableStyleElement dxfId="2" type="secondRowStripe"/>
    </tableStyle>
    <tableStyle count="2" pivot="0" name="Nhập hàng New-style 96">
      <tableStyleElement dxfId="3" type="firstRowStripe"/>
      <tableStyleElement dxfId="2" type="secondRowStripe"/>
    </tableStyle>
    <tableStyle count="2" pivot="0" name="Nhập hàng New-style 97">
      <tableStyleElement dxfId="3" type="firstRowStripe"/>
      <tableStyleElement dxfId="2" type="secondRowStripe"/>
    </tableStyle>
    <tableStyle count="2" pivot="0" name="Nhập hàng New-style 98">
      <tableStyleElement dxfId="2" type="firstRowStripe"/>
      <tableStyleElement dxfId="3" type="secondRowStripe"/>
    </tableStyle>
    <tableStyle count="2" pivot="0" name="Nhập hàng New-style 99">
      <tableStyleElement dxfId="2" type="firstRowStripe"/>
      <tableStyleElement dxfId="3" type="secondRowStripe"/>
    </tableStyle>
    <tableStyle count="2" pivot="0" name="Nhập hàng New-style 100">
      <tableStyleElement dxfId="3" type="firstRowStripe"/>
      <tableStyleElement dxfId="2" type="secondRowStripe"/>
    </tableStyle>
    <tableStyle count="2" pivot="0" name="Nhập hàng New-style 101">
      <tableStyleElement dxfId="3" type="firstRowStripe"/>
      <tableStyleElement dxfId="2" type="secondRowStripe"/>
    </tableStyle>
    <tableStyle count="2" pivot="0" name="Nhập hàng New-style 102">
      <tableStyleElement dxfId="3" type="firstRowStripe"/>
      <tableStyleElement dxfId="2" type="secondRowStripe"/>
    </tableStyle>
    <tableStyle count="2" pivot="0" name="Nhập hàng New-style 103">
      <tableStyleElement dxfId="2" type="firstRowStripe"/>
      <tableStyleElement dxfId="3" type="secondRowStripe"/>
    </tableStyle>
    <tableStyle count="2" pivot="0" name="Nhập hàng New-style 104">
      <tableStyleElement dxfId="2" type="firstRowStripe"/>
      <tableStyleElement dxfId="3" type="secondRowStripe"/>
    </tableStyle>
    <tableStyle count="2" pivot="0" name="Nhập hàng New-style 105">
      <tableStyleElement dxfId="3" type="firstRowStripe"/>
      <tableStyleElement dxfId="2" type="secondRowStripe"/>
    </tableStyle>
    <tableStyle count="2" pivot="0" name="Nhập hàng New-style 106">
      <tableStyleElement dxfId="3" type="firstRowStripe"/>
      <tableStyleElement dxfId="2" type="secondRowStripe"/>
    </tableStyle>
    <tableStyle count="2" pivot="0" name="Nhập hàng New-style 107">
      <tableStyleElement dxfId="3" type="firstRowStripe"/>
      <tableStyleElement dxfId="2" type="secondRowStripe"/>
    </tableStyle>
    <tableStyle count="2" pivot="0" name="Nhập hàng New-style 108">
      <tableStyleElement dxfId="3" type="firstRowStripe"/>
      <tableStyleElement dxfId="2" type="secondRowStripe"/>
    </tableStyle>
    <tableStyle count="2" pivot="0" name="Nhập hàng New-style 109">
      <tableStyleElement dxfId="2" type="firstRowStripe"/>
      <tableStyleElement dxfId="3" type="secondRowStripe"/>
    </tableStyle>
    <tableStyle count="2" pivot="0" name="Nhập hàng New-style 110">
      <tableStyleElement dxfId="2" type="firstRowStripe"/>
      <tableStyleElement dxfId="3" type="secondRowStripe"/>
    </tableStyle>
    <tableStyle count="2" pivot="0" name="Nhập hàng New-style 111">
      <tableStyleElement dxfId="3" type="firstRowStripe"/>
      <tableStyleElement dxfId="2" type="secondRowStripe"/>
    </tableStyle>
    <tableStyle count="2" pivot="0" name="Nhập hàng New-style 112">
      <tableStyleElement dxfId="3" type="firstRowStripe"/>
      <tableStyleElement dxfId="2" type="secondRowStripe"/>
    </tableStyle>
    <tableStyle count="2" pivot="0" name="Nhập hàng New-style 113">
      <tableStyleElement dxfId="3" type="firstRowStripe"/>
      <tableStyleElement dxfId="2" type="secondRowStripe"/>
    </tableStyle>
    <tableStyle count="2" pivot="0" name="Nhập hàng New-style 114">
      <tableStyleElement dxfId="3" type="firstRowStripe"/>
      <tableStyleElement dxfId="2" type="secondRowStripe"/>
    </tableStyle>
    <tableStyle count="2" pivot="0" name="Nhập hàng New-style 115">
      <tableStyleElement dxfId="3" type="firstRowStripe"/>
      <tableStyleElement dxfId="2" type="secondRowStripe"/>
    </tableStyle>
    <tableStyle count="2" pivot="0" name="Nhập hàng New-style 116">
      <tableStyleElement dxfId="2" type="firstRowStripe"/>
      <tableStyleElement dxfId="3" type="secondRowStripe"/>
    </tableStyle>
    <tableStyle count="2" pivot="0" name="Nhập hàng New-style 117">
      <tableStyleElement dxfId="2" type="firstRowStripe"/>
      <tableStyleElement dxfId="3" type="secondRowStripe"/>
    </tableStyle>
    <tableStyle count="2" pivot="0" name="Nhập hàng New-style 118">
      <tableStyleElement dxfId="3" type="firstRowStripe"/>
      <tableStyleElement dxfId="2" type="secondRowStripe"/>
    </tableStyle>
    <tableStyle count="2" pivot="0" name="Nhập hàng New-style 119">
      <tableStyleElement dxfId="3" type="firstRowStripe"/>
      <tableStyleElement dxfId="2" type="secondRowStripe"/>
    </tableStyle>
    <tableStyle count="2" pivot="0" name="Nhập hàng New-style 120">
      <tableStyleElement dxfId="3" type="firstRowStripe"/>
      <tableStyleElement dxfId="2" type="secondRowStripe"/>
    </tableStyle>
    <tableStyle count="2" pivot="0" name="Nhập hàng New-style 121">
      <tableStyleElement dxfId="3" type="firstRowStripe"/>
      <tableStyleElement dxfId="2" type="secondRowStripe"/>
    </tableStyle>
    <tableStyle count="2" pivot="0" name="Nhập hàng New-style 12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X98:AG111" displayName="Item_Stock_Levels" name="Item_Stock_Levels" id="1">
  <tableColumns count="10">
    <tableColumn name="Column 1" id="1"/>
    <tableColumn name="Chưa Quay" id="2"/>
    <tableColumn name="Column 10" id="3"/>
    <tableColumn totalsRowFunction="custom" name="Tổng Tồn" id="4"/>
    <tableColumn name="Tồn XL" id="5"/>
    <tableColumn name="Tồn XĐ sau" id="6"/>
    <tableColumn name="Tồn VTD" id="7"/>
    <tableColumn name="tồn ĐN" id="8"/>
    <tableColumn name="Column 8" id="9"/>
    <tableColumn name="Column 9" id="10"/>
  </tableColumns>
  <tableStyleInfo name="Nhập hàng New-style" showColumnStripes="0" showFirstColumn="1" showLastColumn="1" showRowStripes="1"/>
</table>
</file>

<file path=xl/tables/table2.xml><?xml version="1.0" encoding="utf-8"?>
<table xmlns="http://schemas.openxmlformats.org/spreadsheetml/2006/main" totalsRowCount="1" ref="X113:AG126" displayName="Table1" name="Table1" id="2">
  <tableColumns count="10">
    <tableColumn name="Column 1" id="1"/>
    <tableColumn name="Chưa Quay" id="2"/>
    <tableColumn name="Column 10" id="3"/>
    <tableColumn totalsRowFunction="custom" name="Tổng Tồn" id="4"/>
    <tableColumn totalsRowFunction="custom" name="Tồn XL" id="5"/>
    <tableColumn name="Tồn XĐ sau" id="6"/>
    <tableColumn name="Tồn VTD" id="7"/>
    <tableColumn name="Tồn CN A" id="8"/>
    <tableColumn name="Tồn CN B" id="9"/>
    <tableColumn totalsRowFunction="custom" name="Tồn ĐN" id="10"/>
  </tableColumns>
  <tableStyleInfo name="Nhập hàng New-style 2" showColumnStripes="0" showFirstColumn="1" showLastColumn="1" showRowStripes="1"/>
</table>
</file>

<file path=xl/tables/table3.xml><?xml version="1.0" encoding="utf-8"?>
<table xmlns="http://schemas.openxmlformats.org/spreadsheetml/2006/main" totalsRowCount="1" ref="X129:AG142" displayName="Table2" name="Table2" id="3">
  <tableColumns count="10">
    <tableColumn name="Column 1" id="1"/>
    <tableColumn name="Chưa Quay" id="2"/>
    <tableColumn name="Column 10" id="3"/>
    <tableColumn totalsRowFunction="custom" name="Tổng Tồn" id="4"/>
    <tableColumn totalsRowFunction="custom" name="Tồn XL" id="5"/>
    <tableColumn totalsRowFunction="custom" name="Tồn XĐ sau" id="6"/>
    <tableColumn totalsRowFunction="custom" name="Tồn VTD" id="7"/>
    <tableColumn totalsRowFunction="custom" name="Tồn CN A" id="8"/>
    <tableColumn totalsRowFunction="custom" name="Tồn CN B" id="9"/>
    <tableColumn totalsRowFunction="custom" name="Tồn ĐN" id="10"/>
  </tableColumns>
  <tableStyleInfo name="Nhập hàng New-style 3" showColumnStripes="0" showFirstColumn="1" showLastColumn="1" showRowStripes="1"/>
</table>
</file>

<file path=xl/tables/table4.xml><?xml version="1.0" encoding="utf-8"?>
<table xmlns="http://schemas.openxmlformats.org/spreadsheetml/2006/main" totalsRowCount="1" ref="X145:AG158" displayName="Table3" name="Table3" id="4">
  <tableColumns count="10">
    <tableColumn name="Column 1" id="1"/>
    <tableColumn totalsRowFunction="custom" name="Chưa Quay" id="2"/>
    <tableColumn name="Column 10" id="3"/>
    <tableColumn totalsRowFunction="custom" name="Tổng Tồn" id="4"/>
    <tableColumn totalsRowFunction="custom" name="Tồn XL" id="5"/>
    <tableColumn totalsRowFunction="custom" name="Tồn XĐ sau" id="6"/>
    <tableColumn totalsRowFunction="custom" name="Tồn VTD" id="7"/>
    <tableColumn totalsRowFunction="custom" name="Tồn CN A" id="8"/>
    <tableColumn totalsRowFunction="custom" name="Tồn CN B" id="9"/>
    <tableColumn totalsRowFunction="custom" name="Tồn ĐN" id="10"/>
  </tableColumns>
  <tableStyleInfo name="Nhập hàng New-style 4" showColumnStripes="0" showFirstColumn="1" showLastColumn="1" showRowStripes="1"/>
</table>
</file>

<file path=xl/tables/table5.xml><?xml version="1.0" encoding="utf-8"?>
<table xmlns="http://schemas.openxmlformats.org/spreadsheetml/2006/main" totalsRowCount="1" ref="R175:Z188" displayName="Table4" name="Table4" id="5">
  <tableColumns count="9">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ĐN" id="9"/>
  </tableColumns>
  <tableStyleInfo name="Nhập hàng New-style 5" showColumnStripes="0" showFirstColumn="1" showLastColumn="1" showRowStripes="1"/>
</table>
</file>

<file path=xl/tables/table6.xml><?xml version="1.0" encoding="utf-8"?>
<table xmlns="http://schemas.openxmlformats.org/spreadsheetml/2006/main" totalsRowCount="1" ref="R191:Z204" displayName="Table5" name="Table5" id="6">
  <tableColumns count="9">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ĐN" id="9"/>
  </tableColumns>
  <tableStyleInfo name="Nhập hàng New-style 6" showColumnStripes="0" showFirstColumn="1" showLastColumn="1" showRowStripes="1"/>
</table>
</file>

<file path=xl/tables/table7.xml><?xml version="1.0" encoding="utf-8"?>
<table xmlns="http://schemas.openxmlformats.org/spreadsheetml/2006/main" totalsRowCount="1" ref="R207:Z220" displayName="Table6" name="Table6" id="7">
  <tableColumns count="9">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ĐN" id="9"/>
  </tableColumns>
  <tableStyleInfo name="Nhập hàng New-style 7" showColumnStripes="0" showFirstColumn="1" showLastColumn="1" showRowStripes="1"/>
</table>
</file>

<file path=xl/tables/table8.xml><?xml version="1.0" encoding="utf-8"?>
<table xmlns="http://schemas.openxmlformats.org/spreadsheetml/2006/main" totalsRowCount="1" ref="R223:Z236" displayName="Table7" name="Table7" id="8">
  <tableColumns count="9">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ĐN" id="9"/>
  </tableColumns>
  <tableStyleInfo name="Nhập hàng New-style 8" showColumnStripes="0" showFirstColumn="1" showLastColumn="1" showRowStripes="1"/>
</table>
</file>

<file path=xl/tables/table9.xml><?xml version="1.0" encoding="utf-8"?>
<table xmlns="http://schemas.openxmlformats.org/spreadsheetml/2006/main" headerRowCount="0" ref="O225:O235" displayName="Table_1" name="Table_1" id="9">
  <tableColumns count="1">
    <tableColumn name="Column1" id="1"/>
  </tableColumns>
  <tableStyleInfo name="Nhập hàng New-style 9" showColumnStripes="0" showFirstColumn="1" showLastColumn="1" showRowStripes="1"/>
</table>
</file>

<file path=xl/tables/table10.xml><?xml version="1.0" encoding="utf-8"?>
<table xmlns="http://schemas.openxmlformats.org/spreadsheetml/2006/main" totalsRowCount="1" ref="R239:AA252" displayName="Table8" name="Table8" id="10">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10" showColumnStripes="0" showFirstColumn="1" showLastColumn="1" showRowStripes="1"/>
</table>
</file>

<file path=xl/tables/table11.xml><?xml version="1.0" encoding="utf-8"?>
<table xmlns="http://schemas.openxmlformats.org/spreadsheetml/2006/main" totalsRowCount="1" ref="R255:AA268" displayName="Table9" name="Table9" id="11">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11" showColumnStripes="0" showFirstColumn="1" showLastColumn="1" showRowStripes="1"/>
</table>
</file>

<file path=xl/tables/table12.xml><?xml version="1.0" encoding="utf-8"?>
<table xmlns="http://schemas.openxmlformats.org/spreadsheetml/2006/main" headerRowCount="0" ref="O257:O267" displayName="Table_2" name="Table_2" id="12">
  <tableColumns count="1">
    <tableColumn name="Column1" id="1"/>
  </tableColumns>
  <tableStyleInfo name="Nhập hàng New-style 12" showColumnStripes="0" showFirstColumn="1" showLastColumn="1" showRowStripes="1"/>
</table>
</file>

<file path=xl/tables/table13.xml><?xml version="1.0" encoding="utf-8"?>
<table xmlns="http://schemas.openxmlformats.org/spreadsheetml/2006/main" totalsRowCount="1" ref="R271:AA284" displayName="Table10" name="Table10" id="13">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13" showColumnStripes="0" showFirstColumn="1" showLastColumn="1" showRowStripes="1"/>
</table>
</file>

<file path=xl/tables/table14.xml><?xml version="1.0" encoding="utf-8"?>
<table xmlns="http://schemas.openxmlformats.org/spreadsheetml/2006/main" totalsRowCount="1" ref="R288:AA301" displayName="Table11" name="Table11" id="14">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14" showColumnStripes="0" showFirstColumn="1" showLastColumn="1" showRowStripes="1"/>
</table>
</file>

<file path=xl/tables/table15.xml><?xml version="1.0" encoding="utf-8"?>
<table xmlns="http://schemas.openxmlformats.org/spreadsheetml/2006/main" headerRowCount="0" ref="O290:O300" displayName="Table_3" name="Table_3" id="15">
  <tableColumns count="1">
    <tableColumn name="Column1" id="1"/>
  </tableColumns>
  <tableStyleInfo name="Nhập hàng New-style 15" showColumnStripes="0" showFirstColumn="1" showLastColumn="1" showRowStripes="1"/>
</table>
</file>

<file path=xl/tables/table16.xml><?xml version="1.0" encoding="utf-8"?>
<table xmlns="http://schemas.openxmlformats.org/spreadsheetml/2006/main" totalsRowCount="1" ref="R304:AA317" displayName="Table12" name="Table12" id="16">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16" showColumnStripes="0" showFirstColumn="1" showLastColumn="1" showRowStripes="1"/>
</table>
</file>

<file path=xl/tables/table17.xml><?xml version="1.0" encoding="utf-8"?>
<table xmlns="http://schemas.openxmlformats.org/spreadsheetml/2006/main" totalsRowCount="1" ref="R320:AA333" displayName="Table13" name="Table13" id="17">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17" showColumnStripes="0" showFirstColumn="1" showLastColumn="1" showRowStripes="1"/>
</table>
</file>

<file path=xl/tables/table18.xml><?xml version="1.0" encoding="utf-8"?>
<table xmlns="http://schemas.openxmlformats.org/spreadsheetml/2006/main" headerRowCount="0" ref="O322:Q332" displayName="Table_4" name="Table_4" id="18">
  <tableColumns count="3">
    <tableColumn name="Column1" id="1"/>
    <tableColumn name="Column2" id="2"/>
    <tableColumn name="Column3" id="3"/>
  </tableColumns>
  <tableStyleInfo name="Nhập hàng New-style 18" showColumnStripes="0" showFirstColumn="1" showLastColumn="1" showRowStripes="1"/>
</table>
</file>

<file path=xl/tables/table19.xml><?xml version="1.0" encoding="utf-8"?>
<table xmlns="http://schemas.openxmlformats.org/spreadsheetml/2006/main" totalsRowCount="1" ref="R338:AA351" displayName="Table14" name="Table14" id="19">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Label="19" name="Tồn CN B" id="8"/>
    <tableColumn totalsRowFunction="custom" name="Tồn CN B2" id="9"/>
    <tableColumn totalsRowFunction="custom" name="Tồn ĐN" id="10"/>
  </tableColumns>
  <tableStyleInfo name="Nhập hàng New-style 19" showColumnStripes="0" showFirstColumn="1" showLastColumn="1" showRowStripes="1"/>
</table>
</file>

<file path=xl/tables/table20.xml><?xml version="1.0" encoding="utf-8"?>
<table xmlns="http://schemas.openxmlformats.org/spreadsheetml/2006/main" totalsRowCount="1" ref="R354:AA367" displayName="Table15" name="Table15" id="20">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20" showColumnStripes="0" showFirstColumn="1" showLastColumn="1" showRowStripes="1"/>
</table>
</file>

<file path=xl/tables/table21.xml><?xml version="1.0" encoding="utf-8"?>
<table xmlns="http://schemas.openxmlformats.org/spreadsheetml/2006/main" headerRowCount="0" ref="O356:Q366" displayName="Table_5" name="Table_5" id="21">
  <tableColumns count="3">
    <tableColumn name="Column1" id="1"/>
    <tableColumn name="Column2" id="2"/>
    <tableColumn name="Column3" id="3"/>
  </tableColumns>
  <tableStyleInfo name="Nhập hàng New-style 21" showColumnStripes="0" showFirstColumn="1" showLastColumn="1" showRowStripes="1"/>
</table>
</file>

<file path=xl/tables/table22.xml><?xml version="1.0" encoding="utf-8"?>
<table xmlns="http://schemas.openxmlformats.org/spreadsheetml/2006/main" totalsRowCount="1" ref="R369:AA382" displayName="Table16" name="Table16" id="22">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22" showColumnStripes="0" showFirstColumn="1" showLastColumn="1" showRowStripes="1"/>
</table>
</file>

<file path=xl/tables/table23.xml><?xml version="1.0" encoding="utf-8"?>
<table xmlns="http://schemas.openxmlformats.org/spreadsheetml/2006/main" totalsRowCount="1" ref="R386:AA399" displayName="Table17" name="Table17" id="23">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23" showColumnStripes="0" showFirstColumn="1" showLastColumn="1" showRowStripes="1"/>
</table>
</file>

<file path=xl/tables/table24.xml><?xml version="1.0" encoding="utf-8"?>
<table xmlns="http://schemas.openxmlformats.org/spreadsheetml/2006/main" headerRowCount="0" ref="O388:Q398" displayName="Table_6" name="Table_6" id="24">
  <tableColumns count="3">
    <tableColumn name="Column1" id="1"/>
    <tableColumn name="Column2" id="2"/>
    <tableColumn name="Column3" id="3"/>
  </tableColumns>
  <tableStyleInfo name="Nhập hàng New-style 24" showColumnStripes="0" showFirstColumn="1" showLastColumn="1" showRowStripes="1"/>
</table>
</file>

<file path=xl/tables/table25.xml><?xml version="1.0" encoding="utf-8"?>
<table xmlns="http://schemas.openxmlformats.org/spreadsheetml/2006/main" totalsRowCount="1" ref="R401:AA414" displayName="Table18" name="Table18" id="25">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Label="7"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25" showColumnStripes="0" showFirstColumn="1" showLastColumn="1" showRowStripes="1"/>
</table>
</file>

<file path=xl/tables/table26.xml><?xml version="1.0" encoding="utf-8"?>
<table xmlns="http://schemas.openxmlformats.org/spreadsheetml/2006/main" totalsRowCount="1" ref="R418:AA431" displayName="Table19" name="Table19" id="26">
  <tableColumns count="10">
    <tableColumn name="Column 1" id="1"/>
    <tableColumn totalsRowFunction="custom" name="Chưa Quay" id="2"/>
    <tableColumn totalsRowFunction="custom" name="Tổng Tồn" id="3"/>
    <tableColumn totalsRowFunction="custom" name="Tồn XL" id="4"/>
    <tableColumn totalsRowFunction="custom" name="Tồn XĐ sau" id="5"/>
    <tableColumn totalsRowFunction="custom" name="Tồn VTD" id="6"/>
    <tableColumn totalsRowFunction="custom" name="Tồn CN A" id="7"/>
    <tableColumn totalsRowFunction="custom" name="Tồn CN B" id="8"/>
    <tableColumn totalsRowFunction="custom" name="Tồn CN B2" id="9"/>
    <tableColumn totalsRowFunction="custom" name="Tồn ĐN" id="10"/>
  </tableColumns>
  <tableStyleInfo name="Nhập hàng New-style 26" showColumnStripes="0" showFirstColumn="1" showLastColumn="1" showRowStripes="1"/>
</table>
</file>

<file path=xl/tables/table27.xml><?xml version="1.0" encoding="utf-8"?>
<table xmlns="http://schemas.openxmlformats.org/spreadsheetml/2006/main" headerRowCount="0" ref="O420:Q430" displayName="Table_7" name="Table_7" id="27">
  <tableColumns count="3">
    <tableColumn name="Column1" id="1"/>
    <tableColumn name="Column2" id="2"/>
    <tableColumn name="Column3" id="3"/>
  </tableColumns>
  <tableStyleInfo name="Nhập hàng New-style 27" showColumnStripes="0" showFirstColumn="1" showLastColumn="1" showRowStripes="1"/>
</table>
</file>

<file path=xl/tables/table28.xml><?xml version="1.0" encoding="utf-8"?>
<table xmlns="http://schemas.openxmlformats.org/spreadsheetml/2006/main" headerRowCount="0" ref="O436:AC446" displayName="Table_8" name="Table_8" id="2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Nhập hàng New-style 28" showColumnStripes="0" showFirstColumn="1" showLastColumn="1" showRowStripes="1"/>
</table>
</file>

<file path=xl/tables/table29.xml><?xml version="1.0" encoding="utf-8"?>
<table xmlns="http://schemas.openxmlformats.org/spreadsheetml/2006/main" headerRowCount="0" ref="O453:AC463" displayName="Table_9" name="Table_9" id="2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Nhập hàng New-style 29" showColumnStripes="0" showFirstColumn="1" showLastColumn="1" showRowStripes="1"/>
</table>
</file>

<file path=xl/tables/table30.xml><?xml version="1.0" encoding="utf-8"?>
<table xmlns="http://schemas.openxmlformats.org/spreadsheetml/2006/main" headerRowCount="0" ref="O469:AC479" displayName="Table_10" name="Table_10" id="3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Nhập hàng New-style 30" showColumnStripes="0" showFirstColumn="1" showLastColumn="1" showRowStripes="1"/>
</table>
</file>

<file path=xl/tables/table31.xml><?xml version="1.0" encoding="utf-8"?>
<table xmlns="http://schemas.openxmlformats.org/spreadsheetml/2006/main" headerRowCount="0" ref="O488:AC498" displayName="Table_11" name="Table_11" id="3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Nhập hàng New-style 31" showColumnStripes="0" showFirstColumn="1" showLastColumn="1" showRowStripes="1"/>
</table>
</file>

<file path=xl/tables/table32.xml><?xml version="1.0" encoding="utf-8"?>
<table xmlns="http://schemas.openxmlformats.org/spreadsheetml/2006/main" headerRowCount="0" ref="P505:P516" displayName="Table_12" name="Table_12" id="32">
  <tableColumns count="1">
    <tableColumn name="Column1" id="1"/>
  </tableColumns>
  <tableStyleInfo name="Nhập hàng New-style 32" showColumnStripes="0" showFirstColumn="1" showLastColumn="1" showRowStripes="1"/>
</table>
</file>

<file path=xl/tables/table33.xml><?xml version="1.0" encoding="utf-8"?>
<table xmlns="http://schemas.openxmlformats.org/spreadsheetml/2006/main" headerRowCount="0" ref="R505:AC515" displayName="Table_13" name="Table_13" id="3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Nhập hàng New-style 33" showColumnStripes="0" showFirstColumn="1" showLastColumn="1" showRowStripes="1"/>
</table>
</file>

<file path=xl/tables/table34.xml><?xml version="1.0" encoding="utf-8"?>
<table xmlns="http://schemas.openxmlformats.org/spreadsheetml/2006/main" headerRowCount="0" ref="O521:AB531" displayName="Table_14" name="Table_14" id="3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Nhập hàng New-style 34" showColumnStripes="0" showFirstColumn="1" showLastColumn="1" showRowStripes="1"/>
</table>
</file>

<file path=xl/tables/table35.xml><?xml version="1.0" encoding="utf-8"?>
<table xmlns="http://schemas.openxmlformats.org/spreadsheetml/2006/main" headerRowCount="0" ref="P537:P565" displayName="Table_15" name="Table_15" id="35">
  <tableColumns count="1">
    <tableColumn name="Column1" id="1"/>
  </tableColumns>
  <tableStyleInfo name="Nhập hàng New-style 35" showColumnStripes="0" showFirstColumn="1" showLastColumn="1" showRowStripes="1"/>
</table>
</file>

<file path=xl/tables/table36.xml><?xml version="1.0" encoding="utf-8"?>
<table xmlns="http://schemas.openxmlformats.org/spreadsheetml/2006/main" headerRowCount="0" ref="R537:AB547" displayName="Table_16" name="Table_16" id="3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Nhập hàng New-style 36" showColumnStripes="0" showFirstColumn="1" showLastColumn="1" showRowStripes="1"/>
</table>
</file>

<file path=xl/tables/table37.xml><?xml version="1.0" encoding="utf-8"?>
<table xmlns="http://schemas.openxmlformats.org/spreadsheetml/2006/main" headerRowCount="0" ref="P569:P580" displayName="Table_17" name="Table_17" id="37">
  <tableColumns count="1">
    <tableColumn name="Column1" id="1"/>
  </tableColumns>
  <tableStyleInfo name="Nhập hàng New-style 37" showColumnStripes="0" showFirstColumn="1" showLastColumn="1" showRowStripes="1"/>
</table>
</file>

<file path=xl/tables/table38.xml><?xml version="1.0" encoding="utf-8"?>
<table xmlns="http://schemas.openxmlformats.org/spreadsheetml/2006/main" headerRowCount="0" ref="P584:P598" displayName="Table_18" name="Table_18" id="38">
  <tableColumns count="1">
    <tableColumn name="Column1" id="1"/>
  </tableColumns>
  <tableStyleInfo name="Nhập hàng New-style 38" showColumnStripes="0" showFirstColumn="1" showLastColumn="1" showRowStripes="1"/>
</table>
</file>

<file path=xl/tables/table39.xml><?xml version="1.0" encoding="utf-8"?>
<table xmlns="http://schemas.openxmlformats.org/spreadsheetml/2006/main" headerRowCount="0" ref="P601:P613" displayName="Table_19" name="Table_19" id="39">
  <tableColumns count="1">
    <tableColumn name="Column1" id="1"/>
  </tableColumns>
  <tableStyleInfo name="Nhập hàng New-style 39" showColumnStripes="0" showFirstColumn="1" showLastColumn="1" showRowStripes="1"/>
</table>
</file>

<file path=xl/tables/table40.xml><?xml version="1.0" encoding="utf-8"?>
<table xmlns="http://schemas.openxmlformats.org/spreadsheetml/2006/main" headerRowCount="0" ref="O618:AB628" displayName="Table_20" name="Table_20" id="4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Nhập hàng New-style 40" showColumnStripes="0" showFirstColumn="1" showLastColumn="1" showRowStripes="1"/>
</table>
</file>

<file path=xl/tables/table41.xml><?xml version="1.0" encoding="utf-8"?>
<table xmlns="http://schemas.openxmlformats.org/spreadsheetml/2006/main" headerRowCount="0" ref="P630" displayName="Table_21" name="Table_21" id="41">
  <tableColumns count="1">
    <tableColumn name="Column1" id="1"/>
  </tableColumns>
  <tableStyleInfo name="Nhập hàng New-style 41" showColumnStripes="0" showFirstColumn="1" showLastColumn="1" showRowStripes="1"/>
</table>
</file>

<file path=xl/tables/table42.xml><?xml version="1.0" encoding="utf-8"?>
<table xmlns="http://schemas.openxmlformats.org/spreadsheetml/2006/main" headerRowCount="0" ref="O636:AB646" displayName="Table_22" name="Table_22" id="4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Nhập hàng New-style 42" showColumnStripes="0" showFirstColumn="1" showLastColumn="1" showRowStripes="1"/>
</table>
</file>

<file path=xl/tables/table43.xml><?xml version="1.0" encoding="utf-8"?>
<table xmlns="http://schemas.openxmlformats.org/spreadsheetml/2006/main" headerRowCount="0" ref="P648" displayName="Table_23" name="Table_23" id="43">
  <tableColumns count="1">
    <tableColumn name="Column1" id="1"/>
  </tableColumns>
  <tableStyleInfo name="Nhập hàng New-style 43" showColumnStripes="0" showFirstColumn="1" showLastColumn="1" showRowStripes="1"/>
</table>
</file>

<file path=xl/tables/table44.xml><?xml version="1.0" encoding="utf-8"?>
<table xmlns="http://schemas.openxmlformats.org/spreadsheetml/2006/main" headerRowCount="0" ref="R651:AB661" displayName="Table_24" name="Table_24" id="4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Nhập hàng New-style 44" showColumnStripes="0" showFirstColumn="1" showLastColumn="1" showRowStripes="1"/>
</table>
</file>

<file path=xl/tables/table45.xml><?xml version="1.0" encoding="utf-8"?>
<table xmlns="http://schemas.openxmlformats.org/spreadsheetml/2006/main" headerRowCount="0" ref="P664" displayName="Table_25" name="Table_25" id="45">
  <tableColumns count="1">
    <tableColumn name="Column1" id="1"/>
  </tableColumns>
  <tableStyleInfo name="Nhập hàng New-style 45" showColumnStripes="0" showFirstColumn="1" showLastColumn="1" showRowStripes="1"/>
</table>
</file>

<file path=xl/tables/table46.xml><?xml version="1.0" encoding="utf-8"?>
<table xmlns="http://schemas.openxmlformats.org/spreadsheetml/2006/main" headerRowCount="0" ref="O671:AB681" displayName="Table_26" name="Table_26" id="4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Nhập hàng New-style 46" showColumnStripes="0" showFirstColumn="1" showLastColumn="1" showRowStripes="1"/>
</table>
</file>

<file path=xl/tables/table47.xml><?xml version="1.0" encoding="utf-8"?>
<table xmlns="http://schemas.openxmlformats.org/spreadsheetml/2006/main" headerRowCount="0" ref="P683" displayName="Table_27" name="Table_27" id="47">
  <tableColumns count="1">
    <tableColumn name="Column1" id="1"/>
  </tableColumns>
  <tableStyleInfo name="Nhập hàng New-style 47" showColumnStripes="0" showFirstColumn="1" showLastColumn="1" showRowStripes="1"/>
</table>
</file>

<file path=xl/tables/table48.xml><?xml version="1.0" encoding="utf-8"?>
<table xmlns="http://schemas.openxmlformats.org/spreadsheetml/2006/main" headerRowCount="0" ref="P686:P698" displayName="Table_28" name="Table_28" id="48">
  <tableColumns count="1">
    <tableColumn name="Column1" id="1"/>
  </tableColumns>
  <tableStyleInfo name="Nhập hàng New-style 48" showColumnStripes="0" showFirstColumn="1" showLastColumn="1" showRowStripes="1"/>
</table>
</file>

<file path=xl/tables/table49.xml><?xml version="1.0" encoding="utf-8"?>
<table xmlns="http://schemas.openxmlformats.org/spreadsheetml/2006/main" headerRowCount="0" ref="T688:T698" displayName="Table_29" name="Table_29" id="49">
  <tableColumns count="1">
    <tableColumn name="Column1" id="1"/>
  </tableColumns>
  <tableStyleInfo name="Nhập hàng New-style 49" showColumnStripes="0" showFirstColumn="1" showLastColumn="1" showRowStripes="1"/>
</table>
</file>

<file path=xl/tables/table50.xml><?xml version="1.0" encoding="utf-8"?>
<table xmlns="http://schemas.openxmlformats.org/spreadsheetml/2006/main" headerRowCount="0" ref="O703:AB713" displayName="Table_30" name="Table_30" id="5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Nhập hàng New-style 50" showColumnStripes="0" showFirstColumn="1" showLastColumn="1" showRowStripes="1"/>
</table>
</file>

<file path=xl/tables/table51.xml><?xml version="1.0" encoding="utf-8"?>
<table xmlns="http://schemas.openxmlformats.org/spreadsheetml/2006/main" headerRowCount="0" ref="P715" displayName="Table_31" name="Table_31" id="51">
  <tableColumns count="1">
    <tableColumn name="Column1" id="1"/>
  </tableColumns>
  <tableStyleInfo name="Nhập hàng New-style 51" showColumnStripes="0" showFirstColumn="1" showLastColumn="1" showRowStripes="1"/>
</table>
</file>

<file path=xl/tables/table52.xml><?xml version="1.0" encoding="utf-8"?>
<table xmlns="http://schemas.openxmlformats.org/spreadsheetml/2006/main" headerRowCount="0" ref="P718:P730" displayName="Table_32" name="Table_32" id="52">
  <tableColumns count="1">
    <tableColumn name="Column1" id="1"/>
  </tableColumns>
  <tableStyleInfo name="Nhập hàng New-style 52" showColumnStripes="0" showFirstColumn="1" showLastColumn="1" showRowStripes="1"/>
</table>
</file>

<file path=xl/tables/table53.xml><?xml version="1.0" encoding="utf-8"?>
<table xmlns="http://schemas.openxmlformats.org/spreadsheetml/2006/main" headerRowCount="0" ref="T720:T730" displayName="Table_33" name="Table_33" id="53">
  <tableColumns count="1">
    <tableColumn name="Column1" id="1"/>
  </tableColumns>
  <tableStyleInfo name="Nhập hàng New-style 53" showColumnStripes="0" showFirstColumn="1" showLastColumn="1" showRowStripes="1"/>
</table>
</file>

<file path=xl/tables/table54.xml><?xml version="1.0" encoding="utf-8"?>
<table xmlns="http://schemas.openxmlformats.org/spreadsheetml/2006/main" headerRowCount="0" ref="O735:AB745" displayName="Table_34" name="Table_34" id="5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Nhập hàng New-style 54" showColumnStripes="0" showFirstColumn="1" showLastColumn="1" showRowStripes="1"/>
</table>
</file>

<file path=xl/tables/table55.xml><?xml version="1.0" encoding="utf-8"?>
<table xmlns="http://schemas.openxmlformats.org/spreadsheetml/2006/main" headerRowCount="0" ref="P747" displayName="Table_35" name="Table_35" id="55">
  <tableColumns count="1">
    <tableColumn name="Column1" id="1"/>
  </tableColumns>
  <tableStyleInfo name="Nhập hàng New-style 55" showColumnStripes="0" showFirstColumn="1" showLastColumn="1" showRowStripes="1"/>
</table>
</file>

<file path=xl/tables/table56.xml><?xml version="1.0" encoding="utf-8"?>
<table xmlns="http://schemas.openxmlformats.org/spreadsheetml/2006/main" headerRowCount="0" ref="O750:O762" displayName="Table_36" name="Table_36" id="56">
  <tableColumns count="1">
    <tableColumn name="Column1" id="1"/>
  </tableColumns>
  <tableStyleInfo name="Nhập hàng New-style 56" showColumnStripes="0" showFirstColumn="1" showLastColumn="1" showRowStripes="1"/>
</table>
</file>

<file path=xl/tables/table57.xml><?xml version="1.0" encoding="utf-8"?>
<table xmlns="http://schemas.openxmlformats.org/spreadsheetml/2006/main" headerRowCount="0" ref="T752:T762" displayName="Table_37" name="Table_37" id="57">
  <tableColumns count="1">
    <tableColumn name="Column1" id="1"/>
  </tableColumns>
  <tableStyleInfo name="Nhập hàng New-style 57" showColumnStripes="0" showFirstColumn="1" showLastColumn="1" showRowStripes="1"/>
</table>
</file>

<file path=xl/tables/table58.xml><?xml version="1.0" encoding="utf-8"?>
<table xmlns="http://schemas.openxmlformats.org/spreadsheetml/2006/main" headerRowCount="0" ref="N767:AC777" displayName="Table_38" name="Table_38" id="58">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58" showColumnStripes="0" showFirstColumn="1" showLastColumn="1" showRowStripes="1"/>
</table>
</file>

<file path=xl/tables/table59.xml><?xml version="1.0" encoding="utf-8"?>
<table xmlns="http://schemas.openxmlformats.org/spreadsheetml/2006/main" headerRowCount="0" ref="O779" displayName="Table_39" name="Table_39" id="59">
  <tableColumns count="1">
    <tableColumn name="Column1" id="1"/>
  </tableColumns>
  <tableStyleInfo name="Nhập hàng New-style 59" showColumnStripes="0" showFirstColumn="1" showLastColumn="1" showRowStripes="1"/>
</table>
</file>

<file path=xl/tables/table60.xml><?xml version="1.0" encoding="utf-8"?>
<table xmlns="http://schemas.openxmlformats.org/spreadsheetml/2006/main" headerRowCount="0" ref="O781:O793" displayName="Table_40" name="Table_40" id="60">
  <tableColumns count="1">
    <tableColumn name="Column1" id="1"/>
  </tableColumns>
  <tableStyleInfo name="Nhập hàng New-style 60" showColumnStripes="0" showFirstColumn="1" showLastColumn="1" showRowStripes="1"/>
</table>
</file>

<file path=xl/tables/table61.xml><?xml version="1.0" encoding="utf-8"?>
<table xmlns="http://schemas.openxmlformats.org/spreadsheetml/2006/main" headerRowCount="0" ref="T783:T793" displayName="Table_41" name="Table_41" id="61">
  <tableColumns count="1">
    <tableColumn name="Column1" id="1"/>
  </tableColumns>
  <tableStyleInfo name="Nhập hàng New-style 61" showColumnStripes="0" showFirstColumn="1" showLastColumn="1" showRowStripes="1"/>
</table>
</file>

<file path=xl/tables/table62.xml><?xml version="1.0" encoding="utf-8"?>
<table xmlns="http://schemas.openxmlformats.org/spreadsheetml/2006/main" headerRowCount="0" ref="N799:AC809" displayName="Table_42" name="Table_42" id="6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62" showColumnStripes="0" showFirstColumn="1" showLastColumn="1" showRowStripes="1"/>
</table>
</file>

<file path=xl/tables/table63.xml><?xml version="1.0" encoding="utf-8"?>
<table xmlns="http://schemas.openxmlformats.org/spreadsheetml/2006/main" headerRowCount="0" ref="O811" displayName="Table_43" name="Table_43" id="63">
  <tableColumns count="1">
    <tableColumn name="Column1" id="1"/>
  </tableColumns>
  <tableStyleInfo name="Nhập hàng New-style 63" showColumnStripes="0" showFirstColumn="1" showLastColumn="1" showRowStripes="1"/>
</table>
</file>

<file path=xl/tables/table64.xml><?xml version="1.0" encoding="utf-8"?>
<table xmlns="http://schemas.openxmlformats.org/spreadsheetml/2006/main" headerRowCount="0" ref="O813:O825" displayName="Table_44" name="Table_44" id="64">
  <tableColumns count="1">
    <tableColumn name="Column1" id="1"/>
  </tableColumns>
  <tableStyleInfo name="Nhập hàng New-style 64" showColumnStripes="0" showFirstColumn="1" showLastColumn="1" showRowStripes="1"/>
</table>
</file>

<file path=xl/tables/table65.xml><?xml version="1.0" encoding="utf-8"?>
<table xmlns="http://schemas.openxmlformats.org/spreadsheetml/2006/main" headerRowCount="0" ref="T815:T825" displayName="Table_45" name="Table_45" id="65">
  <tableColumns count="1">
    <tableColumn name="Column1" id="1"/>
  </tableColumns>
  <tableStyleInfo name="Nhập hàng New-style 65" showColumnStripes="0" showFirstColumn="1" showLastColumn="1" showRowStripes="1"/>
</table>
</file>

<file path=xl/tables/table66.xml><?xml version="1.0" encoding="utf-8"?>
<table xmlns="http://schemas.openxmlformats.org/spreadsheetml/2006/main" headerRowCount="0" ref="N832:AC842" displayName="Table_46" name="Table_46" id="6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66" showColumnStripes="0" showFirstColumn="1" showLastColumn="1" showRowStripes="1"/>
</table>
</file>

<file path=xl/tables/table67.xml><?xml version="1.0" encoding="utf-8"?>
<table xmlns="http://schemas.openxmlformats.org/spreadsheetml/2006/main" headerRowCount="0" ref="O846:O858" displayName="Table_47" name="Table_47" id="67">
  <tableColumns count="1">
    <tableColumn name="Column1" id="1"/>
  </tableColumns>
  <tableStyleInfo name="Nhập hàng New-style 67" showColumnStripes="0" showFirstColumn="1" showLastColumn="1" showRowStripes="1"/>
</table>
</file>

<file path=xl/tables/table68.xml><?xml version="1.0" encoding="utf-8"?>
<table xmlns="http://schemas.openxmlformats.org/spreadsheetml/2006/main" headerRowCount="0" ref="P846:P858" displayName="Table_48" name="Table_48" id="68">
  <tableColumns count="1">
    <tableColumn name="Column1" id="1"/>
  </tableColumns>
  <tableStyleInfo name="Nhập hàng New-style 68" showColumnStripes="0" showFirstColumn="1" showLastColumn="1" showRowStripes="1"/>
</table>
</file>

<file path=xl/tables/table69.xml><?xml version="1.0" encoding="utf-8"?>
<table xmlns="http://schemas.openxmlformats.org/spreadsheetml/2006/main" headerRowCount="0" ref="T848:T858" displayName="Table_49" name="Table_49" id="69">
  <tableColumns count="1">
    <tableColumn name="Column1" id="1"/>
  </tableColumns>
  <tableStyleInfo name="Nhập hàng New-style 69" showColumnStripes="0" showFirstColumn="1" showLastColumn="1" showRowStripes="1"/>
</table>
</file>

<file path=xl/tables/table70.xml><?xml version="1.0" encoding="utf-8"?>
<table xmlns="http://schemas.openxmlformats.org/spreadsheetml/2006/main" headerRowCount="0" ref="N864:AC874" displayName="Table_50" name="Table_50" id="70">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70" showColumnStripes="0" showFirstColumn="1" showLastColumn="1" showRowStripes="1"/>
</table>
</file>

<file path=xl/tables/table71.xml><?xml version="1.0" encoding="utf-8"?>
<table xmlns="http://schemas.openxmlformats.org/spreadsheetml/2006/main" headerRowCount="0" ref="O878:O890" displayName="Table_51" name="Table_51" id="71">
  <tableColumns count="1">
    <tableColumn name="Column1" id="1"/>
  </tableColumns>
  <tableStyleInfo name="Nhập hàng New-style 71" showColumnStripes="0" showFirstColumn="1" showLastColumn="1" showRowStripes="1"/>
</table>
</file>

<file path=xl/tables/table72.xml><?xml version="1.0" encoding="utf-8"?>
<table xmlns="http://schemas.openxmlformats.org/spreadsheetml/2006/main" headerRowCount="0" ref="P878:P890" displayName="Table_52" name="Table_52" id="72">
  <tableColumns count="1">
    <tableColumn name="Column1" id="1"/>
  </tableColumns>
  <tableStyleInfo name="Nhập hàng New-style 72" showColumnStripes="0" showFirstColumn="1" showLastColumn="1" showRowStripes="1"/>
</table>
</file>

<file path=xl/tables/table73.xml><?xml version="1.0" encoding="utf-8"?>
<table xmlns="http://schemas.openxmlformats.org/spreadsheetml/2006/main" headerRowCount="0" ref="T880:T890" displayName="Table_53" name="Table_53" id="73">
  <tableColumns count="1">
    <tableColumn name="Column1" id="1"/>
  </tableColumns>
  <tableStyleInfo name="Nhập hàng New-style 73" showColumnStripes="0" showFirstColumn="1" showLastColumn="1" showRowStripes="1"/>
</table>
</file>

<file path=xl/tables/table74.xml><?xml version="1.0" encoding="utf-8"?>
<table xmlns="http://schemas.openxmlformats.org/spreadsheetml/2006/main" headerRowCount="0" ref="N895:AC905" displayName="Table_54" name="Table_54" id="7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74" showColumnStripes="0" showFirstColumn="1" showLastColumn="1" showRowStripes="1"/>
</table>
</file>

<file path=xl/tables/table75.xml><?xml version="1.0" encoding="utf-8"?>
<table xmlns="http://schemas.openxmlformats.org/spreadsheetml/2006/main" headerRowCount="0" ref="O909:O921" displayName="Table_55" name="Table_55" id="75">
  <tableColumns count="1">
    <tableColumn name="Column1" id="1"/>
  </tableColumns>
  <tableStyleInfo name="Nhập hàng New-style 75" showColumnStripes="0" showFirstColumn="1" showLastColumn="1" showRowStripes="1"/>
</table>
</file>

<file path=xl/tables/table76.xml><?xml version="1.0" encoding="utf-8"?>
<table xmlns="http://schemas.openxmlformats.org/spreadsheetml/2006/main" headerRowCount="0" ref="P909:P921" displayName="Table_56" name="Table_56" id="76">
  <tableColumns count="1">
    <tableColumn name="Column1" id="1"/>
  </tableColumns>
  <tableStyleInfo name="Nhập hàng New-style 76" showColumnStripes="0" showFirstColumn="1" showLastColumn="1" showRowStripes="1"/>
</table>
</file>

<file path=xl/tables/table77.xml><?xml version="1.0" encoding="utf-8"?>
<table xmlns="http://schemas.openxmlformats.org/spreadsheetml/2006/main" headerRowCount="0" ref="T911:T921" displayName="Table_57" name="Table_57" id="77">
  <tableColumns count="1">
    <tableColumn name="Column1" id="1"/>
  </tableColumns>
  <tableStyleInfo name="Nhập hàng New-style 77" showColumnStripes="0" showFirstColumn="1" showLastColumn="1" showRowStripes="1"/>
</table>
</file>

<file path=xl/tables/table78.xml><?xml version="1.0" encoding="utf-8"?>
<table xmlns="http://schemas.openxmlformats.org/spreadsheetml/2006/main" headerRowCount="0" ref="N926:AC936" displayName="Table_58" name="Table_58" id="78">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78" showColumnStripes="0" showFirstColumn="1" showLastColumn="1" showRowStripes="1"/>
</table>
</file>

<file path=xl/tables/table79.xml><?xml version="1.0" encoding="utf-8"?>
<table xmlns="http://schemas.openxmlformats.org/spreadsheetml/2006/main" headerRowCount="0" ref="O940:O952" displayName="Table_59" name="Table_59" id="79">
  <tableColumns count="1">
    <tableColumn name="Column1" id="1"/>
  </tableColumns>
  <tableStyleInfo name="Nhập hàng New-style 79" showColumnStripes="0" showFirstColumn="1" showLastColumn="1" showRowStripes="1"/>
</table>
</file>

<file path=xl/tables/table80.xml><?xml version="1.0" encoding="utf-8"?>
<table xmlns="http://schemas.openxmlformats.org/spreadsheetml/2006/main" headerRowCount="0" ref="P940:P952" displayName="Table_60" name="Table_60" id="80">
  <tableColumns count="1">
    <tableColumn name="Column1" id="1"/>
  </tableColumns>
  <tableStyleInfo name="Nhập hàng New-style 80" showColumnStripes="0" showFirstColumn="1" showLastColumn="1" showRowStripes="1"/>
</table>
</file>

<file path=xl/tables/table81.xml><?xml version="1.0" encoding="utf-8"?>
<table xmlns="http://schemas.openxmlformats.org/spreadsheetml/2006/main" headerRowCount="0" ref="T942:T952" displayName="Table_61" name="Table_61" id="81">
  <tableColumns count="1">
    <tableColumn name="Column1" id="1"/>
  </tableColumns>
  <tableStyleInfo name="Nhập hàng New-style 81" showColumnStripes="0" showFirstColumn="1" showLastColumn="1" showRowStripes="1"/>
</table>
</file>

<file path=xl/tables/table82.xml><?xml version="1.0" encoding="utf-8"?>
<table xmlns="http://schemas.openxmlformats.org/spreadsheetml/2006/main" headerRowCount="0" ref="N957:AC967" displayName="Table_62" name="Table_62" id="8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82" showColumnStripes="0" showFirstColumn="1" showLastColumn="1" showRowStripes="1"/>
</table>
</file>

<file path=xl/tables/table83.xml><?xml version="1.0" encoding="utf-8"?>
<table xmlns="http://schemas.openxmlformats.org/spreadsheetml/2006/main" headerRowCount="0" ref="O971:O983" displayName="Table_63" name="Table_63" id="83">
  <tableColumns count="1">
    <tableColumn name="Column1" id="1"/>
  </tableColumns>
  <tableStyleInfo name="Nhập hàng New-style 83" showColumnStripes="0" showFirstColumn="1" showLastColumn="1" showRowStripes="1"/>
</table>
</file>

<file path=xl/tables/table84.xml><?xml version="1.0" encoding="utf-8"?>
<table xmlns="http://schemas.openxmlformats.org/spreadsheetml/2006/main" headerRowCount="0" ref="P971:P983" displayName="Table_64" name="Table_64" id="84">
  <tableColumns count="1">
    <tableColumn name="Column1" id="1"/>
  </tableColumns>
  <tableStyleInfo name="Nhập hàng New-style 84" showColumnStripes="0" showFirstColumn="1" showLastColumn="1" showRowStripes="1"/>
</table>
</file>

<file path=xl/tables/table85.xml><?xml version="1.0" encoding="utf-8"?>
<table xmlns="http://schemas.openxmlformats.org/spreadsheetml/2006/main" headerRowCount="0" ref="T973:T983" displayName="Table_65" name="Table_65" id="85">
  <tableColumns count="1">
    <tableColumn name="Column1" id="1"/>
  </tableColumns>
  <tableStyleInfo name="Nhập hàng New-style 85" showColumnStripes="0" showFirstColumn="1" showLastColumn="1" showRowStripes="1"/>
</table>
</file>

<file path=xl/tables/table86.xml><?xml version="1.0" encoding="utf-8"?>
<table xmlns="http://schemas.openxmlformats.org/spreadsheetml/2006/main" headerRowCount="0" ref="N990:AC1000" displayName="Table_66" name="Table_66" id="8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86" showColumnStripes="0" showFirstColumn="1" showLastColumn="1" showRowStripes="1"/>
</table>
</file>

<file path=xl/tables/table87.xml><?xml version="1.0" encoding="utf-8"?>
<table xmlns="http://schemas.openxmlformats.org/spreadsheetml/2006/main" headerRowCount="0" ref="O1002" displayName="Table_67" name="Table_67" id="87">
  <tableColumns count="1">
    <tableColumn name="Column1" id="1"/>
  </tableColumns>
  <tableStyleInfo name="Nhập hàng New-style 87" showColumnStripes="0" showFirstColumn="1" showLastColumn="1" showRowStripes="1"/>
</table>
</file>

<file path=xl/tables/table88.xml><?xml version="1.0" encoding="utf-8"?>
<table xmlns="http://schemas.openxmlformats.org/spreadsheetml/2006/main" headerRowCount="0" ref="O1004:O1016" displayName="Table_68" name="Table_68" id="88">
  <tableColumns count="1">
    <tableColumn name="Column1" id="1"/>
  </tableColumns>
  <tableStyleInfo name="Nhập hàng New-style 88" showColumnStripes="0" showFirstColumn="1" showLastColumn="1" showRowStripes="1"/>
</table>
</file>

<file path=xl/tables/table89.xml><?xml version="1.0" encoding="utf-8"?>
<table xmlns="http://schemas.openxmlformats.org/spreadsheetml/2006/main" headerRowCount="0" ref="P1004:P1016" displayName="Table_69" name="Table_69" id="89">
  <tableColumns count="1">
    <tableColumn name="Column1" id="1"/>
  </tableColumns>
  <tableStyleInfo name="Nhập hàng New-style 89" showColumnStripes="0" showFirstColumn="1" showLastColumn="1" showRowStripes="1"/>
</table>
</file>

<file path=xl/tables/table90.xml><?xml version="1.0" encoding="utf-8"?>
<table xmlns="http://schemas.openxmlformats.org/spreadsheetml/2006/main" headerRowCount="0" ref="T1006:T1016" displayName="Table_70" name="Table_70" id="90">
  <tableColumns count="1">
    <tableColumn name="Column1" id="1"/>
  </tableColumns>
  <tableStyleInfo name="Nhập hàng New-style 90" showColumnStripes="0" showFirstColumn="1" showLastColumn="1" showRowStripes="1"/>
</table>
</file>

<file path=xl/tables/table91.xml><?xml version="1.0" encoding="utf-8"?>
<table xmlns="http://schemas.openxmlformats.org/spreadsheetml/2006/main" headerRowCount="0" ref="N1021:AC1031" displayName="Table_71" name="Table_71" id="9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91" showColumnStripes="0" showFirstColumn="1" showLastColumn="1" showRowStripes="1"/>
</table>
</file>

<file path=xl/tables/table92.xml><?xml version="1.0" encoding="utf-8"?>
<table xmlns="http://schemas.openxmlformats.org/spreadsheetml/2006/main" headerRowCount="0" ref="O1033" displayName="Table_72" name="Table_72" id="92">
  <tableColumns count="1">
    <tableColumn name="Column1" id="1"/>
  </tableColumns>
  <tableStyleInfo name="Nhập hàng New-style 92" showColumnStripes="0" showFirstColumn="1" showLastColumn="1" showRowStripes="1"/>
</table>
</file>

<file path=xl/tables/table93.xml><?xml version="1.0" encoding="utf-8"?>
<table xmlns="http://schemas.openxmlformats.org/spreadsheetml/2006/main" headerRowCount="0" ref="O1035:O1047" displayName="Table_73" name="Table_73" id="93">
  <tableColumns count="1">
    <tableColumn name="Column1" id="1"/>
  </tableColumns>
  <tableStyleInfo name="Nhập hàng New-style 93" showColumnStripes="0" showFirstColumn="1" showLastColumn="1" showRowStripes="1"/>
</table>
</file>

<file path=xl/tables/table94.xml><?xml version="1.0" encoding="utf-8"?>
<table xmlns="http://schemas.openxmlformats.org/spreadsheetml/2006/main" headerRowCount="0" ref="P1035:P1047" displayName="Table_74" name="Table_74" id="94">
  <tableColumns count="1">
    <tableColumn name="Column1" id="1"/>
  </tableColumns>
  <tableStyleInfo name="Nhập hàng New-style 94" showColumnStripes="0" showFirstColumn="1" showLastColumn="1" showRowStripes="1"/>
</table>
</file>

<file path=xl/tables/table95.xml><?xml version="1.0" encoding="utf-8"?>
<table xmlns="http://schemas.openxmlformats.org/spreadsheetml/2006/main" headerRowCount="0" ref="T1037:T1047" displayName="Table_75" name="Table_75" id="95">
  <tableColumns count="1">
    <tableColumn name="Column1" id="1"/>
  </tableColumns>
  <tableStyleInfo name="Nhập hàng New-style 95" showColumnStripes="0" showFirstColumn="1" showLastColumn="1" showRowStripes="1"/>
</table>
</file>

<file path=xl/tables/table96.xml><?xml version="1.0" encoding="utf-8"?>
<table xmlns="http://schemas.openxmlformats.org/spreadsheetml/2006/main" headerRowCount="0" ref="N1052:AC1062" displayName="Table_76" name="Table_76" id="9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96" showColumnStripes="0" showFirstColumn="1" showLastColumn="1" showRowStripes="1"/>
</table>
</file>

<file path=xl/tables/table97.xml><?xml version="1.0" encoding="utf-8"?>
<table xmlns="http://schemas.openxmlformats.org/spreadsheetml/2006/main" headerRowCount="0" ref="O1064" displayName="Table_77" name="Table_77" id="97">
  <tableColumns count="1">
    <tableColumn name="Column1" id="1"/>
  </tableColumns>
  <tableStyleInfo name="Nhập hàng New-style 97" showColumnStripes="0" showFirstColumn="1" showLastColumn="1" showRowStripes="1"/>
</table>
</file>

<file path=xl/tables/table98.xml><?xml version="1.0" encoding="utf-8"?>
<table xmlns="http://schemas.openxmlformats.org/spreadsheetml/2006/main" headerRowCount="0" ref="O1066:O1078" displayName="Table_78" name="Table_78" id="98">
  <tableColumns count="1">
    <tableColumn name="Column1" id="1"/>
  </tableColumns>
  <tableStyleInfo name="Nhập hàng New-style 98" showColumnStripes="0" showFirstColumn="1" showLastColumn="1" showRowStripes="1"/>
</table>
</file>

<file path=xl/tables/table99.xml><?xml version="1.0" encoding="utf-8"?>
<table xmlns="http://schemas.openxmlformats.org/spreadsheetml/2006/main" headerRowCount="0" ref="P1066:P1078" displayName="Table_79" name="Table_79" id="99">
  <tableColumns count="1">
    <tableColumn name="Column1" id="1"/>
  </tableColumns>
  <tableStyleInfo name="Nhập hàng New-style 99" showColumnStripes="0" showFirstColumn="1" showLastColumn="1" showRowStripes="1"/>
</table>
</file>

<file path=xl/tables/table100.xml><?xml version="1.0" encoding="utf-8"?>
<table xmlns="http://schemas.openxmlformats.org/spreadsheetml/2006/main" headerRowCount="0" ref="T1068:T1078" displayName="Table_80" name="Table_80" id="100">
  <tableColumns count="1">
    <tableColumn name="Column1" id="1"/>
  </tableColumns>
  <tableStyleInfo name="Nhập hàng New-style 100" showColumnStripes="0" showFirstColumn="1" showLastColumn="1" showRowStripes="1"/>
</table>
</file>

<file path=xl/tables/table101.xml><?xml version="1.0" encoding="utf-8"?>
<table xmlns="http://schemas.openxmlformats.org/spreadsheetml/2006/main" headerRowCount="0" ref="N1084:AD1094" displayName="Table_81" name="Table_81" id="10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Nhập hàng New-style 101" showColumnStripes="0" showFirstColumn="1" showLastColumn="1" showRowStripes="1"/>
</table>
</file>

<file path=xl/tables/table102.xml><?xml version="1.0" encoding="utf-8"?>
<table xmlns="http://schemas.openxmlformats.org/spreadsheetml/2006/main" headerRowCount="0" ref="O1096" displayName="Table_82" name="Table_82" id="102">
  <tableColumns count="1">
    <tableColumn name="Column1" id="1"/>
  </tableColumns>
  <tableStyleInfo name="Nhập hàng New-style 102" showColumnStripes="0" showFirstColumn="1" showLastColumn="1" showRowStripes="1"/>
</table>
</file>

<file path=xl/tables/table103.xml><?xml version="1.0" encoding="utf-8"?>
<table xmlns="http://schemas.openxmlformats.org/spreadsheetml/2006/main" headerRowCount="0" ref="O1098:O1110" displayName="Table_83" name="Table_83" id="103">
  <tableColumns count="1">
    <tableColumn name="Column1" id="1"/>
  </tableColumns>
  <tableStyleInfo name="Nhập hàng New-style 103" showColumnStripes="0" showFirstColumn="1" showLastColumn="1" showRowStripes="1"/>
</table>
</file>

<file path=xl/tables/table104.xml><?xml version="1.0" encoding="utf-8"?>
<table xmlns="http://schemas.openxmlformats.org/spreadsheetml/2006/main" headerRowCount="0" ref="P1098:P1110" displayName="Table_84" name="Table_84" id="104">
  <tableColumns count="1">
    <tableColumn name="Column1" id="1"/>
  </tableColumns>
  <tableStyleInfo name="Nhập hàng New-style 104" showColumnStripes="0" showFirstColumn="1" showLastColumn="1" showRowStripes="1"/>
</table>
</file>

<file path=xl/tables/table105.xml><?xml version="1.0" encoding="utf-8"?>
<table xmlns="http://schemas.openxmlformats.org/spreadsheetml/2006/main" headerRowCount="0" ref="T1100:T1110" displayName="Table_85" name="Table_85" id="105">
  <tableColumns count="1">
    <tableColumn name="Column1" id="1"/>
  </tableColumns>
  <tableStyleInfo name="Nhập hàng New-style 105" showColumnStripes="0" showFirstColumn="1" showLastColumn="1" showRowStripes="1"/>
</table>
</file>

<file path=xl/tables/table106.xml><?xml version="1.0" encoding="utf-8"?>
<table xmlns="http://schemas.openxmlformats.org/spreadsheetml/2006/main" headerRowCount="0" ref="AD1100:AD1110" displayName="Table_86" name="Table_86" id="106">
  <tableColumns count="1">
    <tableColumn name="Column1" id="1"/>
  </tableColumns>
  <tableStyleInfo name="Nhập hàng New-style 106" showColumnStripes="0" showFirstColumn="1" showLastColumn="1" showRowStripes="1"/>
</table>
</file>

<file path=xl/tables/table107.xml><?xml version="1.0" encoding="utf-8"?>
<table xmlns="http://schemas.openxmlformats.org/spreadsheetml/2006/main" headerRowCount="0" ref="N1116:AD1126" displayName="Table_87" name="Table_87" id="10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Nhập hàng New-style 107" showColumnStripes="0" showFirstColumn="1" showLastColumn="1" showRowStripes="1"/>
</table>
</file>

<file path=xl/tables/table108.xml><?xml version="1.0" encoding="utf-8"?>
<table xmlns="http://schemas.openxmlformats.org/spreadsheetml/2006/main" headerRowCount="0" ref="O1128" displayName="Table_88" name="Table_88" id="108">
  <tableColumns count="1">
    <tableColumn name="Column1" id="1"/>
  </tableColumns>
  <tableStyleInfo name="Nhập hàng New-style 108" showColumnStripes="0" showFirstColumn="1" showLastColumn="1" showRowStripes="1"/>
</table>
</file>

<file path=xl/tables/table109.xml><?xml version="1.0" encoding="utf-8"?>
<table xmlns="http://schemas.openxmlformats.org/spreadsheetml/2006/main" headerRowCount="0" ref="O1130:O1142" displayName="Table_89" name="Table_89" id="109">
  <tableColumns count="1">
    <tableColumn name="Column1" id="1"/>
  </tableColumns>
  <tableStyleInfo name="Nhập hàng New-style 109" showColumnStripes="0" showFirstColumn="1" showLastColumn="1" showRowStripes="1"/>
</table>
</file>

<file path=xl/tables/table110.xml><?xml version="1.0" encoding="utf-8"?>
<table xmlns="http://schemas.openxmlformats.org/spreadsheetml/2006/main" headerRowCount="0" ref="P1130:P1142" displayName="Table_90" name="Table_90" id="110">
  <tableColumns count="1">
    <tableColumn name="Column1" id="1"/>
  </tableColumns>
  <tableStyleInfo name="Nhập hàng New-style 110" showColumnStripes="0" showFirstColumn="1" showLastColumn="1" showRowStripes="1"/>
</table>
</file>

<file path=xl/tables/table111.xml><?xml version="1.0" encoding="utf-8"?>
<table xmlns="http://schemas.openxmlformats.org/spreadsheetml/2006/main" headerRowCount="0" ref="K1131:K1142" displayName="Table_91" name="Table_91" id="111">
  <tableColumns count="1">
    <tableColumn name="Column1" id="1"/>
  </tableColumns>
  <tableStyleInfo name="Nhập hàng New-style 111" showColumnStripes="0" showFirstColumn="1" showLastColumn="1" showRowStripes="1"/>
</table>
</file>

<file path=xl/tables/table112.xml><?xml version="1.0" encoding="utf-8"?>
<table xmlns="http://schemas.openxmlformats.org/spreadsheetml/2006/main" headerRowCount="0" ref="M1131:M1142" displayName="Table_92" name="Table_92" id="112">
  <tableColumns count="1">
    <tableColumn name="Column1" id="1"/>
  </tableColumns>
  <tableStyleInfo name="Nhập hàng New-style 112" showColumnStripes="0" showFirstColumn="1" showLastColumn="1" showRowStripes="1"/>
</table>
</file>

<file path=xl/tables/table113.xml><?xml version="1.0" encoding="utf-8"?>
<table xmlns="http://schemas.openxmlformats.org/spreadsheetml/2006/main" headerRowCount="0" ref="T1132:T1142" displayName="Table_93" name="Table_93" id="113">
  <tableColumns count="1">
    <tableColumn name="Column1" id="1"/>
  </tableColumns>
  <tableStyleInfo name="Nhập hàng New-style 113" showColumnStripes="0" showFirstColumn="1" showLastColumn="1" showRowStripes="1"/>
</table>
</file>

<file path=xl/tables/table114.xml><?xml version="1.0" encoding="utf-8"?>
<table xmlns="http://schemas.openxmlformats.org/spreadsheetml/2006/main" headerRowCount="0" ref="N1149:AC1159" displayName="Table_94" name="Table_94" id="11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114" showColumnStripes="0" showFirstColumn="1" showLastColumn="1" showRowStripes="1"/>
</table>
</file>

<file path=xl/tables/table115.xml><?xml version="1.0" encoding="utf-8"?>
<table xmlns="http://schemas.openxmlformats.org/spreadsheetml/2006/main" headerRowCount="0" ref="O1161" displayName="Table_95" name="Table_95" id="115">
  <tableColumns count="1">
    <tableColumn name="Column1" id="1"/>
  </tableColumns>
  <tableStyleInfo name="Nhập hàng New-style 115" showColumnStripes="0" showFirstColumn="1" showLastColumn="1" showRowStripes="1"/>
</table>
</file>

<file path=xl/tables/table116.xml><?xml version="1.0" encoding="utf-8"?>
<table xmlns="http://schemas.openxmlformats.org/spreadsheetml/2006/main" headerRowCount="0" ref="O1163:O1175" displayName="Table_96" name="Table_96" id="116">
  <tableColumns count="1">
    <tableColumn name="Column1" id="1"/>
  </tableColumns>
  <tableStyleInfo name="Nhập hàng New-style 116" showColumnStripes="0" showFirstColumn="1" showLastColumn="1" showRowStripes="1"/>
</table>
</file>

<file path=xl/tables/table117.xml><?xml version="1.0" encoding="utf-8"?>
<table xmlns="http://schemas.openxmlformats.org/spreadsheetml/2006/main" headerRowCount="0" ref="P1163:P1175" displayName="Table_97" name="Table_97" id="117">
  <tableColumns count="1">
    <tableColumn name="Column1" id="1"/>
  </tableColumns>
  <tableStyleInfo name="Nhập hàng New-style 117" showColumnStripes="0" showFirstColumn="1" showLastColumn="1" showRowStripes="1"/>
</table>
</file>

<file path=xl/tables/table118.xml><?xml version="1.0" encoding="utf-8"?>
<table xmlns="http://schemas.openxmlformats.org/spreadsheetml/2006/main" headerRowCount="0" ref="T1165:T1175" displayName="Table_98" name="Table_98" id="118">
  <tableColumns count="1">
    <tableColumn name="Column1" id="1"/>
  </tableColumns>
  <tableStyleInfo name="Nhập hàng New-style 118" showColumnStripes="0" showFirstColumn="1" showLastColumn="1" showRowStripes="1"/>
</table>
</file>

<file path=xl/tables/table119.xml><?xml version="1.0" encoding="utf-8"?>
<table xmlns="http://schemas.openxmlformats.org/spreadsheetml/2006/main" headerRowCount="0" ref="N1179:AC1189" displayName="Table_99" name="Table_99" id="119">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119" showColumnStripes="0" showFirstColumn="1" showLastColumn="1" showRowStripes="1"/>
</table>
</file>

<file path=xl/tables/table120.xml><?xml version="1.0" encoding="utf-8"?>
<table xmlns="http://schemas.openxmlformats.org/spreadsheetml/2006/main" headerRowCount="0" ref="O1191" displayName="Table_100" name="Table_100" id="120">
  <tableColumns count="1">
    <tableColumn name="Column1" id="1"/>
  </tableColumns>
  <tableStyleInfo name="Nhập hàng New-style 120" showColumnStripes="0" showFirstColumn="1" showLastColumn="1" showRowStripes="1"/>
</table>
</file>

<file path=xl/tables/table121.xml><?xml version="1.0" encoding="utf-8"?>
<table xmlns="http://schemas.openxmlformats.org/spreadsheetml/2006/main" headerRowCount="0" ref="N1195:AC1205" displayName="Table_101" name="Table_101" id="12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Nhập hàng New-style 121" showColumnStripes="0" showFirstColumn="1" showLastColumn="1" showRowStripes="1"/>
</table>
</file>

<file path=xl/tables/table122.xml><?xml version="1.0" encoding="utf-8"?>
<table xmlns="http://schemas.openxmlformats.org/spreadsheetml/2006/main" headerRowCount="0" ref="O1207" displayName="Table_102" name="Table_102" id="122">
  <tableColumns count="1">
    <tableColumn name="Column1" id="1"/>
  </tableColumns>
  <tableStyleInfo name="Nhập hàng New-style 12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table" Target="../tables/table67.xml"/><Relationship Id="rId194" Type="http://schemas.openxmlformats.org/officeDocument/2006/relationships/table" Target="../tables/table71.xml"/><Relationship Id="rId193" Type="http://schemas.openxmlformats.org/officeDocument/2006/relationships/table" Target="../tables/table70.xml"/><Relationship Id="rId192" Type="http://schemas.openxmlformats.org/officeDocument/2006/relationships/table" Target="../tables/table69.xml"/><Relationship Id="rId191" Type="http://schemas.openxmlformats.org/officeDocument/2006/relationships/table" Target="../tables/table68.xml"/><Relationship Id="rId228" Type="http://schemas.openxmlformats.org/officeDocument/2006/relationships/table" Target="../tables/table105.xml"/><Relationship Id="rId227" Type="http://schemas.openxmlformats.org/officeDocument/2006/relationships/table" Target="../tables/table104.xml"/><Relationship Id="rId226" Type="http://schemas.openxmlformats.org/officeDocument/2006/relationships/table" Target="../tables/table103.xml"/><Relationship Id="rId225" Type="http://schemas.openxmlformats.org/officeDocument/2006/relationships/table" Target="../tables/table102.xml"/><Relationship Id="rId229" Type="http://schemas.openxmlformats.org/officeDocument/2006/relationships/table" Target="../tables/table106.xml"/><Relationship Id="rId187" Type="http://schemas.openxmlformats.org/officeDocument/2006/relationships/table" Target="../tables/table64.xml"/><Relationship Id="rId220" Type="http://schemas.openxmlformats.org/officeDocument/2006/relationships/table" Target="../tables/table97.xml"/><Relationship Id="rId186" Type="http://schemas.openxmlformats.org/officeDocument/2006/relationships/table" Target="../tables/table63.xml"/><Relationship Id="rId185" Type="http://schemas.openxmlformats.org/officeDocument/2006/relationships/table" Target="../tables/table62.xml"/><Relationship Id="rId184" Type="http://schemas.openxmlformats.org/officeDocument/2006/relationships/table" Target="../tables/table61.xml"/><Relationship Id="rId224" Type="http://schemas.openxmlformats.org/officeDocument/2006/relationships/table" Target="../tables/table101.xml"/><Relationship Id="rId223" Type="http://schemas.openxmlformats.org/officeDocument/2006/relationships/table" Target="../tables/table100.xml"/><Relationship Id="rId189" Type="http://schemas.openxmlformats.org/officeDocument/2006/relationships/table" Target="../tables/table66.xml"/><Relationship Id="rId222" Type="http://schemas.openxmlformats.org/officeDocument/2006/relationships/table" Target="../tables/table99.xml"/><Relationship Id="rId188" Type="http://schemas.openxmlformats.org/officeDocument/2006/relationships/table" Target="../tables/table65.xml"/><Relationship Id="rId221" Type="http://schemas.openxmlformats.org/officeDocument/2006/relationships/table" Target="../tables/table98.xml"/><Relationship Id="rId183" Type="http://schemas.openxmlformats.org/officeDocument/2006/relationships/table" Target="../tables/table60.xml"/><Relationship Id="rId182" Type="http://schemas.openxmlformats.org/officeDocument/2006/relationships/table" Target="../tables/table59.xml"/><Relationship Id="rId181" Type="http://schemas.openxmlformats.org/officeDocument/2006/relationships/table" Target="../tables/table58.xml"/><Relationship Id="rId180" Type="http://schemas.openxmlformats.org/officeDocument/2006/relationships/table" Target="../tables/table57.xml"/><Relationship Id="rId217" Type="http://schemas.openxmlformats.org/officeDocument/2006/relationships/table" Target="../tables/table94.xml"/><Relationship Id="rId216" Type="http://schemas.openxmlformats.org/officeDocument/2006/relationships/table" Target="../tables/table93.xml"/><Relationship Id="rId215" Type="http://schemas.openxmlformats.org/officeDocument/2006/relationships/table" Target="../tables/table92.xml"/><Relationship Id="rId214" Type="http://schemas.openxmlformats.org/officeDocument/2006/relationships/table" Target="../tables/table91.xml"/><Relationship Id="rId219" Type="http://schemas.openxmlformats.org/officeDocument/2006/relationships/table" Target="../tables/table96.xml"/><Relationship Id="rId218" Type="http://schemas.openxmlformats.org/officeDocument/2006/relationships/table" Target="../tables/table95.xml"/><Relationship Id="rId176" Type="http://schemas.openxmlformats.org/officeDocument/2006/relationships/table" Target="../tables/table53.xml"/><Relationship Id="rId175" Type="http://schemas.openxmlformats.org/officeDocument/2006/relationships/table" Target="../tables/table52.xml"/><Relationship Id="rId174" Type="http://schemas.openxmlformats.org/officeDocument/2006/relationships/table" Target="../tables/table51.xml"/><Relationship Id="rId173" Type="http://schemas.openxmlformats.org/officeDocument/2006/relationships/table" Target="../tables/table50.xml"/><Relationship Id="rId213" Type="http://schemas.openxmlformats.org/officeDocument/2006/relationships/table" Target="../tables/table90.xml"/><Relationship Id="rId179" Type="http://schemas.openxmlformats.org/officeDocument/2006/relationships/table" Target="../tables/table56.xml"/><Relationship Id="rId212" Type="http://schemas.openxmlformats.org/officeDocument/2006/relationships/table" Target="../tables/table89.xml"/><Relationship Id="rId178" Type="http://schemas.openxmlformats.org/officeDocument/2006/relationships/table" Target="../tables/table55.xml"/><Relationship Id="rId211" Type="http://schemas.openxmlformats.org/officeDocument/2006/relationships/table" Target="../tables/table88.xml"/><Relationship Id="rId177" Type="http://schemas.openxmlformats.org/officeDocument/2006/relationships/table" Target="../tables/table54.xml"/><Relationship Id="rId210" Type="http://schemas.openxmlformats.org/officeDocument/2006/relationships/table" Target="../tables/table87.xml"/><Relationship Id="rId129" Type="http://schemas.openxmlformats.org/officeDocument/2006/relationships/table" Target="../tables/table6.xml"/><Relationship Id="rId128" Type="http://schemas.openxmlformats.org/officeDocument/2006/relationships/table" Target="../tables/table5.xml"/><Relationship Id="rId127" Type="http://schemas.openxmlformats.org/officeDocument/2006/relationships/table" Target="../tables/table4.xml"/><Relationship Id="rId126" Type="http://schemas.openxmlformats.org/officeDocument/2006/relationships/table" Target="../tables/table3.xml"/><Relationship Id="rId242" Type="http://schemas.openxmlformats.org/officeDocument/2006/relationships/table" Target="../tables/table119.xml"/><Relationship Id="rId241" Type="http://schemas.openxmlformats.org/officeDocument/2006/relationships/table" Target="../tables/table118.xml"/><Relationship Id="rId240" Type="http://schemas.openxmlformats.org/officeDocument/2006/relationships/table" Target="../tables/table117.xml"/><Relationship Id="rId125" Type="http://schemas.openxmlformats.org/officeDocument/2006/relationships/table" Target="../tables/table2.xml"/><Relationship Id="rId124" Type="http://schemas.openxmlformats.org/officeDocument/2006/relationships/table" Target="../tables/table1.xml"/><Relationship Id="rId245" Type="http://schemas.openxmlformats.org/officeDocument/2006/relationships/table" Target="../tables/table122.xml"/><Relationship Id="rId244" Type="http://schemas.openxmlformats.org/officeDocument/2006/relationships/table" Target="../tables/table121.xml"/><Relationship Id="rId243" Type="http://schemas.openxmlformats.org/officeDocument/2006/relationships/table" Target="../tables/table120.xml"/><Relationship Id="rId239" Type="http://schemas.openxmlformats.org/officeDocument/2006/relationships/table" Target="../tables/table116.xml"/><Relationship Id="rId238" Type="http://schemas.openxmlformats.org/officeDocument/2006/relationships/table" Target="../tables/table115.xml"/><Relationship Id="rId237" Type="http://schemas.openxmlformats.org/officeDocument/2006/relationships/table" Target="../tables/table114.xml"/><Relationship Id="rId236" Type="http://schemas.openxmlformats.org/officeDocument/2006/relationships/table" Target="../tables/table113.xml"/><Relationship Id="rId198" Type="http://schemas.openxmlformats.org/officeDocument/2006/relationships/table" Target="../tables/table75.xml"/><Relationship Id="rId231" Type="http://schemas.openxmlformats.org/officeDocument/2006/relationships/table" Target="../tables/table108.xml"/><Relationship Id="rId197" Type="http://schemas.openxmlformats.org/officeDocument/2006/relationships/table" Target="../tables/table74.xml"/><Relationship Id="rId230" Type="http://schemas.openxmlformats.org/officeDocument/2006/relationships/table" Target="../tables/table107.xml"/><Relationship Id="rId196" Type="http://schemas.openxmlformats.org/officeDocument/2006/relationships/table" Target="../tables/table73.xml"/><Relationship Id="rId195" Type="http://schemas.openxmlformats.org/officeDocument/2006/relationships/table" Target="../tables/table72.xml"/><Relationship Id="rId235" Type="http://schemas.openxmlformats.org/officeDocument/2006/relationships/table" Target="../tables/table112.xml"/><Relationship Id="rId234" Type="http://schemas.openxmlformats.org/officeDocument/2006/relationships/table" Target="../tables/table111.xml"/><Relationship Id="rId233" Type="http://schemas.openxmlformats.org/officeDocument/2006/relationships/table" Target="../tables/table110.xml"/><Relationship Id="rId199" Type="http://schemas.openxmlformats.org/officeDocument/2006/relationships/table" Target="../tables/table76.xml"/><Relationship Id="rId232" Type="http://schemas.openxmlformats.org/officeDocument/2006/relationships/table" Target="../tables/table109.xml"/><Relationship Id="rId150" Type="http://schemas.openxmlformats.org/officeDocument/2006/relationships/table" Target="../tables/table27.xml"/><Relationship Id="rId1" Type="http://schemas.openxmlformats.org/officeDocument/2006/relationships/drawing" Target="../drawings/drawing5.xml"/><Relationship Id="rId149" Type="http://schemas.openxmlformats.org/officeDocument/2006/relationships/table" Target="../tables/table26.xml"/><Relationship Id="rId148" Type="http://schemas.openxmlformats.org/officeDocument/2006/relationships/table" Target="../tables/table25.xml"/><Relationship Id="rId143" Type="http://schemas.openxmlformats.org/officeDocument/2006/relationships/table" Target="../tables/table20.xml"/><Relationship Id="rId142" Type="http://schemas.openxmlformats.org/officeDocument/2006/relationships/table" Target="../tables/table19.xml"/><Relationship Id="rId141" Type="http://schemas.openxmlformats.org/officeDocument/2006/relationships/table" Target="../tables/table18.xml"/><Relationship Id="rId140" Type="http://schemas.openxmlformats.org/officeDocument/2006/relationships/table" Target="../tables/table17.xml"/><Relationship Id="rId147" Type="http://schemas.openxmlformats.org/officeDocument/2006/relationships/table" Target="../tables/table24.xml"/><Relationship Id="rId146" Type="http://schemas.openxmlformats.org/officeDocument/2006/relationships/table" Target="../tables/table23.xml"/><Relationship Id="rId145" Type="http://schemas.openxmlformats.org/officeDocument/2006/relationships/table" Target="../tables/table22.xml"/><Relationship Id="rId144" Type="http://schemas.openxmlformats.org/officeDocument/2006/relationships/table" Target="../tables/table21.xml"/><Relationship Id="rId139" Type="http://schemas.openxmlformats.org/officeDocument/2006/relationships/table" Target="../tables/table16.xml"/><Relationship Id="rId138" Type="http://schemas.openxmlformats.org/officeDocument/2006/relationships/table" Target="../tables/table15.xml"/><Relationship Id="rId137" Type="http://schemas.openxmlformats.org/officeDocument/2006/relationships/table" Target="../tables/table14.xml"/><Relationship Id="rId132" Type="http://schemas.openxmlformats.org/officeDocument/2006/relationships/table" Target="../tables/table9.xml"/><Relationship Id="rId131" Type="http://schemas.openxmlformats.org/officeDocument/2006/relationships/table" Target="../tables/table8.xml"/><Relationship Id="rId130" Type="http://schemas.openxmlformats.org/officeDocument/2006/relationships/table" Target="../tables/table7.xml"/><Relationship Id="rId136" Type="http://schemas.openxmlformats.org/officeDocument/2006/relationships/table" Target="../tables/table13.xml"/><Relationship Id="rId135" Type="http://schemas.openxmlformats.org/officeDocument/2006/relationships/table" Target="../tables/table12.xml"/><Relationship Id="rId134" Type="http://schemas.openxmlformats.org/officeDocument/2006/relationships/table" Target="../tables/table11.xml"/><Relationship Id="rId133" Type="http://schemas.openxmlformats.org/officeDocument/2006/relationships/table" Target="../tables/table10.xml"/><Relationship Id="rId172" Type="http://schemas.openxmlformats.org/officeDocument/2006/relationships/table" Target="../tables/table49.xml"/><Relationship Id="rId171" Type="http://schemas.openxmlformats.org/officeDocument/2006/relationships/table" Target="../tables/table48.xml"/><Relationship Id="rId170" Type="http://schemas.openxmlformats.org/officeDocument/2006/relationships/table" Target="../tables/table47.xml"/><Relationship Id="rId206" Type="http://schemas.openxmlformats.org/officeDocument/2006/relationships/table" Target="../tables/table83.xml"/><Relationship Id="rId205" Type="http://schemas.openxmlformats.org/officeDocument/2006/relationships/table" Target="../tables/table82.xml"/><Relationship Id="rId204" Type="http://schemas.openxmlformats.org/officeDocument/2006/relationships/table" Target="../tables/table81.xml"/><Relationship Id="rId203" Type="http://schemas.openxmlformats.org/officeDocument/2006/relationships/table" Target="../tables/table80.xml"/><Relationship Id="rId209" Type="http://schemas.openxmlformats.org/officeDocument/2006/relationships/table" Target="../tables/table86.xml"/><Relationship Id="rId208" Type="http://schemas.openxmlformats.org/officeDocument/2006/relationships/table" Target="../tables/table85.xml"/><Relationship Id="rId207" Type="http://schemas.openxmlformats.org/officeDocument/2006/relationships/table" Target="../tables/table84.xml"/><Relationship Id="rId165" Type="http://schemas.openxmlformats.org/officeDocument/2006/relationships/table" Target="../tables/table42.xml"/><Relationship Id="rId164" Type="http://schemas.openxmlformats.org/officeDocument/2006/relationships/table" Target="../tables/table41.xml"/><Relationship Id="rId163" Type="http://schemas.openxmlformats.org/officeDocument/2006/relationships/table" Target="../tables/table40.xml"/><Relationship Id="rId162" Type="http://schemas.openxmlformats.org/officeDocument/2006/relationships/table" Target="../tables/table39.xml"/><Relationship Id="rId169" Type="http://schemas.openxmlformats.org/officeDocument/2006/relationships/table" Target="../tables/table46.xml"/><Relationship Id="rId202" Type="http://schemas.openxmlformats.org/officeDocument/2006/relationships/table" Target="../tables/table79.xml"/><Relationship Id="rId168" Type="http://schemas.openxmlformats.org/officeDocument/2006/relationships/table" Target="../tables/table45.xml"/><Relationship Id="rId201" Type="http://schemas.openxmlformats.org/officeDocument/2006/relationships/table" Target="../tables/table78.xml"/><Relationship Id="rId167" Type="http://schemas.openxmlformats.org/officeDocument/2006/relationships/table" Target="../tables/table44.xml"/><Relationship Id="rId200" Type="http://schemas.openxmlformats.org/officeDocument/2006/relationships/table" Target="../tables/table77.xml"/><Relationship Id="rId166" Type="http://schemas.openxmlformats.org/officeDocument/2006/relationships/table" Target="../tables/table43.xml"/><Relationship Id="rId161" Type="http://schemas.openxmlformats.org/officeDocument/2006/relationships/table" Target="../tables/table38.xml"/><Relationship Id="rId160" Type="http://schemas.openxmlformats.org/officeDocument/2006/relationships/table" Target="../tables/table37.xml"/><Relationship Id="rId159" Type="http://schemas.openxmlformats.org/officeDocument/2006/relationships/table" Target="../tables/table36.xml"/><Relationship Id="rId154" Type="http://schemas.openxmlformats.org/officeDocument/2006/relationships/table" Target="../tables/table31.xml"/><Relationship Id="rId153" Type="http://schemas.openxmlformats.org/officeDocument/2006/relationships/table" Target="../tables/table30.xml"/><Relationship Id="rId152" Type="http://schemas.openxmlformats.org/officeDocument/2006/relationships/table" Target="../tables/table29.xml"/><Relationship Id="rId151" Type="http://schemas.openxmlformats.org/officeDocument/2006/relationships/table" Target="../tables/table28.xml"/><Relationship Id="rId158" Type="http://schemas.openxmlformats.org/officeDocument/2006/relationships/table" Target="../tables/table35.xml"/><Relationship Id="rId157" Type="http://schemas.openxmlformats.org/officeDocument/2006/relationships/table" Target="../tables/table34.xml"/><Relationship Id="rId156" Type="http://schemas.openxmlformats.org/officeDocument/2006/relationships/table" Target="../tables/table33.xml"/><Relationship Id="rId155" Type="http://schemas.openxmlformats.org/officeDocument/2006/relationships/table" Target="../tables/table3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s>
  <sheetData>
    <row r="1">
      <c r="A1" s="1"/>
      <c r="B1" s="2"/>
      <c r="C1" s="3">
        <v>46096.0</v>
      </c>
      <c r="E1" s="2"/>
    </row>
    <row r="2">
      <c r="A2" s="1"/>
      <c r="B2" s="2" t="s">
        <v>0</v>
      </c>
      <c r="C2" s="2" t="s">
        <v>1</v>
      </c>
      <c r="D2" s="2" t="s">
        <v>2</v>
      </c>
      <c r="E2" s="4" t="s">
        <v>3</v>
      </c>
    </row>
    <row r="3">
      <c r="A3" s="1" t="s">
        <v>4</v>
      </c>
      <c r="B3" s="4">
        <v>13000.0</v>
      </c>
      <c r="C3" s="5">
        <v>23.0</v>
      </c>
      <c r="E3" s="6">
        <f t="shared" ref="E3:E14" si="1">C3*B3</f>
        <v>299000</v>
      </c>
    </row>
    <row r="4">
      <c r="A4" s="1" t="s">
        <v>5</v>
      </c>
      <c r="B4" s="4">
        <v>13000.0</v>
      </c>
      <c r="C4" s="5">
        <v>12.0</v>
      </c>
      <c r="E4" s="6">
        <f t="shared" si="1"/>
        <v>156000</v>
      </c>
    </row>
    <row r="5">
      <c r="A5" s="1" t="s">
        <v>6</v>
      </c>
      <c r="B5" s="4">
        <v>13000.0</v>
      </c>
      <c r="C5" s="5">
        <v>12.0</v>
      </c>
      <c r="E5" s="6">
        <f t="shared" si="1"/>
        <v>156000</v>
      </c>
    </row>
    <row r="6">
      <c r="A6" s="1" t="s">
        <v>7</v>
      </c>
      <c r="B6" s="4">
        <v>13000.0</v>
      </c>
      <c r="C6" s="5">
        <v>10.0</v>
      </c>
      <c r="E6" s="6">
        <f t="shared" si="1"/>
        <v>130000</v>
      </c>
    </row>
    <row r="7">
      <c r="A7" s="7" t="s">
        <v>8</v>
      </c>
      <c r="B7" s="4">
        <v>13000.0</v>
      </c>
      <c r="C7" s="5">
        <v>10.0</v>
      </c>
      <c r="E7" s="6">
        <f t="shared" si="1"/>
        <v>130000</v>
      </c>
    </row>
    <row r="8">
      <c r="A8" s="1" t="s">
        <v>9</v>
      </c>
      <c r="B8" s="4">
        <v>13000.0</v>
      </c>
      <c r="C8" s="5">
        <v>25.0</v>
      </c>
      <c r="E8" s="6">
        <f t="shared" si="1"/>
        <v>325000</v>
      </c>
    </row>
    <row r="9">
      <c r="A9" s="1" t="s">
        <v>10</v>
      </c>
      <c r="B9" s="4">
        <v>13000.0</v>
      </c>
      <c r="C9" s="5">
        <v>14.0</v>
      </c>
      <c r="E9" s="6">
        <f t="shared" si="1"/>
        <v>182000</v>
      </c>
    </row>
    <row r="10">
      <c r="A10" s="1" t="s">
        <v>11</v>
      </c>
      <c r="B10" s="4">
        <v>16000.0</v>
      </c>
      <c r="C10" s="5">
        <v>15.0</v>
      </c>
      <c r="E10" s="6">
        <f t="shared" si="1"/>
        <v>240000</v>
      </c>
    </row>
    <row r="11">
      <c r="A11" s="1" t="s">
        <v>12</v>
      </c>
      <c r="B11" s="4">
        <v>13000.0</v>
      </c>
      <c r="C11" s="5">
        <v>5.0</v>
      </c>
      <c r="E11" s="6">
        <f t="shared" si="1"/>
        <v>65000</v>
      </c>
    </row>
    <row r="12">
      <c r="A12" s="7" t="s">
        <v>13</v>
      </c>
      <c r="B12" s="4">
        <v>13000.0</v>
      </c>
      <c r="C12" s="5">
        <v>15.0</v>
      </c>
      <c r="E12" s="6">
        <f t="shared" si="1"/>
        <v>195000</v>
      </c>
    </row>
    <row r="13">
      <c r="A13" s="1" t="s">
        <v>14</v>
      </c>
      <c r="B13" s="4">
        <v>13000.0</v>
      </c>
      <c r="C13" s="5">
        <v>20.0</v>
      </c>
      <c r="E13" s="6">
        <f t="shared" si="1"/>
        <v>260000</v>
      </c>
    </row>
    <row r="14">
      <c r="A14" s="7" t="s">
        <v>15</v>
      </c>
      <c r="B14" s="4">
        <v>13000.0</v>
      </c>
      <c r="C14" s="5">
        <v>139.0</v>
      </c>
      <c r="E14" s="6">
        <f t="shared" si="1"/>
        <v>1807000</v>
      </c>
    </row>
    <row r="15">
      <c r="A15" s="4" t="s">
        <v>16</v>
      </c>
      <c r="B15" s="8"/>
      <c r="C15" s="8">
        <f>SUM(C3:C14)+sum(D3:D14)</f>
        <v>300</v>
      </c>
      <c r="E15" s="9">
        <f>SUM(E2:E14)</f>
        <v>3945000</v>
      </c>
    </row>
    <row r="16">
      <c r="C16" s="10"/>
    </row>
    <row r="17">
      <c r="A17" s="1"/>
      <c r="B17" s="2" t="s">
        <v>17</v>
      </c>
      <c r="C17" s="2" t="s">
        <v>1</v>
      </c>
      <c r="D17" s="2" t="s">
        <v>2</v>
      </c>
      <c r="E17" s="4" t="s">
        <v>3</v>
      </c>
    </row>
    <row r="18">
      <c r="A18" s="1" t="s">
        <v>4</v>
      </c>
      <c r="B18" s="4">
        <v>20000.0</v>
      </c>
      <c r="C18" s="5">
        <v>23.0</v>
      </c>
      <c r="E18" s="6">
        <f t="shared" ref="E18:E29" si="2">C18*B18</f>
        <v>460000</v>
      </c>
    </row>
    <row r="19">
      <c r="A19" s="1" t="s">
        <v>5</v>
      </c>
      <c r="B19" s="4">
        <v>20000.0</v>
      </c>
      <c r="C19" s="5">
        <v>12.0</v>
      </c>
      <c r="E19" s="6">
        <f t="shared" si="2"/>
        <v>240000</v>
      </c>
    </row>
    <row r="20">
      <c r="A20" s="1" t="s">
        <v>6</v>
      </c>
      <c r="B20" s="4">
        <v>20000.0</v>
      </c>
      <c r="C20" s="5">
        <v>12.0</v>
      </c>
      <c r="E20" s="6">
        <f t="shared" si="2"/>
        <v>240000</v>
      </c>
    </row>
    <row r="21">
      <c r="A21" s="1" t="s">
        <v>7</v>
      </c>
      <c r="B21" s="4">
        <v>20000.0</v>
      </c>
      <c r="C21" s="5">
        <v>10.0</v>
      </c>
      <c r="E21" s="6">
        <f t="shared" si="2"/>
        <v>200000</v>
      </c>
    </row>
    <row r="22">
      <c r="A22" s="7" t="s">
        <v>8</v>
      </c>
      <c r="B22" s="4">
        <v>20000.0</v>
      </c>
      <c r="C22" s="5">
        <v>10.0</v>
      </c>
      <c r="E22" s="6">
        <f t="shared" si="2"/>
        <v>200000</v>
      </c>
    </row>
    <row r="23">
      <c r="A23" s="1" t="s">
        <v>9</v>
      </c>
      <c r="B23" s="4">
        <v>20000.0</v>
      </c>
      <c r="C23" s="5">
        <v>25.0</v>
      </c>
      <c r="E23" s="6">
        <f t="shared" si="2"/>
        <v>500000</v>
      </c>
    </row>
    <row r="24">
      <c r="A24" s="1" t="s">
        <v>10</v>
      </c>
      <c r="B24" s="4">
        <v>20000.0</v>
      </c>
      <c r="C24" s="5">
        <v>14.0</v>
      </c>
      <c r="E24" s="6">
        <f t="shared" si="2"/>
        <v>280000</v>
      </c>
    </row>
    <row r="25">
      <c r="A25" s="1" t="s">
        <v>11</v>
      </c>
      <c r="B25" s="4">
        <v>22000.0</v>
      </c>
      <c r="C25" s="5">
        <v>15.0</v>
      </c>
      <c r="E25" s="6">
        <f t="shared" si="2"/>
        <v>330000</v>
      </c>
    </row>
    <row r="26">
      <c r="A26" s="1" t="s">
        <v>12</v>
      </c>
      <c r="B26" s="4">
        <v>20000.0</v>
      </c>
      <c r="C26" s="5">
        <v>5.0</v>
      </c>
      <c r="E26" s="6">
        <f t="shared" si="2"/>
        <v>100000</v>
      </c>
    </row>
    <row r="27">
      <c r="A27" s="7" t="s">
        <v>13</v>
      </c>
      <c r="B27" s="4">
        <v>20000.0</v>
      </c>
      <c r="C27" s="5">
        <v>15.0</v>
      </c>
      <c r="E27" s="6">
        <f t="shared" si="2"/>
        <v>300000</v>
      </c>
    </row>
    <row r="28">
      <c r="A28" s="1" t="s">
        <v>14</v>
      </c>
      <c r="B28" s="4">
        <v>20000.0</v>
      </c>
      <c r="C28" s="5">
        <v>20.0</v>
      </c>
      <c r="E28" s="6">
        <f t="shared" si="2"/>
        <v>400000</v>
      </c>
    </row>
    <row r="29">
      <c r="A29" s="7" t="s">
        <v>15</v>
      </c>
      <c r="B29" s="4">
        <v>20000.0</v>
      </c>
      <c r="C29" s="5">
        <v>139.0</v>
      </c>
      <c r="E29" s="6">
        <f t="shared" si="2"/>
        <v>2780000</v>
      </c>
    </row>
    <row r="30">
      <c r="A30" s="4" t="s">
        <v>16</v>
      </c>
      <c r="B30" s="8"/>
      <c r="C30" s="8">
        <f>SUM(C18:C29)+sum(D18:D29)</f>
        <v>300</v>
      </c>
      <c r="E30" s="9">
        <f>SUM(E17:E29)</f>
        <v>6030000</v>
      </c>
    </row>
  </sheetData>
  <mergeCells count="5">
    <mergeCell ref="C1:D1"/>
    <mergeCell ref="E1:F1"/>
    <mergeCell ref="C15:D15"/>
    <mergeCell ref="C16:D16"/>
    <mergeCell ref="C30:D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4" t="s">
        <v>18</v>
      </c>
    </row>
    <row r="4">
      <c r="A4" s="4" t="s">
        <v>19</v>
      </c>
      <c r="B4" s="4" t="s">
        <v>20</v>
      </c>
      <c r="C4" s="4" t="s">
        <v>21</v>
      </c>
      <c r="D4" s="4" t="s">
        <v>22</v>
      </c>
    </row>
    <row r="5">
      <c r="D5" s="11">
        <v>46089.0</v>
      </c>
      <c r="E5" s="12">
        <f t="shared" ref="E5:K5" si="1">D5+1</f>
        <v>46090</v>
      </c>
      <c r="F5" s="12">
        <f t="shared" si="1"/>
        <v>46091</v>
      </c>
      <c r="G5" s="12">
        <f t="shared" si="1"/>
        <v>46092</v>
      </c>
      <c r="H5" s="12">
        <f t="shared" si="1"/>
        <v>46093</v>
      </c>
      <c r="I5" s="12">
        <f t="shared" si="1"/>
        <v>46094</v>
      </c>
      <c r="J5" s="12">
        <f t="shared" si="1"/>
        <v>46095</v>
      </c>
      <c r="K5" s="12">
        <f t="shared" si="1"/>
        <v>46096</v>
      </c>
      <c r="L5" s="11">
        <v>46105.0</v>
      </c>
    </row>
    <row r="6">
      <c r="A6" s="4" t="s">
        <v>23</v>
      </c>
      <c r="B6" s="4">
        <f t="shared" ref="B6:B14" si="2">C6*sum(D6:L6)</f>
        <v>1000000</v>
      </c>
      <c r="C6" s="4">
        <v>200000.0</v>
      </c>
      <c r="J6" s="4">
        <v>5.0</v>
      </c>
    </row>
    <row r="7">
      <c r="A7" s="4" t="s">
        <v>24</v>
      </c>
      <c r="B7" s="4">
        <f t="shared" si="2"/>
        <v>7000000</v>
      </c>
      <c r="C7" s="4">
        <v>1000000.0</v>
      </c>
      <c r="D7" s="4">
        <v>3.0</v>
      </c>
      <c r="J7" s="4">
        <v>4.0</v>
      </c>
    </row>
    <row r="8">
      <c r="A8" s="4" t="s">
        <v>25</v>
      </c>
      <c r="B8" s="4">
        <f t="shared" si="2"/>
        <v>0</v>
      </c>
    </row>
    <row r="9">
      <c r="A9" s="4" t="s">
        <v>26</v>
      </c>
      <c r="B9" s="4">
        <f t="shared" si="2"/>
        <v>0</v>
      </c>
      <c r="E9" s="11"/>
    </row>
    <row r="10">
      <c r="A10" s="4" t="s">
        <v>27</v>
      </c>
      <c r="B10" s="4">
        <f t="shared" si="2"/>
        <v>0</v>
      </c>
      <c r="C10" s="4">
        <v>1000.0</v>
      </c>
    </row>
    <row r="11">
      <c r="A11" s="4" t="s">
        <v>28</v>
      </c>
      <c r="B11" s="4">
        <f t="shared" si="2"/>
        <v>5100000</v>
      </c>
      <c r="C11" s="4">
        <v>1700000.0</v>
      </c>
      <c r="D11" s="4">
        <v>1.0</v>
      </c>
      <c r="F11" s="4">
        <v>1.0</v>
      </c>
      <c r="K11" s="4">
        <v>1.0</v>
      </c>
    </row>
    <row r="12">
      <c r="A12" s="4" t="s">
        <v>29</v>
      </c>
      <c r="B12" s="4">
        <f t="shared" si="2"/>
        <v>1200000</v>
      </c>
      <c r="C12" s="4">
        <v>300000.0</v>
      </c>
      <c r="D12" s="4">
        <v>1.0</v>
      </c>
      <c r="E12" s="4">
        <v>1.0</v>
      </c>
      <c r="F12" s="4">
        <v>1.0</v>
      </c>
      <c r="K12" s="4">
        <v>1.0</v>
      </c>
    </row>
    <row r="13">
      <c r="A13" s="4" t="s">
        <v>30</v>
      </c>
      <c r="B13" s="4">
        <f t="shared" si="2"/>
        <v>1450000</v>
      </c>
      <c r="C13" s="4">
        <v>1450000.0</v>
      </c>
      <c r="L13" s="4">
        <v>1.0</v>
      </c>
    </row>
    <row r="14">
      <c r="A14" s="4" t="s">
        <v>31</v>
      </c>
      <c r="B14" s="4">
        <f t="shared" si="2"/>
        <v>1700000</v>
      </c>
      <c r="C14" s="4">
        <v>1700000.0</v>
      </c>
      <c r="F14" s="4">
        <f>L13</f>
        <v>1</v>
      </c>
      <c r="L14" s="4"/>
    </row>
    <row r="15">
      <c r="A15" s="4" t="s">
        <v>32</v>
      </c>
      <c r="B15" s="4">
        <f>C15*sum(E14:L14)</f>
        <v>1650000</v>
      </c>
      <c r="C15" s="4">
        <v>1650000.0</v>
      </c>
      <c r="D15" s="4">
        <v>1.0</v>
      </c>
      <c r="L15" s="4"/>
    </row>
    <row r="16">
      <c r="A16" s="4" t="s">
        <v>33</v>
      </c>
      <c r="B16" s="4">
        <f t="shared" ref="B16:B17" si="3">C16*sum(D16:L16)</f>
        <v>860000</v>
      </c>
      <c r="C16" s="4">
        <v>43000.0</v>
      </c>
      <c r="L16" s="4">
        <v>20.0</v>
      </c>
    </row>
    <row r="17">
      <c r="A17" s="4" t="s">
        <v>26</v>
      </c>
      <c r="B17" s="4">
        <f t="shared" si="3"/>
        <v>1240000</v>
      </c>
      <c r="C17" s="4">
        <f>1240000/L17</f>
        <v>620</v>
      </c>
      <c r="L17" s="4">
        <v>2000.0</v>
      </c>
    </row>
    <row r="18">
      <c r="B18" s="13">
        <f>SUM(B5:B17)</f>
        <v>21200000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30.88"/>
  </cols>
  <sheetData>
    <row r="1">
      <c r="A1" s="4" t="s">
        <v>34</v>
      </c>
    </row>
    <row r="3">
      <c r="A3" s="1" t="s">
        <v>35</v>
      </c>
      <c r="B3" s="1" t="s">
        <v>36</v>
      </c>
      <c r="C3" s="2" t="s">
        <v>0</v>
      </c>
      <c r="D3" s="4" t="s">
        <v>37</v>
      </c>
    </row>
    <row r="4">
      <c r="A4" s="1">
        <v>1.0</v>
      </c>
      <c r="B4" s="1" t="s">
        <v>4</v>
      </c>
      <c r="C4" s="4">
        <v>13000.0</v>
      </c>
      <c r="D4" s="4">
        <v>20000.0</v>
      </c>
    </row>
    <row r="5">
      <c r="A5" s="1">
        <v>2.0</v>
      </c>
      <c r="B5" s="1" t="s">
        <v>5</v>
      </c>
      <c r="C5" s="4">
        <v>13000.0</v>
      </c>
      <c r="D5" s="4">
        <v>20000.0</v>
      </c>
    </row>
    <row r="6">
      <c r="A6" s="1">
        <v>3.0</v>
      </c>
      <c r="B6" s="1" t="s">
        <v>6</v>
      </c>
      <c r="C6" s="4">
        <v>13000.0</v>
      </c>
      <c r="D6" s="4">
        <v>20000.0</v>
      </c>
    </row>
    <row r="7">
      <c r="A7" s="1">
        <v>4.0</v>
      </c>
      <c r="B7" s="1" t="s">
        <v>7</v>
      </c>
      <c r="C7" s="4">
        <v>13000.0</v>
      </c>
      <c r="D7" s="4">
        <v>20000.0</v>
      </c>
    </row>
    <row r="8">
      <c r="A8" s="7">
        <v>5.0</v>
      </c>
      <c r="B8" s="7" t="s">
        <v>8</v>
      </c>
      <c r="C8" s="4">
        <v>13000.0</v>
      </c>
      <c r="D8" s="4">
        <v>20000.0</v>
      </c>
    </row>
    <row r="9">
      <c r="A9" s="1">
        <v>6.0</v>
      </c>
      <c r="B9" s="1" t="s">
        <v>9</v>
      </c>
      <c r="C9" s="4">
        <v>13000.0</v>
      </c>
      <c r="D9" s="4">
        <v>20000.0</v>
      </c>
    </row>
    <row r="10">
      <c r="A10" s="1">
        <v>7.0</v>
      </c>
      <c r="B10" s="1" t="s">
        <v>10</v>
      </c>
      <c r="C10" s="4">
        <v>13000.0</v>
      </c>
      <c r="D10" s="4">
        <v>20000.0</v>
      </c>
    </row>
    <row r="11">
      <c r="A11" s="1">
        <v>8.0</v>
      </c>
      <c r="B11" s="1" t="s">
        <v>11</v>
      </c>
      <c r="C11" s="4">
        <v>13000.0</v>
      </c>
      <c r="D11" s="4">
        <v>22000.0</v>
      </c>
    </row>
    <row r="12">
      <c r="A12" s="1">
        <v>9.0</v>
      </c>
      <c r="B12" s="1" t="s">
        <v>12</v>
      </c>
      <c r="C12" s="4">
        <v>13000.0</v>
      </c>
      <c r="D12" s="4">
        <v>20000.0</v>
      </c>
    </row>
    <row r="13">
      <c r="A13" s="7">
        <v>10.0</v>
      </c>
      <c r="B13" s="7" t="s">
        <v>13</v>
      </c>
      <c r="C13" s="4">
        <v>13000.0</v>
      </c>
      <c r="D13" s="4">
        <v>20000.0</v>
      </c>
    </row>
    <row r="14">
      <c r="A14" s="1">
        <v>11.0</v>
      </c>
      <c r="B14" s="1" t="s">
        <v>14</v>
      </c>
      <c r="C14" s="4">
        <v>16000.0</v>
      </c>
      <c r="D14" s="4">
        <v>20000.0</v>
      </c>
    </row>
    <row r="15">
      <c r="A15" s="7">
        <v>12.0</v>
      </c>
      <c r="B15" s="7" t="s">
        <v>15</v>
      </c>
      <c r="C15" s="4">
        <v>13000.0</v>
      </c>
      <c r="D15" s="4">
        <v>20000.0</v>
      </c>
    </row>
    <row r="17">
      <c r="B17" s="4" t="s">
        <v>38</v>
      </c>
      <c r="C17" s="14">
        <f>sum(C18:C21)</f>
        <v>1233.333333</v>
      </c>
    </row>
    <row r="18">
      <c r="B18" s="4" t="s">
        <v>39</v>
      </c>
      <c r="C18" s="14">
        <f>100000/1200</f>
        <v>83.33333333</v>
      </c>
    </row>
    <row r="19">
      <c r="B19" s="4" t="s">
        <v>40</v>
      </c>
      <c r="C19" s="4">
        <v>1000.0</v>
      </c>
    </row>
    <row r="20">
      <c r="B20" s="4" t="s">
        <v>41</v>
      </c>
      <c r="C20" s="4">
        <v>50.0</v>
      </c>
    </row>
    <row r="21">
      <c r="B21" s="4" t="s">
        <v>42</v>
      </c>
      <c r="C21" s="4">
        <v>100.0</v>
      </c>
    </row>
    <row r="22">
      <c r="B22" s="4" t="s">
        <v>43</v>
      </c>
      <c r="C22" s="4">
        <v>3450.0</v>
      </c>
      <c r="D22" s="4">
        <v>4099.0</v>
      </c>
      <c r="E22" s="4">
        <v>20000.0</v>
      </c>
    </row>
    <row r="23">
      <c r="B23" s="4" t="s">
        <v>44</v>
      </c>
      <c r="D23" s="4">
        <v>1240.0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hidden="1" min="2" max="7" width="12.63"/>
    <col customWidth="1" min="13" max="13" width="17.63"/>
    <col customWidth="1" min="14" max="14" width="16.25"/>
    <col customWidth="1" min="21" max="21" width="16.63"/>
  </cols>
  <sheetData>
    <row r="2">
      <c r="B2" s="2"/>
      <c r="C2" s="2" t="s">
        <v>45</v>
      </c>
    </row>
    <row r="3">
      <c r="A3" s="4"/>
      <c r="B3" s="15"/>
      <c r="C3" s="4" t="s">
        <v>46</v>
      </c>
      <c r="D3" s="4" t="s">
        <v>47</v>
      </c>
      <c r="E3" s="4" t="s">
        <v>48</v>
      </c>
      <c r="F3" s="4" t="s">
        <v>49</v>
      </c>
      <c r="G3" s="4" t="s">
        <v>50</v>
      </c>
      <c r="H3" s="4" t="s">
        <v>51</v>
      </c>
    </row>
    <row r="4">
      <c r="A4" s="4" t="s">
        <v>52</v>
      </c>
      <c r="B4" s="15"/>
      <c r="C4" s="15">
        <v>46090.0</v>
      </c>
      <c r="D4" s="16">
        <f t="shared" ref="D4:G4" si="1">C4+1</f>
        <v>46091</v>
      </c>
      <c r="E4" s="16">
        <f t="shared" si="1"/>
        <v>46092</v>
      </c>
      <c r="F4" s="16">
        <f t="shared" si="1"/>
        <v>46093</v>
      </c>
      <c r="G4" s="16">
        <f t="shared" si="1"/>
        <v>46094</v>
      </c>
      <c r="J4" s="16">
        <v>46097.0</v>
      </c>
      <c r="K4" s="16">
        <f t="shared" ref="K4:L4" si="2">J4+1</f>
        <v>46098</v>
      </c>
      <c r="L4" s="16">
        <f t="shared" si="2"/>
        <v>46099</v>
      </c>
    </row>
    <row r="5" hidden="1">
      <c r="A5" s="17" t="s">
        <v>53</v>
      </c>
      <c r="B5" s="4" t="s">
        <v>54</v>
      </c>
      <c r="E5" s="4">
        <v>50.0</v>
      </c>
      <c r="G5" s="4">
        <v>70.0</v>
      </c>
      <c r="H5" s="18">
        <f>D6+E5+E6+F6+G5</f>
        <v>310</v>
      </c>
    </row>
    <row r="6" hidden="1">
      <c r="B6" s="4" t="s">
        <v>55</v>
      </c>
      <c r="D6" s="4">
        <v>50.0</v>
      </c>
      <c r="E6" s="4">
        <v>70.0</v>
      </c>
      <c r="F6" s="4">
        <v>70.0</v>
      </c>
    </row>
    <row r="7" hidden="1">
      <c r="A7" s="17" t="s">
        <v>56</v>
      </c>
      <c r="B7" s="4" t="s">
        <v>54</v>
      </c>
      <c r="E7" s="4">
        <v>50.0</v>
      </c>
      <c r="H7" s="18">
        <f>D8+E7+F8</f>
        <v>170</v>
      </c>
    </row>
    <row r="8" hidden="1">
      <c r="B8" s="4" t="s">
        <v>55</v>
      </c>
      <c r="D8" s="4">
        <v>50.0</v>
      </c>
      <c r="F8" s="4">
        <v>70.0</v>
      </c>
    </row>
    <row r="9" hidden="1">
      <c r="A9" s="17" t="s">
        <v>57</v>
      </c>
      <c r="B9" s="4" t="s">
        <v>54</v>
      </c>
      <c r="E9" s="4">
        <v>50.0</v>
      </c>
      <c r="G9" s="4">
        <v>70.0</v>
      </c>
      <c r="H9" s="17">
        <v>310.0</v>
      </c>
    </row>
    <row r="10" hidden="1">
      <c r="B10" s="4" t="s">
        <v>55</v>
      </c>
      <c r="D10" s="4">
        <v>50.0</v>
      </c>
      <c r="E10" s="4">
        <v>70.0</v>
      </c>
      <c r="F10" s="4">
        <v>70.0</v>
      </c>
    </row>
    <row r="11" hidden="1">
      <c r="A11" s="17" t="s">
        <v>58</v>
      </c>
      <c r="B11" s="4" t="s">
        <v>54</v>
      </c>
      <c r="H11" s="17">
        <v>100.0</v>
      </c>
    </row>
    <row r="12" hidden="1">
      <c r="B12" s="4" t="s">
        <v>55</v>
      </c>
      <c r="D12" s="4">
        <v>50.0</v>
      </c>
      <c r="F12" s="4">
        <v>50.0</v>
      </c>
    </row>
    <row r="13" hidden="1">
      <c r="A13" s="17" t="s">
        <v>59</v>
      </c>
      <c r="B13" s="4" t="s">
        <v>54</v>
      </c>
      <c r="H13" s="18">
        <f>D14+E14+F14+G14</f>
        <v>240</v>
      </c>
    </row>
    <row r="14" hidden="1">
      <c r="B14" s="4" t="s">
        <v>55</v>
      </c>
      <c r="D14" s="4">
        <v>50.0</v>
      </c>
      <c r="E14" s="4">
        <v>50.0</v>
      </c>
      <c r="F14" s="4">
        <v>70.0</v>
      </c>
      <c r="G14" s="4">
        <v>70.0</v>
      </c>
    </row>
    <row r="15" hidden="1">
      <c r="A15" s="17" t="s">
        <v>60</v>
      </c>
      <c r="B15" s="4" t="s">
        <v>54</v>
      </c>
      <c r="F15" s="4">
        <v>50.0</v>
      </c>
      <c r="H15" s="18">
        <f>E16+F15+F16+G16</f>
        <v>240</v>
      </c>
    </row>
    <row r="16" hidden="1">
      <c r="B16" s="4" t="s">
        <v>55</v>
      </c>
      <c r="E16" s="4">
        <v>50.0</v>
      </c>
      <c r="F16" s="4">
        <v>70.0</v>
      </c>
      <c r="G16" s="4">
        <v>70.0</v>
      </c>
    </row>
    <row r="17" hidden="1">
      <c r="A17" s="17" t="s">
        <v>61</v>
      </c>
      <c r="B17" s="4" t="s">
        <v>54</v>
      </c>
      <c r="F17" s="4">
        <v>50.0</v>
      </c>
      <c r="H17" s="18">
        <f>F17</f>
        <v>50</v>
      </c>
    </row>
    <row r="18" hidden="1">
      <c r="B18" s="4" t="s">
        <v>55</v>
      </c>
    </row>
    <row r="19" hidden="1">
      <c r="A19" s="4" t="s">
        <v>62</v>
      </c>
      <c r="B19" s="4" t="s">
        <v>54</v>
      </c>
      <c r="G19" s="4">
        <v>50.0</v>
      </c>
      <c r="H19" s="18">
        <f>G19+F20</f>
        <v>100</v>
      </c>
    </row>
    <row r="20" hidden="1">
      <c r="B20" s="4" t="s">
        <v>55</v>
      </c>
      <c r="F20" s="4">
        <v>50.0</v>
      </c>
    </row>
    <row r="21">
      <c r="A21" s="4" t="s">
        <v>63</v>
      </c>
      <c r="B21" s="4" t="s">
        <v>54</v>
      </c>
      <c r="G21" s="4">
        <v>50.0</v>
      </c>
      <c r="H21" s="18">
        <f>G21+F22</f>
        <v>100</v>
      </c>
    </row>
    <row r="22">
      <c r="B22" s="4" t="s">
        <v>55</v>
      </c>
      <c r="F22" s="4">
        <v>50.0</v>
      </c>
    </row>
    <row r="23">
      <c r="H23" s="19">
        <f>sum(H5:H22)</f>
        <v>1620</v>
      </c>
    </row>
    <row r="27">
      <c r="A27" s="20" t="s">
        <v>64</v>
      </c>
      <c r="I27" s="21" t="s">
        <v>65</v>
      </c>
      <c r="J27" s="22" t="s">
        <v>66</v>
      </c>
      <c r="K27" s="23" t="s">
        <v>67</v>
      </c>
      <c r="L27" s="24" t="s">
        <v>68</v>
      </c>
    </row>
    <row r="29">
      <c r="A29" s="25" t="s">
        <v>52</v>
      </c>
      <c r="B29" s="25" t="s">
        <v>69</v>
      </c>
      <c r="C29" s="26" t="s">
        <v>46</v>
      </c>
      <c r="D29" s="26" t="s">
        <v>47</v>
      </c>
      <c r="E29" s="26" t="s">
        <v>48</v>
      </c>
      <c r="F29" s="26" t="s">
        <v>49</v>
      </c>
      <c r="G29" s="26" t="s">
        <v>50</v>
      </c>
      <c r="I29" s="26" t="s">
        <v>46</v>
      </c>
      <c r="J29" s="26" t="s">
        <v>47</v>
      </c>
      <c r="K29" s="26" t="s">
        <v>48</v>
      </c>
      <c r="L29" s="26" t="s">
        <v>49</v>
      </c>
      <c r="M29" s="26" t="s">
        <v>50</v>
      </c>
      <c r="O29" s="26" t="s">
        <v>46</v>
      </c>
      <c r="P29" s="26" t="s">
        <v>47</v>
      </c>
      <c r="Q29" s="26" t="s">
        <v>48</v>
      </c>
      <c r="R29" s="26" t="s">
        <v>49</v>
      </c>
      <c r="S29" s="26" t="s">
        <v>50</v>
      </c>
    </row>
    <row r="30">
      <c r="A30" s="27"/>
      <c r="B30" s="27"/>
      <c r="C30" s="28">
        <v>46090.0</v>
      </c>
      <c r="D30" s="29">
        <f t="shared" ref="D30:G30" si="3">C30+1</f>
        <v>46091</v>
      </c>
      <c r="E30" s="29">
        <f t="shared" si="3"/>
        <v>46092</v>
      </c>
      <c r="F30" s="29">
        <f t="shared" si="3"/>
        <v>46093</v>
      </c>
      <c r="G30" s="29">
        <f t="shared" si="3"/>
        <v>46094</v>
      </c>
      <c r="I30" s="29">
        <v>46097.0</v>
      </c>
      <c r="J30" s="29">
        <v>46098.0</v>
      </c>
      <c r="K30" s="29">
        <v>46099.0</v>
      </c>
      <c r="L30" s="29">
        <f t="shared" ref="L30:M30" si="4">K30+1</f>
        <v>46100</v>
      </c>
      <c r="M30" s="29">
        <f t="shared" si="4"/>
        <v>46101</v>
      </c>
      <c r="O30" s="28">
        <v>46104.0</v>
      </c>
      <c r="P30" s="29">
        <f t="shared" ref="P30:S30" si="5">O30+1</f>
        <v>46105</v>
      </c>
      <c r="Q30" s="29">
        <f t="shared" si="5"/>
        <v>46106</v>
      </c>
      <c r="R30" s="29">
        <f t="shared" si="5"/>
        <v>46107</v>
      </c>
      <c r="S30" s="29">
        <f t="shared" si="5"/>
        <v>46108</v>
      </c>
    </row>
    <row r="31">
      <c r="A31" s="30" t="s">
        <v>53</v>
      </c>
      <c r="B31" s="23" t="s">
        <v>54</v>
      </c>
      <c r="C31" s="23"/>
      <c r="D31" s="31"/>
      <c r="E31" s="23" t="s">
        <v>70</v>
      </c>
      <c r="F31" s="31"/>
      <c r="G31" s="26" t="s">
        <v>71</v>
      </c>
      <c r="I31" s="23"/>
      <c r="J31" s="23"/>
      <c r="K31" s="31">
        <v>1.0</v>
      </c>
      <c r="L31" s="23"/>
      <c r="M31" s="31"/>
      <c r="O31" s="23"/>
      <c r="P31" s="23"/>
      <c r="Q31" s="31">
        <v>70.0</v>
      </c>
      <c r="R31" s="23"/>
      <c r="S31" s="32"/>
      <c r="T31" s="13">
        <f>O31+P31+Q31+R31+S31+O32+P32+Q32+R32+S32</f>
        <v>300</v>
      </c>
    </row>
    <row r="32">
      <c r="A32" s="27"/>
      <c r="B32" s="24" t="s">
        <v>55</v>
      </c>
      <c r="C32" s="33"/>
      <c r="D32" s="33" t="s">
        <v>70</v>
      </c>
      <c r="E32" s="33" t="s">
        <v>71</v>
      </c>
      <c r="F32" s="24" t="s">
        <v>71</v>
      </c>
      <c r="G32" s="34"/>
      <c r="I32" s="24"/>
      <c r="J32" s="33">
        <v>1.0</v>
      </c>
      <c r="K32" s="35">
        <v>1.0</v>
      </c>
      <c r="L32" s="35">
        <v>1.0</v>
      </c>
      <c r="M32" s="24"/>
      <c r="O32" s="24"/>
      <c r="P32" s="33">
        <v>70.0</v>
      </c>
      <c r="Q32" s="33">
        <v>80.0</v>
      </c>
      <c r="R32" s="33">
        <v>80.0</v>
      </c>
      <c r="S32" s="24"/>
    </row>
    <row r="33">
      <c r="A33" s="36" t="s">
        <v>56</v>
      </c>
      <c r="B33" s="23" t="s">
        <v>54</v>
      </c>
      <c r="C33" s="23"/>
      <c r="D33" s="31"/>
      <c r="E33" s="23" t="s">
        <v>70</v>
      </c>
      <c r="F33" s="31"/>
      <c r="G33" s="37"/>
      <c r="I33" s="23"/>
      <c r="J33" s="23"/>
      <c r="K33" s="31">
        <v>1.0</v>
      </c>
      <c r="L33" s="23"/>
      <c r="M33" s="31"/>
      <c r="O33" s="23"/>
      <c r="P33" s="23"/>
      <c r="Q33" s="31">
        <v>70.0</v>
      </c>
      <c r="R33" s="23"/>
      <c r="S33" s="31"/>
      <c r="T33" s="13">
        <f>O33+P33+Q33+R33+S33+O34+P34+Q34+R34+S34</f>
        <v>140</v>
      </c>
    </row>
    <row r="34">
      <c r="A34" s="27"/>
      <c r="B34" s="24" t="s">
        <v>55</v>
      </c>
      <c r="C34" s="33"/>
      <c r="D34" s="33" t="s">
        <v>70</v>
      </c>
      <c r="E34" s="33"/>
      <c r="F34" s="24" t="s">
        <v>71</v>
      </c>
      <c r="G34" s="34"/>
      <c r="I34" s="24"/>
      <c r="J34" s="33"/>
      <c r="K34" s="33"/>
      <c r="L34" s="33">
        <v>1.0</v>
      </c>
      <c r="M34" s="24"/>
      <c r="O34" s="24"/>
      <c r="P34" s="33"/>
      <c r="Q34" s="33"/>
      <c r="R34" s="33">
        <v>70.0</v>
      </c>
      <c r="S34" s="24"/>
    </row>
    <row r="35">
      <c r="A35" s="38" t="s">
        <v>57</v>
      </c>
      <c r="B35" s="23" t="s">
        <v>54</v>
      </c>
      <c r="C35" s="23"/>
      <c r="D35" s="31"/>
      <c r="E35" s="23" t="s">
        <v>70</v>
      </c>
      <c r="F35" s="31"/>
      <c r="G35" s="39" t="s">
        <v>71</v>
      </c>
      <c r="I35" s="23"/>
      <c r="J35" s="23"/>
      <c r="K35" s="31">
        <v>1.0</v>
      </c>
      <c r="L35" s="23"/>
      <c r="M35" s="31"/>
      <c r="O35" s="23"/>
      <c r="P35" s="23"/>
      <c r="Q35" s="31">
        <v>70.0</v>
      </c>
      <c r="R35" s="23"/>
      <c r="S35" s="31"/>
      <c r="T35" s="13">
        <f>O35+P35+Q35+R35+S35+O36+P36+Q36+R36+S36</f>
        <v>210</v>
      </c>
    </row>
    <row r="36">
      <c r="A36" s="27"/>
      <c r="B36" s="24" t="s">
        <v>55</v>
      </c>
      <c r="C36" s="33"/>
      <c r="D36" s="33" t="s">
        <v>70</v>
      </c>
      <c r="E36" s="33" t="s">
        <v>71</v>
      </c>
      <c r="F36" s="24" t="s">
        <v>71</v>
      </c>
      <c r="G36" s="34"/>
      <c r="I36" s="24"/>
      <c r="J36" s="33">
        <v>1.0</v>
      </c>
      <c r="K36" s="33">
        <v>1.0</v>
      </c>
      <c r="L36" s="33">
        <v>1.0</v>
      </c>
      <c r="M36" s="24"/>
      <c r="O36" s="24"/>
      <c r="P36" s="33">
        <v>70.0</v>
      </c>
      <c r="Q36" s="33">
        <v>70.0</v>
      </c>
      <c r="R36" s="33"/>
      <c r="S36" s="24"/>
    </row>
    <row r="37">
      <c r="A37" s="38" t="s">
        <v>58</v>
      </c>
      <c r="B37" s="23" t="s">
        <v>54</v>
      </c>
      <c r="C37" s="23"/>
      <c r="D37" s="31"/>
      <c r="E37" s="23"/>
      <c r="F37" s="31"/>
      <c r="G37" s="37"/>
      <c r="I37" s="23"/>
      <c r="J37" s="23"/>
      <c r="K37" s="31"/>
      <c r="L37" s="23"/>
      <c r="M37" s="31"/>
      <c r="O37" s="23"/>
      <c r="P37" s="23"/>
      <c r="Q37" s="31"/>
      <c r="R37" s="23"/>
      <c r="S37" s="31"/>
    </row>
    <row r="38">
      <c r="A38" s="27"/>
      <c r="B38" s="24" t="s">
        <v>55</v>
      </c>
      <c r="C38" s="33"/>
      <c r="D38" s="33" t="s">
        <v>70</v>
      </c>
      <c r="E38" s="33"/>
      <c r="F38" s="24" t="s">
        <v>70</v>
      </c>
      <c r="G38" s="34"/>
      <c r="I38" s="24"/>
      <c r="J38" s="33"/>
      <c r="K38" s="33"/>
      <c r="L38" s="33"/>
      <c r="M38" s="24"/>
      <c r="O38" s="24"/>
      <c r="P38" s="33"/>
      <c r="Q38" s="33"/>
      <c r="R38" s="33"/>
      <c r="S38" s="24"/>
    </row>
    <row r="39">
      <c r="A39" s="38" t="s">
        <v>72</v>
      </c>
      <c r="B39" s="23" t="s">
        <v>54</v>
      </c>
      <c r="C39" s="23"/>
      <c r="D39" s="31"/>
      <c r="E39" s="23"/>
      <c r="F39" s="31"/>
      <c r="G39" s="37"/>
      <c r="I39" s="31">
        <v>1.0</v>
      </c>
      <c r="J39" s="31"/>
      <c r="K39" s="31">
        <v>1.0</v>
      </c>
      <c r="L39" s="31"/>
      <c r="M39" s="31"/>
      <c r="O39" s="31">
        <v>70.0</v>
      </c>
      <c r="P39" s="31"/>
      <c r="Q39" s="31">
        <v>70.0</v>
      </c>
      <c r="R39" s="31"/>
      <c r="S39" s="31"/>
      <c r="T39" s="13">
        <f>O39+P39+Q39+R39+S39+O40+P40+Q40+R40+S40</f>
        <v>350</v>
      </c>
    </row>
    <row r="40">
      <c r="A40" s="27"/>
      <c r="B40" s="24" t="s">
        <v>55</v>
      </c>
      <c r="C40" s="33"/>
      <c r="D40" s="33" t="s">
        <v>70</v>
      </c>
      <c r="E40" s="33" t="s">
        <v>70</v>
      </c>
      <c r="F40" s="24" t="s">
        <v>71</v>
      </c>
      <c r="G40" s="40" t="s">
        <v>71</v>
      </c>
      <c r="I40" s="24">
        <v>1.0</v>
      </c>
      <c r="J40" s="33"/>
      <c r="K40" s="33">
        <v>1.0</v>
      </c>
      <c r="L40" s="33">
        <v>1.0</v>
      </c>
      <c r="M40" s="24"/>
      <c r="O40" s="33">
        <v>70.0</v>
      </c>
      <c r="P40" s="33"/>
      <c r="Q40" s="33">
        <v>70.0</v>
      </c>
      <c r="R40" s="33">
        <v>70.0</v>
      </c>
      <c r="S40" s="24"/>
    </row>
    <row r="41">
      <c r="A41" s="38" t="s">
        <v>60</v>
      </c>
      <c r="B41" s="23" t="s">
        <v>54</v>
      </c>
      <c r="C41" s="23"/>
      <c r="D41" s="31"/>
      <c r="E41" s="23"/>
      <c r="F41" s="31" t="s">
        <v>70</v>
      </c>
      <c r="G41" s="37"/>
      <c r="I41" s="23">
        <v>1.0</v>
      </c>
      <c r="J41" s="23"/>
      <c r="K41" s="31">
        <v>1.0</v>
      </c>
      <c r="L41" s="23">
        <v>1.0</v>
      </c>
      <c r="M41" s="31"/>
      <c r="O41" s="31">
        <v>70.0</v>
      </c>
      <c r="P41" s="23"/>
      <c r="Q41" s="31">
        <v>70.0</v>
      </c>
      <c r="R41" s="31">
        <v>70.0</v>
      </c>
      <c r="S41" s="31"/>
      <c r="T41" s="13">
        <f>O41+P41+Q41+R41+S41+O42+P42+Q42+R42+S42</f>
        <v>350</v>
      </c>
    </row>
    <row r="42">
      <c r="A42" s="27"/>
      <c r="B42" s="24" t="s">
        <v>55</v>
      </c>
      <c r="C42" s="33"/>
      <c r="D42" s="33"/>
      <c r="E42" s="33" t="s">
        <v>70</v>
      </c>
      <c r="F42" s="24" t="s">
        <v>71</v>
      </c>
      <c r="G42" s="40" t="s">
        <v>71</v>
      </c>
      <c r="I42" s="24"/>
      <c r="J42" s="33"/>
      <c r="K42" s="33">
        <v>1.0</v>
      </c>
      <c r="L42" s="33">
        <v>1.0</v>
      </c>
      <c r="M42" s="33"/>
      <c r="O42" s="24"/>
      <c r="P42" s="33"/>
      <c r="Q42" s="33">
        <v>70.0</v>
      </c>
      <c r="R42" s="33">
        <v>70.0</v>
      </c>
      <c r="S42" s="33"/>
    </row>
    <row r="43">
      <c r="A43" s="38" t="s">
        <v>61</v>
      </c>
      <c r="B43" s="23" t="s">
        <v>54</v>
      </c>
      <c r="C43" s="23"/>
      <c r="D43" s="31"/>
      <c r="E43" s="23"/>
      <c r="F43" s="31" t="s">
        <v>70</v>
      </c>
      <c r="G43" s="37"/>
      <c r="I43" s="23"/>
      <c r="J43" s="31"/>
      <c r="K43" s="31"/>
      <c r="L43" s="31">
        <v>1.0</v>
      </c>
      <c r="M43" s="31">
        <v>1.0</v>
      </c>
      <c r="O43" s="23"/>
      <c r="P43" s="31"/>
      <c r="Q43" s="31"/>
      <c r="R43" s="31">
        <v>70.0</v>
      </c>
      <c r="S43" s="32">
        <v>70.0</v>
      </c>
      <c r="T43" s="13">
        <f>O43+P43+Q43+R43+S43+O44+P44+Q44+R44+S44+N44</f>
        <v>310</v>
      </c>
    </row>
    <row r="44">
      <c r="A44" s="27"/>
      <c r="B44" s="24" t="s">
        <v>55</v>
      </c>
      <c r="C44" s="33"/>
      <c r="D44" s="33"/>
      <c r="E44" s="33"/>
      <c r="F44" s="24"/>
      <c r="G44" s="34"/>
      <c r="I44" s="33">
        <v>1.0</v>
      </c>
      <c r="J44" s="33">
        <v>1.0</v>
      </c>
      <c r="K44" s="33"/>
      <c r="L44" s="33"/>
      <c r="M44" s="24"/>
      <c r="N44" s="4">
        <v>50.0</v>
      </c>
      <c r="O44" s="33">
        <v>50.0</v>
      </c>
      <c r="P44" s="33">
        <v>70.0</v>
      </c>
      <c r="Q44" s="33"/>
      <c r="R44" s="33"/>
      <c r="S44" s="24"/>
    </row>
    <row r="45">
      <c r="A45" s="38" t="s">
        <v>62</v>
      </c>
      <c r="B45" s="23" t="s">
        <v>54</v>
      </c>
      <c r="C45" s="23"/>
      <c r="D45" s="31"/>
      <c r="E45" s="23"/>
      <c r="F45" s="31"/>
      <c r="G45" s="39" t="s">
        <v>70</v>
      </c>
      <c r="I45" s="23"/>
      <c r="J45" s="31"/>
      <c r="K45" s="31"/>
      <c r="L45" s="23"/>
      <c r="M45" s="31">
        <v>1.0</v>
      </c>
      <c r="O45" s="23"/>
      <c r="P45" s="23"/>
      <c r="Q45" s="31"/>
      <c r="R45" s="23"/>
      <c r="S45" s="32">
        <v>70.0</v>
      </c>
      <c r="T45" s="13">
        <f>O45+P45+Q45+R45+S45+O46+P46+Q46+R46+S46</f>
        <v>290</v>
      </c>
    </row>
    <row r="46">
      <c r="A46" s="27"/>
      <c r="B46" s="24" t="s">
        <v>55</v>
      </c>
      <c r="C46" s="33"/>
      <c r="D46" s="33"/>
      <c r="E46" s="33"/>
      <c r="F46" s="24" t="s">
        <v>70</v>
      </c>
      <c r="G46" s="34"/>
      <c r="I46" s="33"/>
      <c r="J46" s="33">
        <v>1.0</v>
      </c>
      <c r="K46" s="35">
        <v>1.0</v>
      </c>
      <c r="L46" s="33">
        <v>1.0</v>
      </c>
      <c r="M46" s="24"/>
      <c r="O46" s="33"/>
      <c r="P46" s="33">
        <v>70.0</v>
      </c>
      <c r="Q46" s="33">
        <v>80.0</v>
      </c>
      <c r="R46" s="33">
        <v>70.0</v>
      </c>
      <c r="S46" s="24"/>
    </row>
    <row r="47">
      <c r="A47" s="38" t="s">
        <v>63</v>
      </c>
      <c r="B47" s="23" t="s">
        <v>54</v>
      </c>
      <c r="C47" s="23"/>
      <c r="D47" s="31"/>
      <c r="E47" s="23"/>
      <c r="F47" s="31"/>
      <c r="G47" s="39" t="s">
        <v>70</v>
      </c>
      <c r="I47" s="31"/>
      <c r="J47" s="31">
        <v>1.0</v>
      </c>
      <c r="K47" s="31"/>
      <c r="L47" s="23"/>
      <c r="M47" s="31">
        <v>1.0</v>
      </c>
      <c r="O47" s="31"/>
      <c r="P47" s="31">
        <v>70.0</v>
      </c>
      <c r="Q47" s="31"/>
      <c r="R47" s="23"/>
      <c r="S47" s="32">
        <v>70.0</v>
      </c>
      <c r="T47" s="13">
        <f>O47+P47+Q47+R47+S47+O48+P48+Q48+R48+S48</f>
        <v>210</v>
      </c>
    </row>
    <row r="48">
      <c r="A48" s="41"/>
      <c r="B48" s="42" t="s">
        <v>55</v>
      </c>
      <c r="C48" s="43"/>
      <c r="D48" s="43"/>
      <c r="E48" s="43"/>
      <c r="F48" s="42" t="s">
        <v>70</v>
      </c>
      <c r="G48" s="34"/>
      <c r="I48" s="24"/>
      <c r="J48" s="33">
        <v>1.0</v>
      </c>
      <c r="K48" s="33"/>
      <c r="L48" s="33"/>
      <c r="M48" s="24"/>
      <c r="O48" s="24"/>
      <c r="P48" s="33">
        <v>70.0</v>
      </c>
      <c r="Q48" s="33"/>
      <c r="R48" s="33"/>
      <c r="S48" s="24"/>
    </row>
    <row r="49">
      <c r="A49" s="44" t="s">
        <v>73</v>
      </c>
      <c r="H49" s="4"/>
      <c r="I49" s="31"/>
      <c r="J49" s="31"/>
      <c r="K49" s="45">
        <v>1.0</v>
      </c>
      <c r="L49" s="23"/>
      <c r="M49" s="46">
        <v>1.0</v>
      </c>
      <c r="O49" s="31"/>
      <c r="P49" s="31"/>
      <c r="Q49" s="31">
        <v>50.0</v>
      </c>
      <c r="R49" s="23"/>
      <c r="S49" s="31">
        <v>80.0</v>
      </c>
      <c r="T49" s="13">
        <f>O49+P49+Q49+R49+S49+O50+P50+Q50+R50+S50</f>
        <v>260</v>
      </c>
    </row>
    <row r="50">
      <c r="H50" s="4"/>
      <c r="I50" s="24"/>
      <c r="J50" s="47">
        <v>0.0</v>
      </c>
      <c r="K50" s="48">
        <v>1.0</v>
      </c>
      <c r="L50" s="35">
        <v>1.0</v>
      </c>
      <c r="M50" s="24"/>
      <c r="O50" s="24"/>
      <c r="P50" s="33">
        <v>0.0</v>
      </c>
      <c r="Q50" s="33">
        <v>50.0</v>
      </c>
      <c r="R50" s="33">
        <v>80.0</v>
      </c>
      <c r="S50" s="24"/>
    </row>
    <row r="51">
      <c r="H51" s="4" t="s">
        <v>74</v>
      </c>
      <c r="I51" s="13">
        <f t="shared" ref="I51:M51" si="6">I31+I33+I35+I37+I39+I41+I43+I45+I47</f>
        <v>2</v>
      </c>
      <c r="J51" s="13">
        <f t="shared" si="6"/>
        <v>1</v>
      </c>
      <c r="K51" s="13">
        <f t="shared" si="6"/>
        <v>5</v>
      </c>
      <c r="L51" s="13">
        <f t="shared" si="6"/>
        <v>2</v>
      </c>
      <c r="M51" s="13">
        <f t="shared" si="6"/>
        <v>3</v>
      </c>
      <c r="O51" s="13">
        <f t="shared" ref="O51:S51" si="7">I55+I57+I59+I61+I63+I65+I67+I69+I71</f>
        <v>1</v>
      </c>
      <c r="P51" s="13">
        <f t="shared" si="7"/>
        <v>1</v>
      </c>
      <c r="Q51" s="13">
        <f t="shared" si="7"/>
        <v>4</v>
      </c>
      <c r="R51" s="13">
        <f t="shared" si="7"/>
        <v>2</v>
      </c>
      <c r="S51" s="13">
        <f t="shared" si="7"/>
        <v>3</v>
      </c>
    </row>
    <row r="52">
      <c r="H52" s="4" t="s">
        <v>75</v>
      </c>
      <c r="I52" s="13">
        <f t="shared" ref="I52:M52" si="8">I32+I34+I36+I38+I40+I42+I44+I46+I48</f>
        <v>2</v>
      </c>
      <c r="J52" s="13">
        <f t="shared" si="8"/>
        <v>5</v>
      </c>
      <c r="K52" s="13">
        <f t="shared" si="8"/>
        <v>5</v>
      </c>
      <c r="L52" s="13">
        <f t="shared" si="8"/>
        <v>6</v>
      </c>
      <c r="M52" s="13">
        <f t="shared" si="8"/>
        <v>0</v>
      </c>
      <c r="O52" s="13">
        <f t="shared" ref="O52:S52" si="9">I56+I58+I60+I62+I64+I66+I68+I70+I72</f>
        <v>4</v>
      </c>
      <c r="P52" s="13">
        <f t="shared" si="9"/>
        <v>5</v>
      </c>
      <c r="Q52" s="13">
        <f t="shared" si="9"/>
        <v>4</v>
      </c>
      <c r="R52" s="13">
        <f t="shared" si="9"/>
        <v>2</v>
      </c>
      <c r="S52" s="13">
        <f t="shared" si="9"/>
        <v>0</v>
      </c>
    </row>
    <row r="53">
      <c r="I53" s="26" t="s">
        <v>46</v>
      </c>
      <c r="J53" s="26" t="s">
        <v>47</v>
      </c>
      <c r="K53" s="26" t="s">
        <v>48</v>
      </c>
      <c r="L53" s="26" t="s">
        <v>49</v>
      </c>
      <c r="M53" s="26" t="s">
        <v>50</v>
      </c>
      <c r="O53" s="26" t="s">
        <v>46</v>
      </c>
      <c r="P53" s="26" t="s">
        <v>47</v>
      </c>
      <c r="Q53" s="26" t="s">
        <v>48</v>
      </c>
      <c r="R53" s="26" t="s">
        <v>49</v>
      </c>
      <c r="S53" s="26" t="s">
        <v>50</v>
      </c>
    </row>
    <row r="54">
      <c r="I54" s="29">
        <v>46097.0</v>
      </c>
      <c r="J54" s="29">
        <v>46098.0</v>
      </c>
      <c r="K54" s="29">
        <v>46099.0</v>
      </c>
      <c r="L54" s="29">
        <f t="shared" ref="L54:M54" si="10">K54+1</f>
        <v>46100</v>
      </c>
      <c r="M54" s="29">
        <f t="shared" si="10"/>
        <v>46101</v>
      </c>
      <c r="O54" s="29">
        <v>46097.0</v>
      </c>
      <c r="P54" s="29">
        <v>46098.0</v>
      </c>
      <c r="Q54" s="29">
        <v>46099.0</v>
      </c>
      <c r="R54" s="29">
        <f t="shared" ref="R54:S54" si="11">Q54+1</f>
        <v>46100</v>
      </c>
      <c r="S54" s="29">
        <f t="shared" si="11"/>
        <v>46101</v>
      </c>
      <c r="T54" s="4" t="s">
        <v>76</v>
      </c>
      <c r="U54" s="4" t="s">
        <v>77</v>
      </c>
    </row>
    <row r="55">
      <c r="A55" s="38" t="s">
        <v>53</v>
      </c>
      <c r="I55" s="23"/>
      <c r="J55" s="23"/>
      <c r="K55" s="46">
        <v>1.0</v>
      </c>
      <c r="L55" s="23"/>
      <c r="M55" s="32">
        <v>1.0</v>
      </c>
      <c r="O55" s="23"/>
      <c r="P55" s="23"/>
      <c r="Q55" s="46">
        <v>80.0</v>
      </c>
      <c r="R55" s="23"/>
      <c r="S55" s="32">
        <v>70.0</v>
      </c>
      <c r="T55" s="13">
        <f>O55+P55+Q55+R55+S55+O56+P56+Q56+R56+S56-U55</f>
        <v>450</v>
      </c>
      <c r="U55" s="4">
        <v>0.0</v>
      </c>
      <c r="Z55" s="4" t="s">
        <v>78</v>
      </c>
      <c r="AA55" s="4">
        <v>70.0</v>
      </c>
      <c r="AB55" s="4"/>
    </row>
    <row r="56">
      <c r="A56" s="27"/>
      <c r="I56" s="35">
        <v>1.0</v>
      </c>
      <c r="J56" s="35">
        <v>1.0</v>
      </c>
      <c r="K56" s="24">
        <v>1.0</v>
      </c>
      <c r="L56" s="33">
        <v>1.0</v>
      </c>
      <c r="M56" s="24"/>
      <c r="O56" s="35">
        <v>80.0</v>
      </c>
      <c r="P56" s="35">
        <v>80.0</v>
      </c>
      <c r="Q56" s="33">
        <v>70.0</v>
      </c>
      <c r="R56" s="33">
        <v>70.0</v>
      </c>
      <c r="S56" s="24"/>
    </row>
    <row r="57">
      <c r="A57" s="38" t="s">
        <v>56</v>
      </c>
      <c r="I57" s="23"/>
      <c r="J57" s="23"/>
      <c r="K57" s="31">
        <v>1.0</v>
      </c>
      <c r="L57" s="23"/>
      <c r="M57" s="31"/>
      <c r="O57" s="23"/>
      <c r="P57" s="23"/>
      <c r="Q57" s="31">
        <v>70.0</v>
      </c>
      <c r="R57" s="23"/>
      <c r="S57" s="31"/>
      <c r="T57" s="13">
        <f>O57+P57+Q57+R57+S57+O58+P58+Q58+R58+S58-U57</f>
        <v>140</v>
      </c>
      <c r="U57" s="4">
        <v>0.0</v>
      </c>
    </row>
    <row r="58">
      <c r="A58" s="27"/>
      <c r="I58" s="24"/>
      <c r="J58" s="33"/>
      <c r="K58" s="33"/>
      <c r="L58" s="33">
        <v>1.0</v>
      </c>
      <c r="M58" s="24"/>
      <c r="O58" s="24"/>
      <c r="P58" s="33"/>
      <c r="Q58" s="33"/>
      <c r="R58" s="33">
        <v>70.0</v>
      </c>
      <c r="S58" s="24"/>
    </row>
    <row r="59">
      <c r="A59" s="38" t="s">
        <v>57</v>
      </c>
      <c r="I59" s="23"/>
      <c r="J59" s="23"/>
      <c r="K59" s="46">
        <v>1.0</v>
      </c>
      <c r="L59" s="23"/>
      <c r="M59" s="31">
        <v>1.0</v>
      </c>
      <c r="O59" s="23"/>
      <c r="P59" s="23"/>
      <c r="Q59" s="46">
        <v>80.0</v>
      </c>
      <c r="R59" s="23"/>
      <c r="S59" s="31">
        <v>70.0</v>
      </c>
      <c r="T59" s="13">
        <f>O59+P59+Q59+R59+S59+O60+P60+Q60+R60+S60-U59</f>
        <v>370</v>
      </c>
      <c r="U59" s="4">
        <v>0.0</v>
      </c>
      <c r="Z59" s="4" t="s">
        <v>79</v>
      </c>
      <c r="AA59" s="4">
        <v>70.0</v>
      </c>
      <c r="AB59" s="4"/>
    </row>
    <row r="60">
      <c r="A60" s="27"/>
      <c r="I60" s="33">
        <v>1.0</v>
      </c>
      <c r="J60" s="35">
        <v>1.0</v>
      </c>
      <c r="K60" s="33">
        <v>1.0</v>
      </c>
      <c r="L60" s="33"/>
      <c r="M60" s="24"/>
      <c r="O60" s="33">
        <v>70.0</v>
      </c>
      <c r="P60" s="35">
        <v>80.0</v>
      </c>
      <c r="Q60" s="33">
        <v>70.0</v>
      </c>
      <c r="R60" s="33"/>
      <c r="S60" s="24"/>
    </row>
    <row r="61">
      <c r="A61" s="38" t="s">
        <v>58</v>
      </c>
      <c r="I61" s="23"/>
      <c r="J61" s="23"/>
      <c r="K61" s="31"/>
      <c r="L61" s="23"/>
      <c r="M61" s="31"/>
      <c r="O61" s="23"/>
      <c r="P61" s="23"/>
      <c r="Q61" s="31"/>
      <c r="R61" s="23"/>
      <c r="S61" s="31"/>
      <c r="T61" s="13">
        <f>O61+P61+Q61+R61+S61+O62+P62+Q62+R62+S62-U61</f>
        <v>150</v>
      </c>
      <c r="U61" s="4">
        <v>0.0</v>
      </c>
    </row>
    <row r="62">
      <c r="A62" s="27"/>
      <c r="I62" s="24"/>
      <c r="J62" s="33"/>
      <c r="K62" s="33"/>
      <c r="L62" s="33"/>
      <c r="M62" s="24"/>
      <c r="O62" s="33">
        <v>50.0</v>
      </c>
      <c r="P62" s="33">
        <v>50.0</v>
      </c>
      <c r="Q62" s="33"/>
      <c r="R62" s="33">
        <v>50.0</v>
      </c>
      <c r="S62" s="24"/>
    </row>
    <row r="63">
      <c r="A63" s="38" t="s">
        <v>72</v>
      </c>
      <c r="I63" s="31"/>
      <c r="J63" s="31"/>
      <c r="K63" s="31"/>
      <c r="L63" s="31"/>
      <c r="M63" s="31"/>
      <c r="O63" s="31"/>
      <c r="P63" s="31"/>
      <c r="Q63" s="31"/>
      <c r="R63" s="31"/>
      <c r="S63" s="31"/>
    </row>
    <row r="64">
      <c r="A64" s="27"/>
      <c r="I64" s="33"/>
      <c r="J64" s="33"/>
      <c r="K64" s="33"/>
      <c r="L64" s="33"/>
      <c r="M64" s="24"/>
      <c r="O64" s="33"/>
      <c r="P64" s="33"/>
      <c r="Q64" s="33"/>
      <c r="R64" s="33"/>
      <c r="S64" s="24"/>
    </row>
    <row r="65">
      <c r="A65" s="38" t="s">
        <v>60</v>
      </c>
      <c r="I65" s="31">
        <v>1.0</v>
      </c>
      <c r="J65" s="23"/>
      <c r="K65" s="31"/>
      <c r="L65" s="31">
        <v>1.0</v>
      </c>
      <c r="M65" s="31"/>
      <c r="O65" s="31">
        <v>70.0</v>
      </c>
      <c r="P65" s="23"/>
      <c r="Q65" s="31">
        <v>50.0</v>
      </c>
      <c r="R65" s="31">
        <v>70.0</v>
      </c>
      <c r="S65" s="31"/>
      <c r="T65" s="13">
        <f>O65+P65+Q65+R65+S65+O66+P66+Q66+R66+S66-U65</f>
        <v>70</v>
      </c>
      <c r="U65" s="13">
        <f>O65+O66+Q65+Q66</f>
        <v>260</v>
      </c>
    </row>
    <row r="66">
      <c r="A66" s="27"/>
      <c r="I66" s="33">
        <v>1.0</v>
      </c>
      <c r="J66" s="33"/>
      <c r="K66" s="33">
        <v>1.0</v>
      </c>
      <c r="L66" s="33"/>
      <c r="M66" s="33"/>
      <c r="O66" s="33">
        <v>70.0</v>
      </c>
      <c r="P66" s="33"/>
      <c r="Q66" s="33">
        <v>70.0</v>
      </c>
      <c r="R66" s="33"/>
      <c r="S66" s="33"/>
    </row>
    <row r="67">
      <c r="A67" s="38" t="s">
        <v>61</v>
      </c>
      <c r="I67" s="23"/>
      <c r="J67" s="31">
        <v>1.0</v>
      </c>
      <c r="K67" s="31"/>
      <c r="L67" s="31">
        <v>1.0</v>
      </c>
      <c r="M67" s="32"/>
      <c r="O67" s="23"/>
      <c r="P67" s="31">
        <v>70.0</v>
      </c>
      <c r="Q67" s="31"/>
      <c r="R67" s="31">
        <v>70.0</v>
      </c>
      <c r="S67" s="32"/>
      <c r="T67" s="13">
        <f>O67+P67+Q67+R67+S67+O68+P68+Q68+R68+S68-U67</f>
        <v>280</v>
      </c>
    </row>
    <row r="68">
      <c r="A68" s="27"/>
      <c r="I68" s="33">
        <v>1.0</v>
      </c>
      <c r="J68" s="33">
        <v>1.0</v>
      </c>
      <c r="K68" s="33"/>
      <c r="L68" s="33"/>
      <c r="M68" s="24"/>
      <c r="O68" s="33">
        <v>70.0</v>
      </c>
      <c r="P68" s="33">
        <v>70.0</v>
      </c>
      <c r="Q68" s="33"/>
      <c r="R68" s="33"/>
      <c r="S68" s="24"/>
    </row>
    <row r="69">
      <c r="A69" s="38" t="s">
        <v>62</v>
      </c>
      <c r="I69" s="23"/>
      <c r="J69" s="23"/>
      <c r="K69" s="31">
        <v>1.0</v>
      </c>
      <c r="L69" s="23"/>
      <c r="M69" s="49">
        <v>1.0</v>
      </c>
      <c r="O69" s="23"/>
      <c r="P69" s="23"/>
      <c r="Q69" s="31">
        <v>70.0</v>
      </c>
      <c r="R69" s="23"/>
      <c r="S69" s="49">
        <v>80.0</v>
      </c>
      <c r="T69" s="13">
        <f>O69+P69+Q69+R69+S69+O70+P70+Q70+R70+S70-U69</f>
        <v>300</v>
      </c>
      <c r="U69" s="4">
        <v>0.0</v>
      </c>
      <c r="Z69" s="4" t="s">
        <v>80</v>
      </c>
      <c r="AA69" s="4">
        <v>60.0</v>
      </c>
      <c r="AB69" s="4"/>
    </row>
    <row r="70">
      <c r="A70" s="27"/>
      <c r="I70" s="33"/>
      <c r="J70" s="35">
        <v>1.0</v>
      </c>
      <c r="K70" s="33">
        <v>1.0</v>
      </c>
      <c r="L70" s="33"/>
      <c r="M70" s="24"/>
      <c r="O70" s="33"/>
      <c r="P70" s="35">
        <v>80.0</v>
      </c>
      <c r="Q70" s="33">
        <v>70.0</v>
      </c>
      <c r="R70" s="33"/>
      <c r="S70" s="24"/>
    </row>
    <row r="71">
      <c r="A71" s="38" t="s">
        <v>63</v>
      </c>
      <c r="I71" s="31"/>
      <c r="J71" s="31"/>
      <c r="K71" s="31"/>
      <c r="L71" s="23"/>
      <c r="M71" s="32"/>
      <c r="O71" s="31"/>
      <c r="P71" s="31"/>
      <c r="Q71" s="31"/>
      <c r="R71" s="23"/>
      <c r="S71" s="32"/>
      <c r="T71" s="13">
        <f>O71+P71+Q71+R71+S71+O72+P72+Q72+R72+S72-U71</f>
        <v>70</v>
      </c>
      <c r="U71" s="4">
        <v>0.0</v>
      </c>
    </row>
    <row r="72">
      <c r="A72" s="27"/>
      <c r="I72" s="24"/>
      <c r="J72" s="33">
        <v>1.0</v>
      </c>
      <c r="K72" s="33"/>
      <c r="L72" s="33"/>
      <c r="M72" s="24"/>
      <c r="O72" s="24"/>
      <c r="P72" s="33">
        <v>70.0</v>
      </c>
      <c r="Q72" s="33"/>
      <c r="R72" s="33"/>
      <c r="S72" s="24"/>
    </row>
    <row r="73">
      <c r="A73" s="50" t="s">
        <v>73</v>
      </c>
      <c r="I73" s="31"/>
      <c r="J73" s="31"/>
      <c r="K73" s="31"/>
      <c r="L73" s="23"/>
      <c r="M73" s="46">
        <v>1.0</v>
      </c>
      <c r="O73" s="31"/>
      <c r="P73" s="31"/>
      <c r="Q73" s="31"/>
      <c r="R73" s="23"/>
      <c r="S73" s="46">
        <v>80.0</v>
      </c>
      <c r="T73" s="13">
        <f>O73+P73+Q73+R73+S73+O74+P74+Q74+R74+S74-U73</f>
        <v>240</v>
      </c>
      <c r="U73" s="4">
        <v>0.0</v>
      </c>
      <c r="Z73" s="4" t="s">
        <v>81</v>
      </c>
      <c r="AA73" s="4">
        <v>70.0</v>
      </c>
      <c r="AB73" s="4"/>
    </row>
    <row r="74">
      <c r="A74" s="27"/>
      <c r="I74" s="35">
        <v>1.0</v>
      </c>
      <c r="J74" s="35">
        <v>1.0</v>
      </c>
      <c r="K74" s="33"/>
      <c r="L74" s="33"/>
      <c r="M74" s="24"/>
      <c r="O74" s="35">
        <v>80.0</v>
      </c>
      <c r="P74" s="35">
        <v>80.0</v>
      </c>
      <c r="Q74" s="33"/>
      <c r="R74" s="33"/>
      <c r="S74" s="24"/>
    </row>
    <row r="75">
      <c r="A75" s="51" t="s">
        <v>82</v>
      </c>
      <c r="I75" s="31"/>
      <c r="J75" s="31">
        <v>0.0</v>
      </c>
      <c r="K75" s="31">
        <v>1.0</v>
      </c>
      <c r="L75" s="31">
        <v>1.0</v>
      </c>
      <c r="M75" s="31">
        <v>1.0</v>
      </c>
      <c r="O75" s="31"/>
      <c r="P75" s="31">
        <v>0.0</v>
      </c>
      <c r="Q75" s="31">
        <v>50.0</v>
      </c>
      <c r="R75" s="31">
        <v>70.0</v>
      </c>
      <c r="S75" s="31">
        <v>70.0</v>
      </c>
      <c r="T75" s="13">
        <f>O75+P75+Q75+R75+S75+O76+P76+Q76+R76+S76-U75</f>
        <v>340</v>
      </c>
      <c r="U75" s="4">
        <v>0.0</v>
      </c>
    </row>
    <row r="76">
      <c r="A76" s="27"/>
      <c r="I76" s="33"/>
      <c r="J76" s="33"/>
      <c r="K76" s="35">
        <v>1.0</v>
      </c>
      <c r="L76" s="33">
        <v>1.0</v>
      </c>
      <c r="M76" s="24"/>
      <c r="O76" s="33"/>
      <c r="P76" s="33"/>
      <c r="Q76" s="35">
        <v>80.0</v>
      </c>
      <c r="R76" s="33">
        <v>70.0</v>
      </c>
      <c r="S76" s="24"/>
      <c r="Y76" s="4" t="s">
        <v>83</v>
      </c>
      <c r="Z76" s="4" t="s">
        <v>84</v>
      </c>
      <c r="AA76" s="4">
        <v>110.0</v>
      </c>
      <c r="AB76" s="4"/>
    </row>
    <row r="77">
      <c r="A77" s="51" t="s">
        <v>85</v>
      </c>
      <c r="I77" s="31"/>
      <c r="J77" s="31"/>
      <c r="K77" s="31">
        <v>1.0</v>
      </c>
      <c r="L77" s="31"/>
      <c r="M77" s="31"/>
      <c r="O77" s="31"/>
      <c r="P77" s="31"/>
      <c r="Q77" s="31">
        <v>50.0</v>
      </c>
      <c r="R77" s="31"/>
      <c r="S77" s="31"/>
      <c r="T77" s="13">
        <f>O77+P77+Q77+R77+S77+O78+P78+Q78+R78+S78-U77</f>
        <v>50</v>
      </c>
      <c r="U77" s="4">
        <v>0.0</v>
      </c>
    </row>
    <row r="78">
      <c r="A78" s="27"/>
      <c r="I78" s="33"/>
      <c r="J78" s="33">
        <v>0.0</v>
      </c>
      <c r="K78" s="33"/>
      <c r="L78" s="33"/>
      <c r="M78" s="33"/>
      <c r="O78" s="33"/>
      <c r="P78" s="33">
        <v>0.0</v>
      </c>
      <c r="Q78" s="33"/>
      <c r="R78" s="33"/>
      <c r="S78" s="33"/>
    </row>
    <row r="79">
      <c r="A79" s="51" t="s">
        <v>86</v>
      </c>
      <c r="I79" s="31"/>
      <c r="J79" s="31">
        <v>0.0</v>
      </c>
      <c r="K79" s="31">
        <v>1.0</v>
      </c>
      <c r="L79" s="46">
        <v>1.0</v>
      </c>
      <c r="M79" s="31">
        <v>1.0</v>
      </c>
      <c r="O79" s="31"/>
      <c r="P79" s="31">
        <v>0.0</v>
      </c>
      <c r="Q79" s="31">
        <v>50.0</v>
      </c>
      <c r="R79" s="46">
        <v>80.0</v>
      </c>
      <c r="S79" s="31">
        <v>70.0</v>
      </c>
      <c r="T79" s="13">
        <f>O79+P79+Q79+R79+S79+O80+P80+Q80+R80+S80-U79</f>
        <v>420</v>
      </c>
      <c r="U79" s="4">
        <v>0.0</v>
      </c>
    </row>
    <row r="80">
      <c r="A80" s="27"/>
      <c r="I80" s="33"/>
      <c r="J80" s="33"/>
      <c r="K80" s="33">
        <v>1.0</v>
      </c>
      <c r="L80" s="35">
        <v>1.0</v>
      </c>
      <c r="M80" s="33">
        <v>1.0</v>
      </c>
      <c r="O80" s="33"/>
      <c r="P80" s="33"/>
      <c r="Q80" s="33">
        <v>70.0</v>
      </c>
      <c r="R80" s="35">
        <v>80.0</v>
      </c>
      <c r="S80" s="33">
        <v>70.0</v>
      </c>
      <c r="Z80" s="4" t="s">
        <v>87</v>
      </c>
    </row>
    <row r="81">
      <c r="I81" s="13">
        <f t="shared" ref="I81:M81" si="12">I55+I57+I59+I61+I63+I65+I67+I69+I71+I73+I75+I77+I79</f>
        <v>1</v>
      </c>
      <c r="J81" s="13">
        <f t="shared" si="12"/>
        <v>1</v>
      </c>
      <c r="K81" s="13">
        <f t="shared" si="12"/>
        <v>7</v>
      </c>
      <c r="L81" s="13">
        <f t="shared" si="12"/>
        <v>4</v>
      </c>
      <c r="M81" s="13">
        <f t="shared" si="12"/>
        <v>6</v>
      </c>
    </row>
    <row r="82">
      <c r="I82" s="13">
        <f t="shared" ref="I82:M82" si="13">I56+I58+I60+I62+I64+I66+I68+I70+I72+I74+I76+I78+I80</f>
        <v>5</v>
      </c>
      <c r="J82" s="13">
        <f t="shared" si="13"/>
        <v>6</v>
      </c>
      <c r="K82" s="13">
        <f t="shared" si="13"/>
        <v>6</v>
      </c>
      <c r="L82" s="13">
        <f t="shared" si="13"/>
        <v>4</v>
      </c>
      <c r="M82" s="13">
        <f t="shared" si="13"/>
        <v>1</v>
      </c>
    </row>
    <row r="85">
      <c r="H85" s="2" t="s">
        <v>46</v>
      </c>
      <c r="J85" s="2" t="s">
        <v>47</v>
      </c>
      <c r="L85" s="2" t="s">
        <v>48</v>
      </c>
      <c r="P85" s="2" t="s">
        <v>49</v>
      </c>
    </row>
    <row r="86">
      <c r="H86" s="4" t="s">
        <v>54</v>
      </c>
      <c r="I86" s="4" t="s">
        <v>88</v>
      </c>
      <c r="J86" s="4" t="s">
        <v>54</v>
      </c>
      <c r="K86" s="4" t="s">
        <v>55</v>
      </c>
      <c r="L86" s="2" t="s">
        <v>54</v>
      </c>
      <c r="N86" s="2" t="s">
        <v>55</v>
      </c>
      <c r="P86" s="2" t="s">
        <v>54</v>
      </c>
      <c r="R86" s="2" t="s">
        <v>55</v>
      </c>
    </row>
    <row r="87">
      <c r="A87" s="4" t="s">
        <v>89</v>
      </c>
      <c r="H87" s="4">
        <v>90.0</v>
      </c>
      <c r="I87" s="4">
        <v>45.0</v>
      </c>
      <c r="J87" s="4">
        <v>90.0</v>
      </c>
      <c r="K87" s="4">
        <v>45.0</v>
      </c>
      <c r="L87" s="4">
        <v>100.0</v>
      </c>
      <c r="M87" s="4" t="s">
        <v>90</v>
      </c>
      <c r="N87" s="4">
        <v>50.0</v>
      </c>
      <c r="O87" s="4" t="s">
        <v>91</v>
      </c>
      <c r="P87" s="4">
        <v>75.0</v>
      </c>
      <c r="Q87" s="4" t="s">
        <v>92</v>
      </c>
      <c r="R87" s="4">
        <v>40.0</v>
      </c>
      <c r="S87" s="4" t="s">
        <v>92</v>
      </c>
    </row>
    <row r="88">
      <c r="A88" s="4" t="s">
        <v>93</v>
      </c>
      <c r="H88" s="4">
        <v>70.0</v>
      </c>
      <c r="I88" s="4">
        <v>45.0</v>
      </c>
      <c r="K88" s="4">
        <v>40.0</v>
      </c>
      <c r="L88" s="4">
        <v>70.0</v>
      </c>
      <c r="M88" s="4" t="s">
        <v>94</v>
      </c>
      <c r="N88" s="4">
        <v>40.0</v>
      </c>
      <c r="O88" s="4" t="s">
        <v>95</v>
      </c>
      <c r="P88" s="4">
        <v>75.0</v>
      </c>
      <c r="Q88" s="4" t="s">
        <v>95</v>
      </c>
      <c r="R88" s="4">
        <v>40.0</v>
      </c>
      <c r="S88" s="4" t="s">
        <v>96</v>
      </c>
    </row>
    <row r="89">
      <c r="A89" s="4" t="s">
        <v>97</v>
      </c>
      <c r="I89" s="4">
        <v>30.0</v>
      </c>
      <c r="K89" s="4">
        <v>30.0</v>
      </c>
      <c r="L89" s="4">
        <v>40.0</v>
      </c>
      <c r="N89" s="4">
        <v>30.0</v>
      </c>
      <c r="O89" s="4" t="s">
        <v>94</v>
      </c>
    </row>
    <row r="90">
      <c r="A90" s="4" t="s">
        <v>98</v>
      </c>
      <c r="I90" s="4">
        <v>45.0</v>
      </c>
      <c r="J90" s="4">
        <v>69.0</v>
      </c>
      <c r="K90" s="4">
        <v>30.0</v>
      </c>
      <c r="N90" s="4">
        <v>49.0</v>
      </c>
      <c r="O90" s="4" t="s">
        <v>99</v>
      </c>
      <c r="P90" s="4">
        <v>65.0</v>
      </c>
      <c r="Q90" s="4" t="s">
        <v>100</v>
      </c>
      <c r="R90" s="4">
        <v>30.0</v>
      </c>
      <c r="S90" s="4" t="s">
        <v>101</v>
      </c>
    </row>
    <row r="91">
      <c r="A91" s="4" t="s">
        <v>102</v>
      </c>
      <c r="I91" s="4">
        <v>45.0</v>
      </c>
      <c r="K91" s="4">
        <v>45.0</v>
      </c>
      <c r="L91" s="4">
        <v>70.0</v>
      </c>
      <c r="M91" s="4" t="s">
        <v>96</v>
      </c>
      <c r="N91" s="4">
        <v>40.0</v>
      </c>
      <c r="P91" s="4">
        <v>70.0</v>
      </c>
      <c r="Q91" s="4" t="s">
        <v>71</v>
      </c>
    </row>
    <row r="92">
      <c r="A92" s="4" t="s">
        <v>103</v>
      </c>
      <c r="K92" s="4">
        <v>30.0</v>
      </c>
      <c r="L92" s="4">
        <v>50.0</v>
      </c>
      <c r="M92" s="4" t="s">
        <v>104</v>
      </c>
    </row>
    <row r="93">
      <c r="A93" s="4" t="s">
        <v>105</v>
      </c>
      <c r="K93" s="4">
        <v>30.0</v>
      </c>
      <c r="L93" s="4">
        <v>60.0</v>
      </c>
      <c r="M93" s="4" t="s">
        <v>106</v>
      </c>
      <c r="N93" s="4">
        <v>40.0</v>
      </c>
      <c r="O93" s="4" t="s">
        <v>92</v>
      </c>
      <c r="P93" s="4">
        <v>60.0</v>
      </c>
      <c r="Q93" s="4" t="s">
        <v>91</v>
      </c>
      <c r="R93" s="4">
        <v>35.0</v>
      </c>
      <c r="S93" s="4" t="s">
        <v>91</v>
      </c>
    </row>
    <row r="95">
      <c r="I95" s="26" t="s">
        <v>46</v>
      </c>
      <c r="J95" s="26" t="s">
        <v>47</v>
      </c>
      <c r="K95" s="26" t="s">
        <v>48</v>
      </c>
      <c r="L95" s="26" t="s">
        <v>49</v>
      </c>
      <c r="M95" s="26" t="s">
        <v>50</v>
      </c>
      <c r="O95" s="26" t="s">
        <v>46</v>
      </c>
      <c r="P95" s="26" t="s">
        <v>47</v>
      </c>
      <c r="Q95" s="26" t="s">
        <v>48</v>
      </c>
      <c r="R95" s="26" t="s">
        <v>49</v>
      </c>
      <c r="S95" s="26" t="s">
        <v>50</v>
      </c>
    </row>
    <row r="96">
      <c r="I96" s="28">
        <v>46111.0</v>
      </c>
      <c r="J96" s="29">
        <f>I96+1</f>
        <v>46112</v>
      </c>
      <c r="K96" s="28">
        <v>46112.0</v>
      </c>
      <c r="L96" s="29">
        <f>K96+1</f>
        <v>46113</v>
      </c>
      <c r="M96" s="28">
        <v>46114.0</v>
      </c>
      <c r="O96" s="29">
        <f t="shared" ref="O96:S96" si="14">I96</f>
        <v>46111</v>
      </c>
      <c r="P96" s="29">
        <f t="shared" si="14"/>
        <v>46112</v>
      </c>
      <c r="Q96" s="29">
        <f t="shared" si="14"/>
        <v>46112</v>
      </c>
      <c r="R96" s="29">
        <f t="shared" si="14"/>
        <v>46113</v>
      </c>
      <c r="S96" s="29">
        <f t="shared" si="14"/>
        <v>46114</v>
      </c>
    </row>
    <row r="97">
      <c r="A97" s="38" t="s">
        <v>53</v>
      </c>
      <c r="H97" s="4" t="s">
        <v>107</v>
      </c>
      <c r="I97" s="23"/>
      <c r="J97" s="23"/>
      <c r="K97" s="46">
        <v>1.0</v>
      </c>
      <c r="L97" s="23"/>
      <c r="M97" s="32"/>
      <c r="O97" s="23"/>
      <c r="P97" s="23"/>
      <c r="Q97" s="31">
        <v>80.0</v>
      </c>
      <c r="R97" s="23"/>
      <c r="S97" s="32"/>
      <c r="T97" s="52">
        <f>O97+P97+Q97+R97+S97+O98+P98+Q98+R98+S98</f>
        <v>240</v>
      </c>
    </row>
    <row r="98">
      <c r="A98" s="27"/>
      <c r="H98" s="4" t="s">
        <v>88</v>
      </c>
      <c r="I98" s="33"/>
      <c r="J98" s="35">
        <v>1.0</v>
      </c>
      <c r="K98" s="35">
        <v>1.0</v>
      </c>
      <c r="L98" s="33"/>
      <c r="M98" s="24"/>
      <c r="O98" s="33"/>
      <c r="P98" s="35">
        <v>80.0</v>
      </c>
      <c r="Q98" s="33">
        <v>80.0</v>
      </c>
      <c r="R98" s="33"/>
      <c r="S98" s="24"/>
      <c r="T98" s="52"/>
    </row>
    <row r="99">
      <c r="A99" s="38" t="s">
        <v>108</v>
      </c>
      <c r="I99" s="23"/>
      <c r="J99" s="23"/>
      <c r="K99" s="32"/>
      <c r="L99" s="23"/>
      <c r="M99" s="31"/>
      <c r="O99" s="23"/>
      <c r="P99" s="23"/>
      <c r="Q99" s="31"/>
      <c r="R99" s="23"/>
      <c r="S99" s="31"/>
      <c r="T99" s="53">
        <f>O99+P99+Q99+R99+S99+O100+P100+Q100+R100+S100</f>
        <v>50</v>
      </c>
    </row>
    <row r="100">
      <c r="A100" s="27"/>
      <c r="I100" s="24"/>
      <c r="J100" s="33"/>
      <c r="K100" s="33"/>
      <c r="L100" s="47">
        <v>1.0</v>
      </c>
      <c r="M100" s="48">
        <v>1.0</v>
      </c>
      <c r="O100" s="24"/>
      <c r="P100" s="33"/>
      <c r="Q100" s="33"/>
      <c r="R100" s="33">
        <v>0.0</v>
      </c>
      <c r="S100" s="33">
        <v>50.0</v>
      </c>
      <c r="T100" s="53"/>
    </row>
    <row r="101">
      <c r="A101" s="38" t="s">
        <v>57</v>
      </c>
      <c r="I101" s="23"/>
      <c r="J101" s="23"/>
      <c r="K101" s="31">
        <v>1.0</v>
      </c>
      <c r="L101" s="23"/>
      <c r="M101" s="31"/>
      <c r="O101" s="23"/>
      <c r="P101" s="23"/>
      <c r="Q101" s="31">
        <v>70.0</v>
      </c>
      <c r="R101" s="23"/>
      <c r="S101" s="31"/>
      <c r="T101" s="54">
        <f>O101+P101+Q101+R101+S101+O102+P102+Q102+R102+S102</f>
        <v>150</v>
      </c>
    </row>
    <row r="102">
      <c r="A102" s="27"/>
      <c r="I102" s="33"/>
      <c r="J102" s="35">
        <v>1.0</v>
      </c>
      <c r="K102" s="33"/>
      <c r="L102" s="33"/>
      <c r="M102" s="24"/>
      <c r="O102" s="33"/>
      <c r="P102" s="35">
        <v>80.0</v>
      </c>
      <c r="Q102" s="33"/>
      <c r="R102" s="33"/>
      <c r="S102" s="24"/>
      <c r="T102" s="54"/>
    </row>
    <row r="103">
      <c r="A103" s="38" t="s">
        <v>109</v>
      </c>
      <c r="I103" s="23"/>
      <c r="J103" s="55">
        <v>1.0</v>
      </c>
      <c r="K103" s="31"/>
      <c r="L103" s="46">
        <v>1.0</v>
      </c>
      <c r="M103" s="31"/>
      <c r="N103" s="4" t="s">
        <v>110</v>
      </c>
      <c r="O103" s="23"/>
      <c r="P103" s="31">
        <v>0.0</v>
      </c>
      <c r="Q103" s="31"/>
      <c r="R103" s="31">
        <v>80.0</v>
      </c>
      <c r="S103" s="31"/>
      <c r="T103" s="13">
        <f>O103+P103+Q103+R103+S103+O104+P104+Q104+R104+S104</f>
        <v>210</v>
      </c>
    </row>
    <row r="104">
      <c r="A104" s="27"/>
      <c r="I104" s="24"/>
      <c r="J104" s="48">
        <v>1.0</v>
      </c>
      <c r="K104" s="33"/>
      <c r="L104" s="35">
        <v>1.0</v>
      </c>
      <c r="M104" s="24"/>
      <c r="O104" s="24"/>
      <c r="P104" s="33">
        <v>50.0</v>
      </c>
      <c r="Q104" s="33"/>
      <c r="R104" s="33">
        <v>80.0</v>
      </c>
      <c r="S104" s="24"/>
    </row>
    <row r="105">
      <c r="A105" s="38" t="s">
        <v>111</v>
      </c>
      <c r="I105" s="31"/>
      <c r="J105" s="45">
        <v>1.0</v>
      </c>
      <c r="K105" s="31"/>
      <c r="L105" s="31"/>
      <c r="M105" s="31"/>
      <c r="O105" s="31"/>
      <c r="P105" s="31">
        <v>50.0</v>
      </c>
      <c r="Q105" s="31"/>
      <c r="R105" s="31"/>
      <c r="S105" s="31"/>
      <c r="T105" s="56">
        <f>O105+P105+Q105+R105+S105+O106+P106+Q106+R106+S106</f>
        <v>190</v>
      </c>
    </row>
    <row r="106">
      <c r="A106" s="27"/>
      <c r="I106" s="47">
        <v>1.0</v>
      </c>
      <c r="J106" s="33"/>
      <c r="K106" s="33">
        <v>1.0</v>
      </c>
      <c r="L106" s="33"/>
      <c r="M106" s="33">
        <v>1.0</v>
      </c>
      <c r="O106" s="33">
        <v>0.0</v>
      </c>
      <c r="P106" s="33"/>
      <c r="Q106" s="33">
        <v>70.0</v>
      </c>
      <c r="R106" s="33"/>
      <c r="S106" s="33">
        <v>70.0</v>
      </c>
      <c r="T106" s="56"/>
    </row>
    <row r="107">
      <c r="A107" s="38" t="s">
        <v>60</v>
      </c>
      <c r="I107" s="31"/>
      <c r="J107" s="23"/>
      <c r="K107" s="31"/>
      <c r="L107" s="31">
        <v>1.0</v>
      </c>
      <c r="M107" s="31"/>
      <c r="O107" s="31"/>
      <c r="P107" s="23"/>
      <c r="Q107" s="31"/>
      <c r="R107" s="31">
        <v>70.0</v>
      </c>
      <c r="S107" s="31"/>
      <c r="T107" s="53">
        <f>O107+P107+Q107+R107+S107+O108+P108+Q108+R108+S108+N108</f>
        <v>330</v>
      </c>
    </row>
    <row r="108">
      <c r="A108" s="27"/>
      <c r="I108" s="33"/>
      <c r="J108" s="33">
        <v>1.0</v>
      </c>
      <c r="K108" s="33">
        <v>1.0</v>
      </c>
      <c r="L108" s="33">
        <v>1.0</v>
      </c>
      <c r="M108" s="33"/>
      <c r="N108" s="4">
        <v>50.0</v>
      </c>
      <c r="O108" s="33"/>
      <c r="P108" s="33">
        <v>70.0</v>
      </c>
      <c r="Q108" s="33">
        <v>70.0</v>
      </c>
      <c r="R108" s="33">
        <v>70.0</v>
      </c>
      <c r="S108" s="33"/>
      <c r="T108" s="53"/>
    </row>
    <row r="109">
      <c r="A109" s="38" t="s">
        <v>61</v>
      </c>
      <c r="I109" s="23"/>
      <c r="J109" s="31"/>
      <c r="K109" s="31"/>
      <c r="L109" s="31"/>
      <c r="M109" s="32"/>
      <c r="N109" s="4" t="s">
        <v>112</v>
      </c>
      <c r="O109" s="23"/>
      <c r="P109" s="31"/>
      <c r="Q109" s="31"/>
      <c r="R109" s="31">
        <v>70.0</v>
      </c>
      <c r="S109" s="32"/>
      <c r="T109" s="13">
        <f>O109+P109+Q109+R109+S109+O110+P110+Q110+R110+S110</f>
        <v>140</v>
      </c>
    </row>
    <row r="110">
      <c r="A110" s="27"/>
      <c r="I110" s="33"/>
      <c r="J110" s="33">
        <v>1.0</v>
      </c>
      <c r="K110" s="33"/>
      <c r="L110" s="33"/>
      <c r="M110" s="24"/>
      <c r="O110" s="33"/>
      <c r="P110" s="33">
        <v>70.0</v>
      </c>
      <c r="Q110" s="33"/>
      <c r="R110" s="33"/>
      <c r="S110" s="24"/>
    </row>
    <row r="111">
      <c r="A111" s="38" t="s">
        <v>62</v>
      </c>
      <c r="I111" s="23"/>
      <c r="J111" s="23"/>
      <c r="K111" s="31"/>
      <c r="L111" s="23"/>
      <c r="M111" s="46">
        <v>1.0</v>
      </c>
      <c r="O111" s="23"/>
      <c r="P111" s="23"/>
      <c r="Q111" s="31"/>
      <c r="R111" s="23"/>
      <c r="S111" s="31">
        <v>80.0</v>
      </c>
      <c r="T111" s="53">
        <f>O111+P111+Q111+R111+S111+O112+P112+Q112+R112+S112</f>
        <v>150</v>
      </c>
    </row>
    <row r="112">
      <c r="A112" s="27"/>
      <c r="I112" s="33"/>
      <c r="J112" s="33"/>
      <c r="K112" s="33"/>
      <c r="L112" s="33">
        <v>1.0</v>
      </c>
      <c r="M112" s="24"/>
      <c r="O112" s="33"/>
      <c r="P112" s="33"/>
      <c r="Q112" s="33"/>
      <c r="R112" s="33">
        <v>70.0</v>
      </c>
      <c r="S112" s="24"/>
      <c r="T112" s="53"/>
    </row>
    <row r="113">
      <c r="A113" s="38"/>
      <c r="I113" s="31"/>
      <c r="J113" s="31"/>
      <c r="K113" s="31"/>
      <c r="L113" s="23"/>
      <c r="M113" s="32"/>
      <c r="O113" s="31"/>
      <c r="P113" s="31"/>
      <c r="Q113" s="31"/>
      <c r="R113" s="23"/>
      <c r="S113" s="32"/>
    </row>
    <row r="114">
      <c r="A114" s="27"/>
      <c r="I114" s="24"/>
      <c r="J114" s="33"/>
      <c r="K114" s="33"/>
      <c r="L114" s="33"/>
      <c r="M114" s="24"/>
      <c r="O114" s="24"/>
      <c r="P114" s="33"/>
      <c r="Q114" s="33"/>
      <c r="R114" s="33"/>
      <c r="S114" s="24"/>
    </row>
    <row r="115">
      <c r="A115" s="50" t="s">
        <v>73</v>
      </c>
      <c r="I115" s="31"/>
      <c r="J115" s="31"/>
      <c r="K115" s="49">
        <v>1.0</v>
      </c>
      <c r="L115" s="23"/>
      <c r="M115" s="46">
        <v>1.0</v>
      </c>
      <c r="O115" s="31"/>
      <c r="P115" s="31"/>
      <c r="Q115" s="31">
        <v>80.0</v>
      </c>
      <c r="R115" s="23"/>
      <c r="S115" s="31">
        <v>80.0</v>
      </c>
      <c r="T115" s="52">
        <f>O115+P115+Q115+R115+S115+O116+P116+Q116+R116+S116</f>
        <v>400</v>
      </c>
    </row>
    <row r="116">
      <c r="A116" s="27"/>
      <c r="I116" s="33"/>
      <c r="J116" s="35">
        <v>1.0</v>
      </c>
      <c r="K116" s="35">
        <v>1.0</v>
      </c>
      <c r="L116" s="35">
        <v>1.0</v>
      </c>
      <c r="M116" s="24"/>
      <c r="O116" s="33"/>
      <c r="P116" s="35">
        <v>80.0</v>
      </c>
      <c r="Q116" s="33">
        <v>80.0</v>
      </c>
      <c r="R116" s="33">
        <v>80.0</v>
      </c>
      <c r="S116" s="24"/>
      <c r="T116" s="52"/>
    </row>
    <row r="117">
      <c r="A117" s="51" t="s">
        <v>82</v>
      </c>
      <c r="I117" s="31"/>
      <c r="J117" s="31">
        <v>1.0</v>
      </c>
      <c r="K117" s="32">
        <v>1.0</v>
      </c>
      <c r="L117" s="31">
        <v>1.0</v>
      </c>
      <c r="M117" s="57">
        <v>1.0</v>
      </c>
      <c r="N117" s="4" t="s">
        <v>89</v>
      </c>
      <c r="O117" s="31"/>
      <c r="P117" s="31">
        <v>70.0</v>
      </c>
      <c r="Q117" s="31">
        <v>70.0</v>
      </c>
      <c r="R117" s="31">
        <v>70.0</v>
      </c>
      <c r="S117" s="31">
        <v>100.0</v>
      </c>
      <c r="T117" s="54">
        <f>O117+P117+Q117+R117+S117+O118+P118+Q118+R118+S118</f>
        <v>520</v>
      </c>
    </row>
    <row r="118">
      <c r="A118" s="27"/>
      <c r="I118" s="33"/>
      <c r="J118" s="33"/>
      <c r="K118" s="33">
        <v>1.0</v>
      </c>
      <c r="L118" s="33">
        <v>1.0</v>
      </c>
      <c r="M118" s="33">
        <v>1.0</v>
      </c>
      <c r="N118" s="4">
        <v>50.0</v>
      </c>
      <c r="O118" s="33"/>
      <c r="P118" s="33"/>
      <c r="Q118" s="33">
        <v>70.0</v>
      </c>
      <c r="R118" s="33">
        <v>70.0</v>
      </c>
      <c r="S118" s="33">
        <v>70.0</v>
      </c>
      <c r="T118" s="54"/>
    </row>
    <row r="119">
      <c r="A119" s="51"/>
      <c r="I119" s="31"/>
      <c r="J119" s="31"/>
      <c r="K119" s="31"/>
      <c r="L119" s="31"/>
      <c r="M119" s="31"/>
      <c r="O119" s="31"/>
      <c r="P119" s="31"/>
      <c r="Q119" s="31"/>
      <c r="R119" s="31"/>
      <c r="S119" s="31"/>
    </row>
    <row r="120">
      <c r="A120" s="27"/>
      <c r="I120" s="33"/>
      <c r="J120" s="33"/>
      <c r="K120" s="33"/>
      <c r="L120" s="33"/>
      <c r="M120" s="33"/>
      <c r="O120" s="33"/>
      <c r="P120" s="33"/>
      <c r="Q120" s="33"/>
      <c r="R120" s="33"/>
      <c r="S120" s="33"/>
    </row>
    <row r="121">
      <c r="A121" s="51" t="s">
        <v>86</v>
      </c>
      <c r="I121" s="31"/>
      <c r="J121" s="46">
        <v>1.0</v>
      </c>
      <c r="K121" s="32">
        <v>1.0</v>
      </c>
      <c r="L121" s="46">
        <v>1.0</v>
      </c>
      <c r="M121" s="46">
        <v>1.0</v>
      </c>
      <c r="N121" s="4" t="s">
        <v>80</v>
      </c>
      <c r="O121" s="31"/>
      <c r="P121" s="46">
        <v>80.0</v>
      </c>
      <c r="Q121" s="31">
        <v>70.0</v>
      </c>
      <c r="R121" s="31">
        <v>80.0</v>
      </c>
      <c r="S121" s="31">
        <v>80.0</v>
      </c>
      <c r="T121" s="58">
        <f>O121+P121+Q121+R121+S121+O122+P122+Q122+R122+S122</f>
        <v>620</v>
      </c>
    </row>
    <row r="122">
      <c r="A122" s="27"/>
      <c r="I122" s="33">
        <v>1.0</v>
      </c>
      <c r="J122" s="33"/>
      <c r="K122" s="35">
        <v>1.0</v>
      </c>
      <c r="L122" s="35">
        <v>1.0</v>
      </c>
      <c r="M122" s="35">
        <v>1.0</v>
      </c>
      <c r="O122" s="33">
        <v>70.0</v>
      </c>
      <c r="P122" s="33"/>
      <c r="Q122" s="33">
        <v>80.0</v>
      </c>
      <c r="R122" s="33">
        <v>80.0</v>
      </c>
      <c r="S122" s="33">
        <v>80.0</v>
      </c>
      <c r="T122" s="58"/>
    </row>
    <row r="123">
      <c r="H123" s="4" t="s">
        <v>113</v>
      </c>
      <c r="I123" s="13">
        <f t="shared" ref="I123:M123" si="15">I97+I99+I101+I103+I105+I107+I109+I111+I113+I115+I117+I119+I121</f>
        <v>0</v>
      </c>
      <c r="J123" s="13">
        <f t="shared" si="15"/>
        <v>4</v>
      </c>
      <c r="K123" s="13">
        <f t="shared" si="15"/>
        <v>5</v>
      </c>
      <c r="L123" s="13">
        <f t="shared" si="15"/>
        <v>4</v>
      </c>
      <c r="M123" s="13">
        <f t="shared" si="15"/>
        <v>4</v>
      </c>
    </row>
    <row r="124">
      <c r="H124" s="4" t="s">
        <v>114</v>
      </c>
      <c r="I124" s="13">
        <f t="shared" ref="I124:M124" si="16">I98+I100+I102+I104+I106+I108+I110+I112+I114+I116+I118+I120+I122</f>
        <v>2</v>
      </c>
      <c r="J124" s="13">
        <f t="shared" si="16"/>
        <v>6</v>
      </c>
      <c r="K124" s="13">
        <f t="shared" si="16"/>
        <v>6</v>
      </c>
      <c r="L124" s="13">
        <f t="shared" si="16"/>
        <v>7</v>
      </c>
      <c r="M124" s="13">
        <f t="shared" si="16"/>
        <v>4</v>
      </c>
    </row>
    <row r="125">
      <c r="H125" s="2" t="s">
        <v>46</v>
      </c>
      <c r="J125" s="2" t="s">
        <v>47</v>
      </c>
      <c r="N125" s="2" t="s">
        <v>48</v>
      </c>
      <c r="R125" s="2" t="s">
        <v>49</v>
      </c>
      <c r="V125" s="2" t="s">
        <v>50</v>
      </c>
    </row>
    <row r="126">
      <c r="H126" s="2" t="s">
        <v>54</v>
      </c>
      <c r="I126" s="2" t="s">
        <v>55</v>
      </c>
      <c r="J126" s="2" t="s">
        <v>54</v>
      </c>
      <c r="L126" s="2" t="s">
        <v>55</v>
      </c>
      <c r="N126" s="2" t="s">
        <v>54</v>
      </c>
      <c r="P126" s="2" t="s">
        <v>55</v>
      </c>
      <c r="R126" s="2" t="s">
        <v>54</v>
      </c>
      <c r="T126" s="2" t="s">
        <v>55</v>
      </c>
      <c r="V126" s="2" t="s">
        <v>54</v>
      </c>
      <c r="X126" s="2" t="s">
        <v>55</v>
      </c>
    </row>
    <row r="127">
      <c r="A127" s="4" t="s">
        <v>89</v>
      </c>
      <c r="J127" s="4">
        <v>120.0</v>
      </c>
      <c r="K127" s="4" t="s">
        <v>115</v>
      </c>
      <c r="L127" s="4">
        <v>40.0</v>
      </c>
      <c r="M127" s="4" t="s">
        <v>96</v>
      </c>
      <c r="N127" s="4">
        <v>120.0</v>
      </c>
      <c r="O127" s="4" t="s">
        <v>116</v>
      </c>
      <c r="Q127" s="59" t="s">
        <v>92</v>
      </c>
      <c r="S127" s="4" t="s">
        <v>92</v>
      </c>
      <c r="U127" s="4" t="s">
        <v>117</v>
      </c>
      <c r="W127" s="4" t="s">
        <v>92</v>
      </c>
      <c r="Y127" s="4" t="s">
        <v>92</v>
      </c>
    </row>
    <row r="128">
      <c r="A128" s="4" t="s">
        <v>93</v>
      </c>
      <c r="K128" s="4"/>
      <c r="L128" s="4">
        <v>40.0</v>
      </c>
      <c r="M128" s="4" t="s">
        <v>118</v>
      </c>
      <c r="Q128" s="4" t="s">
        <v>118</v>
      </c>
      <c r="S128" s="4" t="s">
        <v>118</v>
      </c>
      <c r="U128" s="4" t="s">
        <v>118</v>
      </c>
      <c r="W128" s="4" t="s">
        <v>104</v>
      </c>
      <c r="Y128" s="4" t="s">
        <v>118</v>
      </c>
    </row>
    <row r="129">
      <c r="A129" s="4" t="s">
        <v>79</v>
      </c>
      <c r="J129" s="4">
        <v>60.0</v>
      </c>
      <c r="K129" s="4" t="s">
        <v>119</v>
      </c>
      <c r="L129" s="4">
        <v>40.0</v>
      </c>
      <c r="M129" s="4" t="s">
        <v>120</v>
      </c>
      <c r="N129" s="4">
        <v>68.0</v>
      </c>
      <c r="O129" s="4" t="s">
        <v>121</v>
      </c>
      <c r="Q129" s="59" t="s">
        <v>122</v>
      </c>
      <c r="S129" s="4" t="s">
        <v>100</v>
      </c>
      <c r="U129" s="4" t="s">
        <v>94</v>
      </c>
      <c r="W129" s="4" t="s">
        <v>92</v>
      </c>
      <c r="Y129" s="4" t="s">
        <v>122</v>
      </c>
    </row>
    <row r="130">
      <c r="A130" s="4" t="s">
        <v>102</v>
      </c>
      <c r="J130" s="4">
        <v>75.0</v>
      </c>
      <c r="K130" s="4" t="s">
        <v>123</v>
      </c>
      <c r="L130" s="4">
        <v>40.0</v>
      </c>
      <c r="M130" s="4" t="s">
        <v>124</v>
      </c>
      <c r="N130" s="4">
        <v>81.0</v>
      </c>
      <c r="O130" s="4" t="s">
        <v>124</v>
      </c>
      <c r="Q130" s="59" t="s">
        <v>125</v>
      </c>
      <c r="S130" s="4" t="s">
        <v>110</v>
      </c>
      <c r="U130" s="4" t="s">
        <v>124</v>
      </c>
      <c r="W130" s="4" t="s">
        <v>124</v>
      </c>
      <c r="Y130" s="4" t="s">
        <v>126</v>
      </c>
    </row>
    <row r="131">
      <c r="A131" s="4" t="s">
        <v>105</v>
      </c>
      <c r="J131" s="4">
        <v>70.0</v>
      </c>
      <c r="K131" s="4" t="s">
        <v>91</v>
      </c>
      <c r="L131" s="4">
        <v>40.0</v>
      </c>
      <c r="M131" s="4" t="s">
        <v>127</v>
      </c>
      <c r="N131" s="4">
        <v>76.0</v>
      </c>
      <c r="O131" s="4" t="s">
        <v>96</v>
      </c>
      <c r="Q131" s="59" t="s">
        <v>96</v>
      </c>
      <c r="S131" s="4" t="s">
        <v>91</v>
      </c>
      <c r="U131" s="4" t="s">
        <v>110</v>
      </c>
      <c r="W131" s="4" t="s">
        <v>94</v>
      </c>
      <c r="Y131" s="4" t="s">
        <v>91</v>
      </c>
    </row>
    <row r="132">
      <c r="A132" s="4" t="s">
        <v>128</v>
      </c>
      <c r="L132" s="4"/>
      <c r="M132" s="4"/>
      <c r="Q132" s="4" t="s">
        <v>129</v>
      </c>
      <c r="S132" s="4" t="s">
        <v>119</v>
      </c>
      <c r="U132" s="4" t="s">
        <v>91</v>
      </c>
      <c r="W132" s="4" t="s">
        <v>91</v>
      </c>
      <c r="Y132" s="4" t="s">
        <v>119</v>
      </c>
    </row>
    <row r="134">
      <c r="J134" s="4"/>
    </row>
    <row r="136">
      <c r="I136" s="26" t="s">
        <v>46</v>
      </c>
      <c r="J136" s="26" t="s">
        <v>47</v>
      </c>
      <c r="K136" s="26" t="s">
        <v>48</v>
      </c>
      <c r="L136" s="26" t="s">
        <v>49</v>
      </c>
      <c r="M136" s="26" t="s">
        <v>50</v>
      </c>
      <c r="O136" s="26" t="s">
        <v>46</v>
      </c>
      <c r="P136" s="26" t="s">
        <v>47</v>
      </c>
      <c r="Q136" s="26" t="s">
        <v>48</v>
      </c>
      <c r="R136" s="26" t="s">
        <v>49</v>
      </c>
      <c r="S136" s="26" t="s">
        <v>50</v>
      </c>
    </row>
    <row r="137">
      <c r="I137" s="28">
        <v>46118.0</v>
      </c>
      <c r="J137" s="29">
        <f t="shared" ref="J137:M137" si="17">I137+1</f>
        <v>46119</v>
      </c>
      <c r="K137" s="28">
        <f t="shared" si="17"/>
        <v>46120</v>
      </c>
      <c r="L137" s="29">
        <f t="shared" si="17"/>
        <v>46121</v>
      </c>
      <c r="M137" s="28">
        <f t="shared" si="17"/>
        <v>46122</v>
      </c>
      <c r="O137" s="29">
        <f t="shared" ref="O137:S137" si="18">I137</f>
        <v>46118</v>
      </c>
      <c r="P137" s="29">
        <f t="shared" si="18"/>
        <v>46119</v>
      </c>
      <c r="Q137" s="29">
        <f t="shared" si="18"/>
        <v>46120</v>
      </c>
      <c r="R137" s="29">
        <f t="shared" si="18"/>
        <v>46121</v>
      </c>
      <c r="S137" s="29">
        <f t="shared" si="18"/>
        <v>46122</v>
      </c>
      <c r="X137" s="2" t="s">
        <v>16</v>
      </c>
    </row>
    <row r="138">
      <c r="A138" s="38" t="s">
        <v>53</v>
      </c>
      <c r="H138" s="4" t="s">
        <v>107</v>
      </c>
      <c r="I138" s="23"/>
      <c r="J138" s="23"/>
      <c r="K138" s="31">
        <v>1.0</v>
      </c>
      <c r="L138" s="31"/>
      <c r="M138" s="32">
        <v>1.0</v>
      </c>
      <c r="O138" s="23"/>
      <c r="P138" s="23"/>
      <c r="Q138" s="31">
        <v>70.0</v>
      </c>
      <c r="R138" s="23"/>
      <c r="S138" s="32">
        <v>70.0</v>
      </c>
      <c r="T138" s="52">
        <f>O138+P138+Q138+R138+S138+O139+P139+Q139+R139+S139</f>
        <v>300</v>
      </c>
      <c r="X138" s="13">
        <f>sum(T138:W138)*1000</f>
        <v>300000</v>
      </c>
      <c r="Y138" s="13">
        <f>X138+X139</f>
        <v>305500</v>
      </c>
    </row>
    <row r="139">
      <c r="A139" s="27"/>
      <c r="H139" s="4" t="s">
        <v>88</v>
      </c>
      <c r="I139" s="33"/>
      <c r="J139" s="35">
        <v>1.0</v>
      </c>
      <c r="K139" s="35">
        <v>1.0</v>
      </c>
      <c r="L139" s="33"/>
      <c r="M139" s="24"/>
      <c r="O139" s="33"/>
      <c r="P139" s="33">
        <v>80.0</v>
      </c>
      <c r="Q139" s="33">
        <v>80.0</v>
      </c>
      <c r="R139" s="33"/>
      <c r="S139" s="24"/>
      <c r="T139" s="52"/>
      <c r="U139" s="13">
        <f>(X170-50)*500</f>
        <v>5500</v>
      </c>
      <c r="X139" s="13">
        <f>sum(T139:W139)</f>
        <v>5500</v>
      </c>
    </row>
    <row r="140">
      <c r="A140" s="38" t="s">
        <v>108</v>
      </c>
      <c r="I140" s="23"/>
      <c r="J140" s="46">
        <v>1.0</v>
      </c>
      <c r="K140" s="49">
        <v>1.0</v>
      </c>
      <c r="L140" s="46">
        <v>1.0</v>
      </c>
      <c r="M140" s="31"/>
      <c r="O140" s="23"/>
      <c r="P140" s="31">
        <v>80.0</v>
      </c>
      <c r="Q140" s="31">
        <v>80.0</v>
      </c>
      <c r="R140" s="31">
        <v>80.0</v>
      </c>
      <c r="S140" s="31"/>
      <c r="T140" s="53">
        <f>O140+P140+Q140+R140+S140+O141+P141+Q141+R141+S141</f>
        <v>480</v>
      </c>
      <c r="U140" s="53"/>
      <c r="V140" s="53"/>
      <c r="X140" s="13">
        <f>sum(T140:W140)*1000</f>
        <v>480000</v>
      </c>
      <c r="Y140" s="13">
        <f>X140+X141</f>
        <v>531000</v>
      </c>
    </row>
    <row r="141">
      <c r="A141" s="27"/>
      <c r="I141" s="24"/>
      <c r="J141" s="33"/>
      <c r="K141" s="35">
        <v>1.0</v>
      </c>
      <c r="L141" s="35">
        <v>1.0</v>
      </c>
      <c r="M141" s="35">
        <v>1.0</v>
      </c>
      <c r="O141" s="24"/>
      <c r="P141" s="33"/>
      <c r="Q141" s="33">
        <v>80.0</v>
      </c>
      <c r="R141" s="33">
        <v>80.0</v>
      </c>
      <c r="S141" s="33">
        <v>80.0</v>
      </c>
      <c r="T141" s="53"/>
      <c r="U141" s="53">
        <f>(L172+T172-50*2)*500</f>
        <v>34500</v>
      </c>
      <c r="V141" s="53">
        <f>(P172-90)/2*500</f>
        <v>6500</v>
      </c>
      <c r="W141" s="4">
        <v>10000.0</v>
      </c>
      <c r="X141" s="13">
        <f>sum(T141:W141)</f>
        <v>51000</v>
      </c>
    </row>
    <row r="142">
      <c r="A142" s="38" t="s">
        <v>57</v>
      </c>
      <c r="I142" s="23"/>
      <c r="J142" s="23"/>
      <c r="K142" s="31">
        <v>1.0</v>
      </c>
      <c r="L142" s="23"/>
      <c r="M142" s="31"/>
      <c r="O142" s="23"/>
      <c r="P142" s="23"/>
      <c r="Q142" s="31">
        <v>70.0</v>
      </c>
      <c r="R142" s="23"/>
      <c r="S142" s="31"/>
      <c r="T142" s="54">
        <f>O142+P142+Q142+R142+S142+O143+P143+Q143+R143+S143</f>
        <v>150</v>
      </c>
      <c r="X142" s="13">
        <f>sum(T142:W142)*1000</f>
        <v>150000</v>
      </c>
      <c r="Y142" s="13">
        <f>X142+X143</f>
        <v>150000</v>
      </c>
    </row>
    <row r="143">
      <c r="A143" s="27"/>
      <c r="I143" s="33"/>
      <c r="J143" s="35">
        <v>1.0</v>
      </c>
      <c r="K143" s="33"/>
      <c r="L143" s="33"/>
      <c r="M143" s="24"/>
      <c r="O143" s="33"/>
      <c r="P143" s="33">
        <v>80.0</v>
      </c>
      <c r="Q143" s="33"/>
      <c r="R143" s="33"/>
      <c r="S143" s="24"/>
      <c r="T143" s="54"/>
      <c r="X143" s="13">
        <f>sum(T143:W143)</f>
        <v>0</v>
      </c>
    </row>
    <row r="144">
      <c r="A144" s="38" t="s">
        <v>109</v>
      </c>
      <c r="I144" s="23"/>
      <c r="J144" s="31"/>
      <c r="K144" s="31"/>
      <c r="L144" s="46">
        <v>1.0</v>
      </c>
      <c r="M144" s="31"/>
      <c r="N144" s="4" t="s">
        <v>110</v>
      </c>
      <c r="O144" s="23"/>
      <c r="P144" s="31"/>
      <c r="Q144" s="31"/>
      <c r="R144" s="31">
        <v>80.0</v>
      </c>
      <c r="S144" s="31"/>
      <c r="T144" s="13">
        <f>O144+P144+Q144+R144+S144+O145+P145+Q145+R145+S145</f>
        <v>240</v>
      </c>
      <c r="X144" s="13">
        <f>sum(T144:W144)*1000</f>
        <v>240000</v>
      </c>
      <c r="Y144" s="13">
        <f>X144+X145</f>
        <v>262500</v>
      </c>
    </row>
    <row r="145">
      <c r="A145" s="27"/>
      <c r="I145" s="24"/>
      <c r="J145" s="35">
        <v>1.0</v>
      </c>
      <c r="K145" s="33"/>
      <c r="L145" s="35">
        <v>1.0</v>
      </c>
      <c r="M145" s="24"/>
      <c r="O145" s="24"/>
      <c r="P145" s="33">
        <v>80.0</v>
      </c>
      <c r="Q145" s="33"/>
      <c r="R145" s="33">
        <v>80.0</v>
      </c>
      <c r="S145" s="24"/>
      <c r="U145" s="13">
        <f>(T173-50)*500</f>
        <v>15500</v>
      </c>
      <c r="V145" s="4">
        <v>7000.0</v>
      </c>
      <c r="X145" s="13">
        <f>sum(T145:W145)</f>
        <v>22500</v>
      </c>
    </row>
    <row r="146">
      <c r="A146" s="38" t="s">
        <v>111</v>
      </c>
      <c r="I146" s="46">
        <v>1.0</v>
      </c>
      <c r="J146" s="31"/>
      <c r="K146" s="31"/>
      <c r="L146" s="31">
        <v>1.0</v>
      </c>
      <c r="M146" s="31"/>
      <c r="O146" s="31">
        <v>80.0</v>
      </c>
      <c r="P146" s="31"/>
      <c r="Q146" s="31"/>
      <c r="R146" s="31">
        <v>70.0</v>
      </c>
      <c r="S146" s="31"/>
      <c r="T146" s="56">
        <f>O146+P146+Q146+R146+S146+O147+P147+Q147+R147+S147</f>
        <v>370</v>
      </c>
      <c r="X146" s="13">
        <f>sum(T146:W146)*1000</f>
        <v>370000</v>
      </c>
      <c r="Y146" s="13">
        <f>X146+X147</f>
        <v>380500</v>
      </c>
    </row>
    <row r="147">
      <c r="A147" s="27"/>
      <c r="I147" s="33"/>
      <c r="J147" s="33">
        <v>1.0</v>
      </c>
      <c r="K147" s="33">
        <v>1.0</v>
      </c>
      <c r="L147" s="33"/>
      <c r="M147" s="35">
        <v>1.0</v>
      </c>
      <c r="O147" s="33"/>
      <c r="P147" s="33">
        <v>70.0</v>
      </c>
      <c r="Q147" s="33">
        <v>70.0</v>
      </c>
      <c r="R147" s="33"/>
      <c r="S147" s="33">
        <v>80.0</v>
      </c>
      <c r="T147" s="56"/>
      <c r="U147" s="13">
        <f>(H173-50)*500</f>
        <v>10500</v>
      </c>
      <c r="X147" s="13">
        <f>sum(T147:W147)</f>
        <v>10500</v>
      </c>
    </row>
    <row r="148">
      <c r="A148" s="38" t="s">
        <v>60</v>
      </c>
      <c r="I148" s="31">
        <v>1.0</v>
      </c>
      <c r="J148" s="23"/>
      <c r="K148" s="31"/>
      <c r="L148" s="31">
        <v>1.0</v>
      </c>
      <c r="M148" s="31"/>
      <c r="O148" s="31">
        <v>70.0</v>
      </c>
      <c r="P148" s="23"/>
      <c r="Q148" s="31"/>
      <c r="R148" s="31">
        <v>70.0</v>
      </c>
      <c r="S148" s="31"/>
      <c r="T148" s="53">
        <f>O148+P148+Q148+R148+S148+O149+P149+Q149+R149+S149+N149</f>
        <v>420</v>
      </c>
      <c r="U148" s="4">
        <v>50.0</v>
      </c>
      <c r="X148" s="13">
        <f>sum(T148:W148)*1000</f>
        <v>470000</v>
      </c>
      <c r="Y148" s="13">
        <f>X148+X149</f>
        <v>476000</v>
      </c>
    </row>
    <row r="149">
      <c r="A149" s="27"/>
      <c r="I149" s="33">
        <v>1.0</v>
      </c>
      <c r="J149" s="33">
        <v>1.0</v>
      </c>
      <c r="K149" s="33">
        <v>1.0</v>
      </c>
      <c r="L149" s="33"/>
      <c r="M149" s="33">
        <v>1.0</v>
      </c>
      <c r="O149" s="33">
        <v>70.0</v>
      </c>
      <c r="P149" s="33">
        <v>70.0</v>
      </c>
      <c r="Q149" s="33">
        <v>70.0</v>
      </c>
      <c r="R149" s="33"/>
      <c r="S149" s="33">
        <v>70.0</v>
      </c>
      <c r="T149" s="53"/>
      <c r="U149" s="4">
        <v>6000.0</v>
      </c>
      <c r="X149" s="13">
        <f>sum(T149:W149)</f>
        <v>6000</v>
      </c>
    </row>
    <row r="150">
      <c r="A150" s="38"/>
      <c r="I150" s="23"/>
      <c r="J150" s="31"/>
      <c r="K150" s="31"/>
      <c r="L150" s="31"/>
      <c r="M150" s="32"/>
      <c r="N150" s="4" t="s">
        <v>112</v>
      </c>
      <c r="O150" s="23"/>
      <c r="P150" s="31"/>
      <c r="Q150" s="31"/>
      <c r="R150" s="31"/>
      <c r="S150" s="32"/>
      <c r="T150" s="13">
        <f>O150+P150+Q150+R150+S150+O151+P151+Q151+R151+S151</f>
        <v>0</v>
      </c>
      <c r="X150" s="59"/>
    </row>
    <row r="151">
      <c r="A151" s="27"/>
      <c r="I151" s="33"/>
      <c r="J151" s="33"/>
      <c r="K151" s="33"/>
      <c r="L151" s="33"/>
      <c r="M151" s="24"/>
      <c r="O151" s="33"/>
      <c r="P151" s="33"/>
      <c r="Q151" s="33"/>
      <c r="R151" s="33"/>
      <c r="S151" s="24"/>
      <c r="X151" s="59"/>
      <c r="Y151" s="59"/>
    </row>
    <row r="152">
      <c r="A152" s="38"/>
      <c r="I152" s="23"/>
      <c r="J152" s="23"/>
      <c r="K152" s="31"/>
      <c r="L152" s="23"/>
      <c r="M152" s="31"/>
      <c r="O152" s="23"/>
      <c r="P152" s="23"/>
      <c r="Q152" s="31"/>
      <c r="R152" s="23"/>
      <c r="S152" s="31"/>
      <c r="T152" s="53">
        <f>O152+P152+Q152+R152+S152+O153+P153+Q153+R153+S153</f>
        <v>0</v>
      </c>
      <c r="X152" s="59"/>
      <c r="Y152" s="59"/>
    </row>
    <row r="153">
      <c r="A153" s="27"/>
      <c r="I153" s="33"/>
      <c r="J153" s="33"/>
      <c r="K153" s="33"/>
      <c r="L153" s="33"/>
      <c r="M153" s="24"/>
      <c r="O153" s="33"/>
      <c r="P153" s="33"/>
      <c r="Q153" s="33"/>
      <c r="R153" s="33"/>
      <c r="S153" s="24"/>
      <c r="T153" s="53"/>
      <c r="X153" s="59"/>
      <c r="Y153" s="59"/>
      <c r="Z153" s="13">
        <f>4164000/2455</f>
        <v>1696.130346</v>
      </c>
    </row>
    <row r="154">
      <c r="A154" s="38" t="s">
        <v>130</v>
      </c>
      <c r="I154" s="45">
        <v>1.0</v>
      </c>
      <c r="J154" s="46">
        <v>1.0</v>
      </c>
      <c r="K154" s="31">
        <v>1.0</v>
      </c>
      <c r="L154" s="23"/>
      <c r="M154" s="49">
        <v>1.0</v>
      </c>
      <c r="O154" s="31">
        <v>50.0</v>
      </c>
      <c r="P154" s="31">
        <v>80.0</v>
      </c>
      <c r="Q154" s="31">
        <v>70.0</v>
      </c>
      <c r="R154" s="23"/>
      <c r="S154" s="32">
        <v>80.0</v>
      </c>
      <c r="T154" s="60">
        <f>O154+P154+Q154+R154+S154+O155+P155+Q155+R155+S155+N155</f>
        <v>280</v>
      </c>
      <c r="X154" s="13">
        <f>sum(T154:W154)*1000</f>
        <v>280000</v>
      </c>
      <c r="Y154" s="13">
        <f>X154+X155</f>
        <v>309000</v>
      </c>
    </row>
    <row r="155">
      <c r="A155" s="27"/>
      <c r="I155" s="24"/>
      <c r="J155" s="33"/>
      <c r="K155" s="33"/>
      <c r="L155" s="33"/>
      <c r="M155" s="24"/>
      <c r="O155" s="24"/>
      <c r="P155" s="33"/>
      <c r="Q155" s="33"/>
      <c r="R155" s="33"/>
      <c r="S155" s="24"/>
      <c r="U155" s="13">
        <f>(X173+L173-50*2)*500</f>
        <v>29000</v>
      </c>
      <c r="X155" s="13">
        <f>sum(T155:W155)</f>
        <v>29000</v>
      </c>
    </row>
    <row r="156">
      <c r="A156" s="50" t="s">
        <v>73</v>
      </c>
      <c r="I156" s="31"/>
      <c r="J156" s="31"/>
      <c r="K156" s="46">
        <v>1.0</v>
      </c>
      <c r="L156" s="31"/>
      <c r="M156" s="46">
        <v>1.0</v>
      </c>
      <c r="O156" s="31"/>
      <c r="P156" s="31"/>
      <c r="Q156" s="31">
        <v>80.0</v>
      </c>
      <c r="R156" s="23"/>
      <c r="S156" s="31">
        <v>80.0</v>
      </c>
      <c r="T156" s="52">
        <f>O156+P156+Q156+R156+S156+O157+P157+Q157+R157+S157</f>
        <v>240</v>
      </c>
      <c r="X156" s="13">
        <f>sum(T156:W156)*1000</f>
        <v>240000</v>
      </c>
      <c r="Y156" s="13">
        <f>X156+X157</f>
        <v>246500</v>
      </c>
    </row>
    <row r="157">
      <c r="A157" s="27"/>
      <c r="I157" s="33"/>
      <c r="J157" s="35">
        <v>1.0</v>
      </c>
      <c r="K157" s="33"/>
      <c r="L157" s="33"/>
      <c r="M157" s="24"/>
      <c r="O157" s="33"/>
      <c r="P157" s="33">
        <v>80.0</v>
      </c>
      <c r="Q157" s="33"/>
      <c r="R157" s="33"/>
      <c r="S157" s="24"/>
      <c r="T157" s="52"/>
      <c r="U157" s="13">
        <f>V141</f>
        <v>6500</v>
      </c>
      <c r="X157" s="13">
        <f>sum(T157:W157)</f>
        <v>6500</v>
      </c>
    </row>
    <row r="158">
      <c r="A158" s="51" t="s">
        <v>82</v>
      </c>
      <c r="I158" s="31">
        <v>1.0</v>
      </c>
      <c r="J158" s="31">
        <v>1.0</v>
      </c>
      <c r="K158" s="32">
        <v>1.0</v>
      </c>
      <c r="L158" s="31">
        <v>1.0</v>
      </c>
      <c r="M158" s="31">
        <v>1.0</v>
      </c>
      <c r="O158" s="31">
        <v>70.0</v>
      </c>
      <c r="P158" s="31">
        <v>70.0</v>
      </c>
      <c r="Q158" s="31">
        <v>70.0</v>
      </c>
      <c r="R158" s="31">
        <v>70.0</v>
      </c>
      <c r="S158" s="31">
        <v>70.0</v>
      </c>
      <c r="T158" s="54">
        <f>O158+P158+Q158+R158+S158+O159+P159+Q159+R159+S159</f>
        <v>560</v>
      </c>
      <c r="U158" s="4">
        <v>50.0</v>
      </c>
      <c r="V158" s="4">
        <v>50.0</v>
      </c>
      <c r="W158" s="4">
        <v>50.0</v>
      </c>
      <c r="X158" s="13">
        <f>sum(T158:W158)*1000</f>
        <v>710000</v>
      </c>
      <c r="Y158" s="13">
        <f>X158+X159</f>
        <v>785500</v>
      </c>
    </row>
    <row r="159">
      <c r="A159" s="27"/>
      <c r="I159" s="33"/>
      <c r="J159" s="33"/>
      <c r="K159" s="33">
        <v>1.0</v>
      </c>
      <c r="L159" s="33">
        <v>1.0</v>
      </c>
      <c r="M159" s="33">
        <v>1.0</v>
      </c>
      <c r="O159" s="33"/>
      <c r="P159" s="33"/>
      <c r="Q159" s="33">
        <v>70.0</v>
      </c>
      <c r="R159" s="33">
        <v>70.0</v>
      </c>
      <c r="S159" s="33">
        <v>70.0</v>
      </c>
      <c r="T159" s="54"/>
      <c r="U159" s="13">
        <f>(H169+L169+T169+X169-50*4)*500</f>
        <v>73500</v>
      </c>
      <c r="V159" s="4">
        <v>2000.0</v>
      </c>
      <c r="X159" s="13">
        <f>sum(T159:W159)</f>
        <v>75500</v>
      </c>
    </row>
    <row r="160">
      <c r="A160" s="51"/>
      <c r="I160" s="31"/>
      <c r="J160" s="31"/>
      <c r="K160" s="31"/>
      <c r="L160" s="31"/>
      <c r="M160" s="31"/>
      <c r="O160" s="31"/>
      <c r="P160" s="31"/>
      <c r="Q160" s="31"/>
      <c r="R160" s="31"/>
      <c r="S160" s="31"/>
      <c r="Y160" s="13">
        <f>X160+X161</f>
        <v>0</v>
      </c>
    </row>
    <row r="161">
      <c r="A161" s="27"/>
      <c r="I161" s="33"/>
      <c r="J161" s="33"/>
      <c r="K161" s="33"/>
      <c r="L161" s="33"/>
      <c r="M161" s="33"/>
      <c r="O161" s="33"/>
      <c r="P161" s="33"/>
      <c r="Q161" s="33"/>
      <c r="R161" s="33"/>
      <c r="S161" s="33"/>
    </row>
    <row r="162">
      <c r="A162" s="51" t="s">
        <v>86</v>
      </c>
      <c r="I162" s="31"/>
      <c r="J162" s="46">
        <v>1.0</v>
      </c>
      <c r="K162" s="49">
        <v>1.0</v>
      </c>
      <c r="L162" s="46">
        <v>1.0</v>
      </c>
      <c r="M162" s="46">
        <v>1.0</v>
      </c>
      <c r="N162" s="4" t="s">
        <v>80</v>
      </c>
      <c r="O162" s="31"/>
      <c r="P162" s="31">
        <v>80.0</v>
      </c>
      <c r="Q162" s="31">
        <v>80.0</v>
      </c>
      <c r="R162" s="31">
        <v>80.0</v>
      </c>
      <c r="S162" s="31">
        <v>80.0</v>
      </c>
      <c r="T162" s="58">
        <f>O162+P162+Q162+R162+S162+O163+P163+Q163+R163+S163</f>
        <v>640</v>
      </c>
      <c r="U162" s="4">
        <v>50.0</v>
      </c>
      <c r="X162" s="13">
        <f>sum(T162:W162)*1000</f>
        <v>690000</v>
      </c>
      <c r="Y162" s="13">
        <f>X162+X163</f>
        <v>717500</v>
      </c>
    </row>
    <row r="163">
      <c r="A163" s="27"/>
      <c r="I163" s="35">
        <v>1.0</v>
      </c>
      <c r="J163" s="33"/>
      <c r="K163" s="35">
        <v>1.0</v>
      </c>
      <c r="L163" s="35">
        <v>1.0</v>
      </c>
      <c r="M163" s="35">
        <v>1.0</v>
      </c>
      <c r="O163" s="33">
        <v>80.0</v>
      </c>
      <c r="P163" s="33"/>
      <c r="Q163" s="33">
        <v>80.0</v>
      </c>
      <c r="R163" s="33">
        <v>80.0</v>
      </c>
      <c r="S163" s="33">
        <v>80.0</v>
      </c>
      <c r="T163" s="58"/>
      <c r="U163" s="13">
        <f>(P174+T174+X174-50*3)*500</f>
        <v>24500</v>
      </c>
      <c r="V163" s="4">
        <v>3000.0</v>
      </c>
      <c r="X163" s="13">
        <f>sum(T163:W163)</f>
        <v>27500</v>
      </c>
    </row>
    <row r="164">
      <c r="H164" s="4" t="s">
        <v>113</v>
      </c>
      <c r="I164" s="13">
        <f t="shared" ref="I164:M164" si="19">I138+I140+I142+I144+I146+I148+I150+I152+I154+I156+I158+I160+I162</f>
        <v>4</v>
      </c>
      <c r="J164" s="13">
        <f t="shared" si="19"/>
        <v>4</v>
      </c>
      <c r="K164" s="13">
        <f t="shared" si="19"/>
        <v>7</v>
      </c>
      <c r="L164" s="13">
        <f t="shared" si="19"/>
        <v>6</v>
      </c>
      <c r="M164" s="13">
        <f t="shared" si="19"/>
        <v>5</v>
      </c>
      <c r="Y164" s="13">
        <f>X164+X165</f>
        <v>0</v>
      </c>
    </row>
    <row r="165">
      <c r="H165" s="4" t="s">
        <v>114</v>
      </c>
      <c r="I165" s="13">
        <f t="shared" ref="I165:M165" si="20">I139+I141+I143+I145+I147+I149+I151+I153+I155+I157+I159+I161+I163</f>
        <v>2</v>
      </c>
      <c r="J165" s="13">
        <f t="shared" si="20"/>
        <v>6</v>
      </c>
      <c r="K165" s="13">
        <f t="shared" si="20"/>
        <v>6</v>
      </c>
      <c r="L165" s="13">
        <f t="shared" si="20"/>
        <v>4</v>
      </c>
      <c r="M165" s="13">
        <f t="shared" si="20"/>
        <v>5</v>
      </c>
    </row>
    <row r="167">
      <c r="H167" s="61" t="s">
        <v>46</v>
      </c>
      <c r="L167" s="62" t="s">
        <v>47</v>
      </c>
      <c r="P167" s="63" t="s">
        <v>48</v>
      </c>
      <c r="T167" s="64" t="s">
        <v>49</v>
      </c>
      <c r="X167" s="65" t="s">
        <v>50</v>
      </c>
      <c r="AB167" s="65"/>
    </row>
    <row r="168">
      <c r="H168" s="2" t="s">
        <v>54</v>
      </c>
      <c r="J168" s="2" t="s">
        <v>55</v>
      </c>
      <c r="L168" s="2" t="s">
        <v>54</v>
      </c>
      <c r="N168" s="2" t="s">
        <v>55</v>
      </c>
      <c r="P168" s="2" t="s">
        <v>54</v>
      </c>
      <c r="R168" s="2" t="s">
        <v>55</v>
      </c>
      <c r="T168" s="2" t="s">
        <v>54</v>
      </c>
      <c r="V168" s="2" t="s">
        <v>55</v>
      </c>
      <c r="X168" s="2" t="s">
        <v>54</v>
      </c>
      <c r="Z168" s="2" t="s">
        <v>55</v>
      </c>
      <c r="AB168" s="2"/>
    </row>
    <row r="169">
      <c r="A169" s="4" t="s">
        <v>89</v>
      </c>
      <c r="H169" s="4">
        <f>'Nhập hàng New'!L189</f>
        <v>74</v>
      </c>
      <c r="I169" s="4" t="s">
        <v>92</v>
      </c>
      <c r="K169" s="4" t="s">
        <v>118</v>
      </c>
      <c r="L169" s="13">
        <f>'Nhập hàng New'!L221</f>
        <v>88</v>
      </c>
      <c r="M169" s="4" t="s">
        <v>92</v>
      </c>
      <c r="O169" s="4" t="s">
        <v>96</v>
      </c>
      <c r="P169" s="4">
        <f>'Nhập hàng New'!L253</f>
        <v>92</v>
      </c>
      <c r="Q169" s="4" t="s">
        <v>131</v>
      </c>
      <c r="S169" s="59" t="s">
        <v>92</v>
      </c>
      <c r="T169" s="13">
        <f>'Nhập hàng New'!L285</f>
        <v>96</v>
      </c>
      <c r="U169" s="4" t="s">
        <v>92</v>
      </c>
      <c r="W169" s="59" t="s">
        <v>132</v>
      </c>
      <c r="X169" s="13">
        <f>'Nhập hàng New'!L318</f>
        <v>89</v>
      </c>
      <c r="Y169" s="59" t="s">
        <v>92</v>
      </c>
      <c r="AA169" s="4" t="s">
        <v>92</v>
      </c>
      <c r="AB169" s="4"/>
    </row>
    <row r="170">
      <c r="A170" s="4" t="s">
        <v>93</v>
      </c>
      <c r="H170" s="4">
        <f>'Nhập hàng New'!J189</f>
        <v>45</v>
      </c>
      <c r="I170" s="4" t="s">
        <v>118</v>
      </c>
      <c r="L170" s="13">
        <f>'Nhập hàng New'!J221</f>
        <v>0</v>
      </c>
      <c r="M170" s="4"/>
      <c r="O170" s="4" t="s">
        <v>118</v>
      </c>
      <c r="P170" s="4">
        <f>'Nhập hàng New'!J253</f>
        <v>50</v>
      </c>
      <c r="Q170" s="4" t="s">
        <v>96</v>
      </c>
      <c r="S170" s="59" t="s">
        <v>118</v>
      </c>
      <c r="T170" s="4">
        <v>42.0</v>
      </c>
      <c r="U170" s="4" t="s">
        <v>118</v>
      </c>
      <c r="X170" s="13">
        <f>'Nhập hàng New'!J318</f>
        <v>61</v>
      </c>
      <c r="Y170" s="4" t="s">
        <v>96</v>
      </c>
      <c r="AA170" s="4" t="s">
        <v>118</v>
      </c>
      <c r="AB170" s="4"/>
    </row>
    <row r="171">
      <c r="A171" s="4" t="s">
        <v>79</v>
      </c>
      <c r="H171" s="66">
        <f>'Nhập hàng New'!K189</f>
        <v>0</v>
      </c>
      <c r="L171" s="66">
        <f>'Nhập hàng New'!K221</f>
        <v>38</v>
      </c>
      <c r="M171" s="4" t="s">
        <v>104</v>
      </c>
      <c r="O171" s="4" t="s">
        <v>122</v>
      </c>
      <c r="P171" s="67">
        <f>'Nhập hàng New'!K253</f>
        <v>31</v>
      </c>
      <c r="Q171" s="4" t="s">
        <v>121</v>
      </c>
      <c r="S171" s="59" t="s">
        <v>122</v>
      </c>
      <c r="T171" s="66">
        <f>'Nhập hàng New'!K285</f>
        <v>37</v>
      </c>
      <c r="U171" s="4" t="s">
        <v>122</v>
      </c>
    </row>
    <row r="172">
      <c r="A172" s="4" t="s">
        <v>102</v>
      </c>
      <c r="H172" s="4">
        <f>'Nhập hàng New'!N189</f>
        <v>76</v>
      </c>
      <c r="I172" s="4" t="s">
        <v>133</v>
      </c>
      <c r="K172" s="4" t="s">
        <v>104</v>
      </c>
      <c r="L172" s="13">
        <f>'Nhập hàng New'!N221</f>
        <v>81</v>
      </c>
      <c r="M172" s="4" t="s">
        <v>134</v>
      </c>
      <c r="O172" s="4" t="s">
        <v>124</v>
      </c>
      <c r="P172" s="4">
        <f>'Nhập hàng New'!N253+'Nhập hàng New'!Q253</f>
        <v>116</v>
      </c>
      <c r="Q172" s="4" t="s">
        <v>135</v>
      </c>
      <c r="S172" s="59" t="s">
        <v>134</v>
      </c>
      <c r="T172" s="13">
        <f>'Nhập hàng New'!N285</f>
        <v>88</v>
      </c>
      <c r="U172" s="4" t="s">
        <v>134</v>
      </c>
      <c r="W172" s="59" t="s">
        <v>134</v>
      </c>
      <c r="X172" s="13">
        <f>'Nhập hàng New'!N318</f>
        <v>26</v>
      </c>
      <c r="Y172" s="4" t="s">
        <v>124</v>
      </c>
      <c r="AA172" s="4" t="s">
        <v>134</v>
      </c>
      <c r="AB172" s="4"/>
    </row>
    <row r="173">
      <c r="A173" s="4" t="s">
        <v>105</v>
      </c>
      <c r="H173" s="4">
        <f>'Nhập hàng New'!M189</f>
        <v>71</v>
      </c>
      <c r="I173" s="4" t="s">
        <v>122</v>
      </c>
      <c r="K173" s="4" t="s">
        <v>91</v>
      </c>
      <c r="L173" s="13">
        <f>'Nhập hàng New'!M221</f>
        <v>75</v>
      </c>
      <c r="M173" s="4" t="s">
        <v>136</v>
      </c>
      <c r="O173" s="4" t="s">
        <v>137</v>
      </c>
      <c r="P173" s="4">
        <f>'Nhập hàng New'!M253</f>
        <v>70</v>
      </c>
      <c r="Q173" s="4" t="s">
        <v>104</v>
      </c>
      <c r="S173" s="59" t="s">
        <v>96</v>
      </c>
      <c r="T173" s="13">
        <f>'Nhập hàng New'!M285</f>
        <v>81</v>
      </c>
      <c r="U173" s="4" t="s">
        <v>110</v>
      </c>
      <c r="W173" s="59" t="s">
        <v>110</v>
      </c>
      <c r="X173" s="13">
        <f>'Nhập hàng New'!M318</f>
        <v>83</v>
      </c>
      <c r="Y173" s="4" t="s">
        <v>138</v>
      </c>
      <c r="AA173" s="4" t="s">
        <v>122</v>
      </c>
      <c r="AB173" s="4"/>
    </row>
    <row r="174">
      <c r="A174" s="4" t="s">
        <v>128</v>
      </c>
      <c r="H174" s="4">
        <f>'Nhập hàng New'!O189</f>
        <v>34</v>
      </c>
      <c r="I174" s="4" t="s">
        <v>104</v>
      </c>
      <c r="L174" s="13">
        <f>'Nhập hàng New'!O221</f>
        <v>43</v>
      </c>
      <c r="M174" s="4" t="s">
        <v>91</v>
      </c>
      <c r="O174" s="4" t="s">
        <v>110</v>
      </c>
      <c r="P174" s="4">
        <f>'Nhập hàng New'!O253</f>
        <v>63</v>
      </c>
      <c r="Q174" s="4" t="s">
        <v>91</v>
      </c>
      <c r="S174" s="59" t="s">
        <v>139</v>
      </c>
      <c r="T174" s="13">
        <f>'Nhập hàng New'!O285</f>
        <v>68</v>
      </c>
      <c r="U174" s="4" t="s">
        <v>140</v>
      </c>
      <c r="W174" s="59" t="s">
        <v>91</v>
      </c>
      <c r="X174" s="13">
        <f>'Nhập hàng New'!O318</f>
        <v>68</v>
      </c>
      <c r="Y174" s="59" t="s">
        <v>91</v>
      </c>
      <c r="AA174" s="4" t="s">
        <v>91</v>
      </c>
      <c r="AB174" s="4"/>
    </row>
    <row r="177">
      <c r="I177" s="26" t="s">
        <v>46</v>
      </c>
      <c r="J177" s="26" t="s">
        <v>47</v>
      </c>
      <c r="K177" s="26" t="s">
        <v>48</v>
      </c>
      <c r="L177" s="26" t="s">
        <v>49</v>
      </c>
      <c r="M177" s="26" t="s">
        <v>50</v>
      </c>
      <c r="O177" s="26" t="s">
        <v>46</v>
      </c>
      <c r="P177" s="26" t="s">
        <v>47</v>
      </c>
      <c r="Q177" s="26" t="s">
        <v>48</v>
      </c>
      <c r="R177" s="26" t="s">
        <v>49</v>
      </c>
      <c r="S177" s="26" t="s">
        <v>50</v>
      </c>
      <c r="V177" s="4">
        <v>50.0</v>
      </c>
    </row>
    <row r="178">
      <c r="I178" s="28">
        <v>46125.0</v>
      </c>
      <c r="J178" s="29">
        <f t="shared" ref="J178:M178" si="21">I178+1</f>
        <v>46126</v>
      </c>
      <c r="K178" s="28">
        <f t="shared" si="21"/>
        <v>46127</v>
      </c>
      <c r="L178" s="29">
        <f t="shared" si="21"/>
        <v>46128</v>
      </c>
      <c r="M178" s="28">
        <f t="shared" si="21"/>
        <v>46129</v>
      </c>
      <c r="O178" s="29">
        <f t="shared" ref="O178:S178" si="22">I178</f>
        <v>46125</v>
      </c>
      <c r="P178" s="29">
        <f t="shared" si="22"/>
        <v>46126</v>
      </c>
      <c r="Q178" s="29">
        <f t="shared" si="22"/>
        <v>46127</v>
      </c>
      <c r="R178" s="29">
        <f t="shared" si="22"/>
        <v>46128</v>
      </c>
      <c r="S178" s="29">
        <f t="shared" si="22"/>
        <v>46129</v>
      </c>
      <c r="Z178" s="2" t="s">
        <v>16</v>
      </c>
      <c r="AB178" s="2"/>
    </row>
    <row r="179">
      <c r="A179" s="38" t="s">
        <v>53</v>
      </c>
      <c r="H179" s="4" t="s">
        <v>107</v>
      </c>
      <c r="I179" s="23"/>
      <c r="J179" s="23"/>
      <c r="K179" s="31">
        <v>1.0</v>
      </c>
      <c r="L179" s="31"/>
      <c r="M179" s="32"/>
      <c r="O179" s="23"/>
      <c r="P179" s="23"/>
      <c r="Q179" s="31">
        <v>70.0</v>
      </c>
      <c r="R179" s="23"/>
      <c r="S179" s="32"/>
      <c r="T179" s="52">
        <f>O179+P179+Q179+R179+S179+O180+P180+Q180+R180+S180</f>
        <v>230</v>
      </c>
      <c r="Z179" s="13">
        <f t="shared" ref="Z179:Z181" si="23">sum(T179:Y179)*1000</f>
        <v>230000</v>
      </c>
      <c r="AA179" s="13">
        <f>Z179+Z180</f>
        <v>230000</v>
      </c>
    </row>
    <row r="180">
      <c r="A180" s="27"/>
      <c r="H180" s="4" t="s">
        <v>88</v>
      </c>
      <c r="I180" s="33"/>
      <c r="J180" s="35">
        <v>1.0</v>
      </c>
      <c r="K180" s="35">
        <v>1.0</v>
      </c>
      <c r="L180" s="33"/>
      <c r="M180" s="24"/>
      <c r="O180" s="33"/>
      <c r="P180" s="33">
        <v>80.0</v>
      </c>
      <c r="Q180" s="33">
        <v>80.0</v>
      </c>
      <c r="R180" s="33"/>
      <c r="S180" s="24"/>
      <c r="T180" s="52"/>
      <c r="Z180" s="13">
        <f t="shared" si="23"/>
        <v>0</v>
      </c>
    </row>
    <row r="181">
      <c r="A181" s="38" t="s">
        <v>108</v>
      </c>
      <c r="I181" s="46">
        <v>1.0</v>
      </c>
      <c r="J181" s="46">
        <v>1.0</v>
      </c>
      <c r="K181" s="49">
        <v>1.0</v>
      </c>
      <c r="L181" s="46">
        <v>1.0</v>
      </c>
      <c r="M181" s="31"/>
      <c r="O181" s="31">
        <v>80.0</v>
      </c>
      <c r="P181" s="31">
        <v>80.0</v>
      </c>
      <c r="Q181" s="31">
        <v>80.0</v>
      </c>
      <c r="R181" s="31">
        <v>80.0</v>
      </c>
      <c r="S181" s="31"/>
      <c r="T181" s="53">
        <f>O181+P181+Q181+R181+S181+O182+P182+Q182+R182+S182</f>
        <v>560</v>
      </c>
      <c r="U181" s="4">
        <v>5.0</v>
      </c>
      <c r="Z181" s="13">
        <f t="shared" si="23"/>
        <v>565000</v>
      </c>
      <c r="AA181" s="13">
        <f>Z181+Z182</f>
        <v>637000</v>
      </c>
    </row>
    <row r="182">
      <c r="A182" s="27"/>
      <c r="I182" s="35">
        <v>1.0</v>
      </c>
      <c r="J182" s="33"/>
      <c r="K182" s="35">
        <v>1.0</v>
      </c>
      <c r="L182" s="35">
        <v>1.0</v>
      </c>
      <c r="M182" s="33"/>
      <c r="O182" s="33">
        <v>80.0</v>
      </c>
      <c r="P182" s="33"/>
      <c r="Q182" s="33">
        <v>80.0</v>
      </c>
      <c r="R182" s="33">
        <v>80.0</v>
      </c>
      <c r="S182" s="24"/>
      <c r="T182" s="53"/>
      <c r="U182" s="13">
        <f>(H217-$V$177)*500</f>
        <v>5500</v>
      </c>
      <c r="V182" s="13">
        <f>(L217-$V$177)*500</f>
        <v>22500</v>
      </c>
      <c r="W182" s="13">
        <f>(P217-$V$177)*500</f>
        <v>24500</v>
      </c>
      <c r="X182" s="13">
        <f>(T217-$V$177)*500</f>
        <v>19500</v>
      </c>
      <c r="Z182" s="13">
        <f>sum(T182:Y182)</f>
        <v>72000</v>
      </c>
    </row>
    <row r="183">
      <c r="A183" s="38" t="s">
        <v>57</v>
      </c>
      <c r="I183" s="23"/>
      <c r="J183" s="23"/>
      <c r="K183" s="31"/>
      <c r="L183" s="23"/>
      <c r="M183" s="31"/>
      <c r="O183" s="23"/>
      <c r="P183" s="23"/>
      <c r="Q183" s="31"/>
      <c r="R183" s="23"/>
      <c r="S183" s="31"/>
      <c r="T183" s="54">
        <f>O183+P183+Q183+R183+S183+O184+P184+Q184+R184+S184</f>
        <v>80</v>
      </c>
      <c r="Z183" s="13">
        <f>sum(T183:Y183)*1000</f>
        <v>80000</v>
      </c>
      <c r="AA183" s="13">
        <f>Z183+Z184</f>
        <v>80000</v>
      </c>
    </row>
    <row r="184">
      <c r="A184" s="27"/>
      <c r="I184" s="33"/>
      <c r="J184" s="33"/>
      <c r="K184" s="35">
        <v>1.0</v>
      </c>
      <c r="L184" s="33"/>
      <c r="M184" s="24"/>
      <c r="O184" s="33"/>
      <c r="P184" s="33"/>
      <c r="Q184" s="33">
        <v>80.0</v>
      </c>
      <c r="R184" s="33"/>
      <c r="S184" s="24"/>
      <c r="T184" s="54"/>
      <c r="Z184" s="13">
        <f>sum(T184:Y184)</f>
        <v>0</v>
      </c>
    </row>
    <row r="185">
      <c r="A185" s="38" t="s">
        <v>109</v>
      </c>
      <c r="I185" s="23"/>
      <c r="J185" s="31"/>
      <c r="K185" s="31"/>
      <c r="L185" s="31"/>
      <c r="M185" s="31"/>
      <c r="N185" s="4" t="s">
        <v>110</v>
      </c>
      <c r="O185" s="23"/>
      <c r="P185" s="31"/>
      <c r="Q185" s="31"/>
      <c r="R185" s="31"/>
      <c r="S185" s="31"/>
      <c r="T185" s="13">
        <f>O185+P185+Q185+R185+S185+O186+P186+Q186+R186+S186</f>
        <v>0</v>
      </c>
      <c r="Z185" s="13">
        <f>sum(T185:Y185)*1000</f>
        <v>0</v>
      </c>
      <c r="AA185" s="13">
        <f>Z185+Z186</f>
        <v>0</v>
      </c>
    </row>
    <row r="186">
      <c r="A186" s="27"/>
      <c r="I186" s="24"/>
      <c r="J186" s="33"/>
      <c r="K186" s="33"/>
      <c r="L186" s="33"/>
      <c r="M186" s="24"/>
      <c r="O186" s="24"/>
      <c r="P186" s="33"/>
      <c r="Q186" s="33"/>
      <c r="R186" s="33"/>
      <c r="S186" s="24"/>
      <c r="Z186" s="13">
        <f>sum(T186:Y186)</f>
        <v>0</v>
      </c>
    </row>
    <row r="187">
      <c r="A187" s="38" t="s">
        <v>111</v>
      </c>
      <c r="I187" s="46">
        <v>1.0</v>
      </c>
      <c r="J187" s="31"/>
      <c r="K187" s="31"/>
      <c r="L187" s="46">
        <v>1.0</v>
      </c>
      <c r="M187" s="31"/>
      <c r="O187" s="31">
        <v>80.0</v>
      </c>
      <c r="P187" s="31"/>
      <c r="Q187" s="31"/>
      <c r="R187" s="31">
        <v>80.0</v>
      </c>
      <c r="S187" s="31"/>
      <c r="T187" s="56">
        <f>O187+P187+Q187+R187+S187+O188+P188+Q188+R188+S188</f>
        <v>160</v>
      </c>
      <c r="U187" s="4">
        <v>5.0</v>
      </c>
      <c r="Z187" s="13">
        <f>sum(T187:Y187)*1000</f>
        <v>165000</v>
      </c>
      <c r="AA187" s="13">
        <f>Z187+Z188</f>
        <v>193500</v>
      </c>
    </row>
    <row r="188">
      <c r="A188" s="27"/>
      <c r="I188" s="33"/>
      <c r="J188" s="33"/>
      <c r="K188" s="33"/>
      <c r="L188" s="33"/>
      <c r="M188" s="33"/>
      <c r="O188" s="33"/>
      <c r="P188" s="33"/>
      <c r="Q188" s="33"/>
      <c r="R188" s="33"/>
      <c r="S188" s="24"/>
      <c r="T188" s="56"/>
      <c r="U188" s="13">
        <f>(H216-$V$177)*500</f>
        <v>11500</v>
      </c>
      <c r="X188" s="13">
        <f>(T216-$V$177)*500</f>
        <v>17000</v>
      </c>
      <c r="Z188" s="13">
        <f>sum(T188:Y188)</f>
        <v>28500</v>
      </c>
    </row>
    <row r="189">
      <c r="A189" s="38" t="s">
        <v>60</v>
      </c>
      <c r="I189" s="31">
        <v>1.0</v>
      </c>
      <c r="J189" s="23"/>
      <c r="K189" s="31"/>
      <c r="L189" s="31">
        <v>1.0</v>
      </c>
      <c r="M189" s="31"/>
      <c r="O189" s="31">
        <v>70.0</v>
      </c>
      <c r="P189" s="23"/>
      <c r="Q189" s="31"/>
      <c r="R189" s="31">
        <v>70.0</v>
      </c>
      <c r="S189" s="31"/>
      <c r="T189" s="53">
        <f>O189+P189+Q189+R189+S189+O190+P190+Q190+R190+S190+N190</f>
        <v>140</v>
      </c>
      <c r="U189" s="4">
        <v>50.0</v>
      </c>
      <c r="Z189" s="13">
        <f>sum(T189:Y189)*1000</f>
        <v>190000</v>
      </c>
      <c r="AA189" s="13">
        <f>Z189+Z190</f>
        <v>190000</v>
      </c>
    </row>
    <row r="190">
      <c r="A190" s="27"/>
      <c r="I190" s="33"/>
      <c r="J190" s="33"/>
      <c r="K190" s="33"/>
      <c r="L190" s="33"/>
      <c r="M190" s="33"/>
      <c r="O190" s="33"/>
      <c r="P190" s="33"/>
      <c r="Q190" s="33"/>
      <c r="R190" s="33"/>
      <c r="S190" s="33"/>
      <c r="T190" s="53"/>
      <c r="Z190" s="13">
        <f>sum(T190:Y190)</f>
        <v>0</v>
      </c>
    </row>
    <row r="191">
      <c r="A191" s="38" t="s">
        <v>141</v>
      </c>
      <c r="I191" s="23"/>
      <c r="J191" s="31"/>
      <c r="K191" s="55">
        <v>1.0</v>
      </c>
      <c r="L191" s="45">
        <v>1.0</v>
      </c>
      <c r="M191" s="32"/>
      <c r="N191" s="4" t="s">
        <v>112</v>
      </c>
      <c r="O191" s="23"/>
      <c r="P191" s="31"/>
      <c r="Q191" s="31"/>
      <c r="R191" s="31">
        <v>50.0</v>
      </c>
      <c r="S191" s="32"/>
      <c r="T191" s="13">
        <f>O191+P191+Q191+R191+S191+O192+P192+Q192+R192+S192</f>
        <v>50</v>
      </c>
      <c r="Z191" s="13">
        <f>sum(T191:Y191)*1000</f>
        <v>50000</v>
      </c>
      <c r="AA191" s="68">
        <f>Z191+Z192</f>
        <v>50000</v>
      </c>
      <c r="AB191" s="68"/>
    </row>
    <row r="192">
      <c r="A192" s="27"/>
      <c r="I192" s="33"/>
      <c r="J192" s="33"/>
      <c r="K192" s="33"/>
      <c r="L192" s="33"/>
      <c r="M192" s="24"/>
      <c r="O192" s="33"/>
      <c r="P192" s="33"/>
      <c r="Q192" s="33"/>
      <c r="R192" s="33"/>
      <c r="S192" s="33"/>
      <c r="Z192" s="13">
        <f>sum(T192:Y192)</f>
        <v>0</v>
      </c>
      <c r="AB192" s="68"/>
    </row>
    <row r="193">
      <c r="A193" s="38" t="s">
        <v>142</v>
      </c>
      <c r="I193" s="23"/>
      <c r="J193" s="23"/>
      <c r="K193" s="55">
        <v>1.0</v>
      </c>
      <c r="L193" s="45">
        <v>1.0</v>
      </c>
      <c r="M193" s="46">
        <v>1.0</v>
      </c>
      <c r="O193" s="23"/>
      <c r="P193" s="23"/>
      <c r="Q193" s="31"/>
      <c r="R193" s="31">
        <v>50.0</v>
      </c>
      <c r="S193" s="31">
        <v>80.0</v>
      </c>
      <c r="T193" s="53">
        <f>O193+P193+Q193+R193+S193+O194+P194+Q194+R194+S194</f>
        <v>130</v>
      </c>
      <c r="Z193" s="13">
        <f>sum(T193:Y193)*1000</f>
        <v>130000</v>
      </c>
      <c r="AA193" s="68">
        <f>Z193+Z194</f>
        <v>143500</v>
      </c>
      <c r="AB193" s="68"/>
    </row>
    <row r="194">
      <c r="A194" s="27"/>
      <c r="I194" s="33"/>
      <c r="J194" s="33"/>
      <c r="K194" s="33"/>
      <c r="L194" s="33"/>
      <c r="M194" s="24"/>
      <c r="O194" s="33"/>
      <c r="P194" s="33"/>
      <c r="Q194" s="33"/>
      <c r="R194" s="33"/>
      <c r="S194" s="24"/>
      <c r="T194" s="53"/>
      <c r="Y194" s="13">
        <f>(X217-$V$177)*500</f>
        <v>13500</v>
      </c>
      <c r="Z194" s="13">
        <f>sum(T194:Y194)</f>
        <v>13500</v>
      </c>
      <c r="AB194" s="68"/>
    </row>
    <row r="195">
      <c r="A195" s="38" t="s">
        <v>130</v>
      </c>
      <c r="I195" s="46">
        <v>1.0</v>
      </c>
      <c r="J195" s="46">
        <v>1.0</v>
      </c>
      <c r="K195" s="23">
        <v>1.0</v>
      </c>
      <c r="L195" s="23"/>
      <c r="M195" s="32"/>
      <c r="O195" s="31">
        <v>80.0</v>
      </c>
      <c r="P195" s="31">
        <v>80.0</v>
      </c>
      <c r="Q195" s="31">
        <v>70.0</v>
      </c>
      <c r="R195" s="23"/>
      <c r="S195" s="32"/>
      <c r="T195" s="60">
        <f>O195+P195+Q195+R195+S195+O196+P196+Q196+R196+S196+N196</f>
        <v>230</v>
      </c>
      <c r="Z195" s="13">
        <f>sum(T195:Y195)*1000</f>
        <v>230000</v>
      </c>
      <c r="AA195" s="13">
        <f>Z195+Z196</f>
        <v>253000</v>
      </c>
    </row>
    <row r="196">
      <c r="A196" s="27"/>
      <c r="I196" s="24"/>
      <c r="J196" s="33"/>
      <c r="K196" s="33"/>
      <c r="L196" s="33"/>
      <c r="M196" s="24"/>
      <c r="O196" s="24"/>
      <c r="P196" s="33"/>
      <c r="Q196" s="33"/>
      <c r="R196" s="33"/>
      <c r="S196" s="24"/>
      <c r="U196" s="13">
        <f>(H218-$V$177)*500</f>
        <v>5000</v>
      </c>
      <c r="V196" s="13">
        <f>(L216-$V$177)*500</f>
        <v>18000</v>
      </c>
      <c r="Z196" s="13">
        <f>sum(T196:Y196)</f>
        <v>23000</v>
      </c>
    </row>
    <row r="197">
      <c r="A197" s="50" t="s">
        <v>73</v>
      </c>
      <c r="I197" s="31"/>
      <c r="J197" s="31"/>
      <c r="K197" s="46">
        <v>1.0</v>
      </c>
      <c r="L197" s="31"/>
      <c r="M197" s="31"/>
      <c r="O197" s="31"/>
      <c r="P197" s="31"/>
      <c r="Q197" s="31">
        <v>80.0</v>
      </c>
      <c r="R197" s="23"/>
      <c r="S197" s="31"/>
      <c r="T197" s="52">
        <f>O197+P197+Q197+R197+S197+O198+P198+Q198+R198+S198</f>
        <v>240</v>
      </c>
      <c r="Z197" s="13">
        <f>sum(T197:Y197)*1000</f>
        <v>240000</v>
      </c>
      <c r="AA197" s="13">
        <f>Z197+Z198</f>
        <v>255500</v>
      </c>
    </row>
    <row r="198">
      <c r="A198" s="27"/>
      <c r="I198" s="33"/>
      <c r="J198" s="35">
        <v>1.0</v>
      </c>
      <c r="K198" s="35">
        <v>1.0</v>
      </c>
      <c r="L198" s="33"/>
      <c r="M198" s="24"/>
      <c r="O198" s="33"/>
      <c r="P198" s="33">
        <v>80.0</v>
      </c>
      <c r="Q198" s="33">
        <v>80.0</v>
      </c>
      <c r="R198" s="33"/>
      <c r="S198" s="24"/>
      <c r="T198" s="52"/>
      <c r="W198" s="13">
        <f>(P216-$V$177)*500</f>
        <v>15500</v>
      </c>
      <c r="Z198" s="13">
        <f>sum(T198:Y198)</f>
        <v>15500</v>
      </c>
    </row>
    <row r="199">
      <c r="A199" s="51" t="s">
        <v>82</v>
      </c>
      <c r="I199" s="31">
        <v>1.0</v>
      </c>
      <c r="J199" s="31">
        <v>1.0</v>
      </c>
      <c r="K199" s="32">
        <v>1.0</v>
      </c>
      <c r="L199" s="31">
        <v>1.0</v>
      </c>
      <c r="M199" s="31">
        <v>1.0</v>
      </c>
      <c r="O199" s="31">
        <v>70.0</v>
      </c>
      <c r="P199" s="31">
        <v>70.0</v>
      </c>
      <c r="Q199" s="31">
        <v>70.0</v>
      </c>
      <c r="R199" s="31">
        <v>70.0</v>
      </c>
      <c r="S199" s="31">
        <v>70.0</v>
      </c>
      <c r="T199" s="54">
        <f>O199+P199+Q199+R199+S199+O200+P200+Q200+R200+S200</f>
        <v>500</v>
      </c>
      <c r="U199" s="4">
        <v>50.0</v>
      </c>
      <c r="V199" s="4">
        <v>50.0</v>
      </c>
      <c r="W199" s="4">
        <v>50.0</v>
      </c>
      <c r="Z199" s="13">
        <f>sum(T199:Y199)*1000</f>
        <v>650000</v>
      </c>
      <c r="AA199" s="13">
        <f>Z199+Z200</f>
        <v>740500</v>
      </c>
    </row>
    <row r="200">
      <c r="A200" s="27"/>
      <c r="I200" s="33"/>
      <c r="J200" s="33"/>
      <c r="K200" s="35">
        <v>1.0</v>
      </c>
      <c r="L200" s="33">
        <v>1.0</v>
      </c>
      <c r="M200" s="33"/>
      <c r="O200" s="33"/>
      <c r="P200" s="33"/>
      <c r="Q200" s="33">
        <v>80.0</v>
      </c>
      <c r="R200" s="33">
        <v>70.0</v>
      </c>
      <c r="S200" s="33"/>
      <c r="T200" s="54"/>
      <c r="U200" s="13">
        <f>(H215-$V$177)*500</f>
        <v>20000</v>
      </c>
      <c r="V200" s="13">
        <f>(L215-$V$177)*500</f>
        <v>23000</v>
      </c>
      <c r="W200" s="13">
        <f>(P215-$V$177)*500</f>
        <v>23000</v>
      </c>
      <c r="X200" s="13">
        <f>(T215-$V$177)*500</f>
        <v>24500</v>
      </c>
      <c r="Z200" s="13">
        <f>sum(T200:Y200)</f>
        <v>90500</v>
      </c>
    </row>
    <row r="201">
      <c r="A201" s="51" t="s">
        <v>143</v>
      </c>
      <c r="I201" s="31"/>
      <c r="J201" s="31"/>
      <c r="K201" s="55">
        <v>1.0</v>
      </c>
      <c r="L201" s="45">
        <v>1.0</v>
      </c>
      <c r="M201" s="31"/>
      <c r="O201" s="31"/>
      <c r="P201" s="31"/>
      <c r="Q201" s="31"/>
      <c r="R201" s="31">
        <v>50.0</v>
      </c>
      <c r="S201" s="31"/>
      <c r="T201" s="60">
        <f>O201+P201+Q201+R201+S201+O202+P202+Q202+R202+S202+N202</f>
        <v>50</v>
      </c>
      <c r="Z201" s="13">
        <f>sum(T201:Y201)*1000</f>
        <v>50000</v>
      </c>
      <c r="AA201" s="68">
        <f>Z201+Z202</f>
        <v>50000</v>
      </c>
      <c r="AB201" s="68"/>
    </row>
    <row r="202">
      <c r="A202" s="27"/>
      <c r="I202" s="33"/>
      <c r="J202" s="33"/>
      <c r="K202" s="33"/>
      <c r="L202" s="33"/>
      <c r="M202" s="33"/>
      <c r="O202" s="33"/>
      <c r="P202" s="33"/>
      <c r="Q202" s="33"/>
      <c r="R202" s="33"/>
      <c r="S202" s="33"/>
      <c r="Z202" s="13">
        <f>sum(T202:Y202)</f>
        <v>0</v>
      </c>
      <c r="AB202" s="68"/>
    </row>
    <row r="203">
      <c r="A203" s="51" t="s">
        <v>86</v>
      </c>
      <c r="I203" s="31"/>
      <c r="J203" s="46">
        <v>1.0</v>
      </c>
      <c r="K203" s="49">
        <v>1.0</v>
      </c>
      <c r="L203" s="31"/>
      <c r="M203" s="46">
        <v>1.0</v>
      </c>
      <c r="N203" s="4" t="s">
        <v>80</v>
      </c>
      <c r="O203" s="31"/>
      <c r="P203" s="31">
        <v>80.0</v>
      </c>
      <c r="Q203" s="31">
        <v>80.0</v>
      </c>
      <c r="R203" s="31"/>
      <c r="S203" s="31">
        <v>80.0</v>
      </c>
      <c r="T203" s="58">
        <f>O203+P203+Q203+R203+S203+O204+P204+Q204+R204+S204</f>
        <v>320</v>
      </c>
      <c r="U203" s="4">
        <v>50.0</v>
      </c>
      <c r="V203" s="4">
        <v>50.0</v>
      </c>
      <c r="Z203" s="13">
        <f>sum(T203:Y203)*1000</f>
        <v>420000</v>
      </c>
      <c r="AA203" s="13">
        <f>Z203+Z204</f>
        <v>441500</v>
      </c>
    </row>
    <row r="204">
      <c r="A204" s="27"/>
      <c r="I204" s="33"/>
      <c r="J204" s="33"/>
      <c r="K204" s="35">
        <v>1.0</v>
      </c>
      <c r="L204" s="33"/>
      <c r="M204" s="33"/>
      <c r="O204" s="33"/>
      <c r="P204" s="33"/>
      <c r="Q204" s="33">
        <v>80.0</v>
      </c>
      <c r="R204" s="33"/>
      <c r="S204" s="33"/>
      <c r="T204" s="58"/>
      <c r="U204" s="13">
        <f>(L218-$V$177)*500</f>
        <v>2000</v>
      </c>
      <c r="V204" s="13">
        <f>(P218-$V$177)*500</f>
        <v>5500</v>
      </c>
      <c r="W204" s="13">
        <f>(T218-$V$177)*500</f>
        <v>6500</v>
      </c>
      <c r="Y204" s="13">
        <f>(X219-$V$177)*500</f>
        <v>7500</v>
      </c>
      <c r="Z204" s="13">
        <f>sum(T204:Y204)</f>
        <v>21500</v>
      </c>
    </row>
    <row r="205">
      <c r="A205" s="51" t="s">
        <v>144</v>
      </c>
      <c r="I205" s="31"/>
      <c r="J205" s="31"/>
      <c r="K205" s="32"/>
      <c r="L205" s="45">
        <v>1.0</v>
      </c>
      <c r="M205" s="31"/>
      <c r="O205" s="31"/>
      <c r="P205" s="31"/>
      <c r="Q205" s="32"/>
      <c r="R205" s="31"/>
      <c r="S205" s="31"/>
      <c r="T205" s="60">
        <f>O205+P205+Q205+R205+S205+O206+P206+Q206+R206+S206+N206</f>
        <v>80</v>
      </c>
      <c r="Z205" s="13">
        <f>sum(T205:Y205)*1000</f>
        <v>80000</v>
      </c>
      <c r="AA205" s="69">
        <f>Z205+Z206</f>
        <v>80000</v>
      </c>
      <c r="AB205" s="69"/>
    </row>
    <row r="206">
      <c r="A206" s="27"/>
      <c r="I206" s="33"/>
      <c r="J206" s="33"/>
      <c r="K206" s="47">
        <v>1.0</v>
      </c>
      <c r="L206" s="35">
        <v>1.0</v>
      </c>
      <c r="M206" s="33"/>
      <c r="O206" s="33"/>
      <c r="P206" s="33"/>
      <c r="Q206" s="33"/>
      <c r="R206" s="33">
        <v>80.0</v>
      </c>
      <c r="S206" s="33"/>
      <c r="Z206" s="13">
        <f>sum(T206:Y206)</f>
        <v>0</v>
      </c>
      <c r="AB206" s="69"/>
    </row>
    <row r="207">
      <c r="A207" s="51" t="s">
        <v>145</v>
      </c>
      <c r="I207" s="31"/>
      <c r="J207" s="31"/>
      <c r="K207" s="32"/>
      <c r="L207" s="55">
        <v>1.0</v>
      </c>
      <c r="M207" s="32"/>
      <c r="O207" s="31"/>
      <c r="P207" s="31"/>
      <c r="Q207" s="32"/>
      <c r="R207" s="31"/>
      <c r="S207" s="31"/>
      <c r="T207" s="60">
        <f>O207+P207+Q207+R207+S207+O208+P208+Q208+R208+S208+N208</f>
        <v>0</v>
      </c>
      <c r="Z207" s="13">
        <f>sum(T207:Y207)*1000</f>
        <v>0</v>
      </c>
      <c r="AA207" s="13">
        <f>Z207+Z208</f>
        <v>0</v>
      </c>
    </row>
    <row r="208">
      <c r="A208" s="27"/>
      <c r="I208" s="33"/>
      <c r="J208" s="33"/>
      <c r="K208" s="33"/>
      <c r="L208" s="33"/>
      <c r="M208" s="33"/>
      <c r="O208" s="33"/>
      <c r="P208" s="33"/>
      <c r="Q208" s="33"/>
      <c r="R208" s="33"/>
      <c r="S208" s="33"/>
      <c r="Z208" s="13">
        <f>sum(T208:Y208)</f>
        <v>0</v>
      </c>
    </row>
    <row r="209">
      <c r="H209" s="4" t="s">
        <v>113</v>
      </c>
      <c r="I209" s="13">
        <f t="shared" ref="I209:M209" si="24">I179+I181+I183+I185+I187+I189+I191+I193+I195+I197+I199+I201+I203+I205+I207</f>
        <v>5</v>
      </c>
      <c r="J209" s="13">
        <f t="shared" si="24"/>
        <v>4</v>
      </c>
      <c r="K209" s="13">
        <f t="shared" si="24"/>
        <v>9</v>
      </c>
      <c r="L209" s="13">
        <f t="shared" si="24"/>
        <v>9</v>
      </c>
      <c r="M209" s="13">
        <f t="shared" si="24"/>
        <v>3</v>
      </c>
    </row>
    <row r="210">
      <c r="H210" s="4" t="s">
        <v>114</v>
      </c>
      <c r="I210" s="13">
        <f t="shared" ref="I210:M210" si="25">I180+I182+I184+I186+I188+I190+I192+I194+I196+I198+I200+I202+I204+I206+I208</f>
        <v>1</v>
      </c>
      <c r="J210" s="13">
        <f t="shared" si="25"/>
        <v>2</v>
      </c>
      <c r="K210" s="13">
        <f t="shared" si="25"/>
        <v>7</v>
      </c>
      <c r="L210" s="13">
        <f t="shared" si="25"/>
        <v>3</v>
      </c>
      <c r="M210" s="13">
        <f t="shared" si="25"/>
        <v>0</v>
      </c>
    </row>
    <row r="211">
      <c r="H211" s="61" t="s">
        <v>46</v>
      </c>
      <c r="L211" s="62" t="s">
        <v>47</v>
      </c>
      <c r="P211" s="63" t="s">
        <v>48</v>
      </c>
      <c r="T211" s="64" t="s">
        <v>49</v>
      </c>
      <c r="X211" s="65" t="s">
        <v>50</v>
      </c>
      <c r="AB211" s="65"/>
    </row>
    <row r="212">
      <c r="H212" s="2" t="s">
        <v>54</v>
      </c>
      <c r="J212" s="2" t="s">
        <v>55</v>
      </c>
      <c r="L212" s="2" t="s">
        <v>54</v>
      </c>
      <c r="N212" s="2" t="s">
        <v>55</v>
      </c>
      <c r="P212" s="2" t="s">
        <v>54</v>
      </c>
      <c r="R212" s="2" t="s">
        <v>55</v>
      </c>
      <c r="T212" s="2" t="s">
        <v>54</v>
      </c>
      <c r="V212" s="2" t="s">
        <v>55</v>
      </c>
      <c r="X212" s="2" t="s">
        <v>54</v>
      </c>
      <c r="Z212" s="2" t="s">
        <v>55</v>
      </c>
      <c r="AB212" s="2"/>
    </row>
    <row r="213">
      <c r="A213" s="4" t="s">
        <v>93</v>
      </c>
      <c r="H213" s="13">
        <f>'Nhập hàng New'!J352</f>
        <v>55</v>
      </c>
      <c r="I213" s="4" t="s">
        <v>118</v>
      </c>
      <c r="L213" s="13">
        <f>'Nhập hàng New'!J383</f>
        <v>35</v>
      </c>
      <c r="M213" s="4" t="s">
        <v>146</v>
      </c>
      <c r="P213" s="13">
        <f>'Nhập hàng New'!J415</f>
        <v>48</v>
      </c>
      <c r="Q213" s="4" t="s">
        <v>96</v>
      </c>
      <c r="S213" s="59"/>
      <c r="T213" s="13">
        <f>'Nhập hàng New'!J448</f>
        <v>47</v>
      </c>
      <c r="U213" s="4" t="s">
        <v>118</v>
      </c>
    </row>
    <row r="214">
      <c r="A214" s="4" t="s">
        <v>79</v>
      </c>
      <c r="H214" s="66">
        <f>'Nhập hàng New'!K352</f>
        <v>0</v>
      </c>
      <c r="L214" s="66">
        <f>'Nhập hàng New'!K383</f>
        <v>0</v>
      </c>
      <c r="P214" s="66">
        <f>'Nhập hàng New'!K415</f>
        <v>25</v>
      </c>
      <c r="Q214" s="4" t="s">
        <v>138</v>
      </c>
      <c r="S214" s="59"/>
      <c r="T214" s="13">
        <f>'Nhập hàng New'!K448</f>
        <v>32</v>
      </c>
      <c r="U214" s="4" t="s">
        <v>147</v>
      </c>
    </row>
    <row r="215">
      <c r="A215" s="4" t="s">
        <v>89</v>
      </c>
      <c r="H215" s="13">
        <f>'Nhập hàng New'!L352</f>
        <v>90</v>
      </c>
      <c r="I215" s="4" t="s">
        <v>92</v>
      </c>
      <c r="L215" s="13">
        <f>'Nhập hàng New'!L383</f>
        <v>96</v>
      </c>
      <c r="M215" s="4" t="s">
        <v>92</v>
      </c>
      <c r="O215" s="4" t="s">
        <v>96</v>
      </c>
      <c r="P215" s="13">
        <f>'Nhập hàng New'!L415</f>
        <v>96</v>
      </c>
      <c r="Q215" s="4" t="s">
        <v>148</v>
      </c>
      <c r="S215" s="59" t="s">
        <v>96</v>
      </c>
      <c r="T215" s="13">
        <f>'Nhập hàng New'!L448</f>
        <v>99</v>
      </c>
      <c r="U215" s="4" t="s">
        <v>149</v>
      </c>
      <c r="W215" s="59" t="s">
        <v>132</v>
      </c>
      <c r="X215" s="13">
        <f>'Nhập hàng New'!L481</f>
        <v>82</v>
      </c>
      <c r="Y215" s="59" t="s">
        <v>92</v>
      </c>
    </row>
    <row r="216">
      <c r="A216" s="4" t="s">
        <v>105</v>
      </c>
      <c r="H216" s="13">
        <f>'Nhập hàng New'!M352</f>
        <v>73</v>
      </c>
      <c r="I216" s="4" t="s">
        <v>122</v>
      </c>
      <c r="L216" s="13">
        <f>'Nhập hàng New'!M383</f>
        <v>86</v>
      </c>
      <c r="M216" s="4" t="s">
        <v>136</v>
      </c>
      <c r="O216" s="4" t="s">
        <v>150</v>
      </c>
      <c r="P216" s="13">
        <f>'Nhập hàng New'!M415</f>
        <v>81</v>
      </c>
      <c r="Q216" s="4" t="s">
        <v>151</v>
      </c>
      <c r="S216" s="59" t="s">
        <v>121</v>
      </c>
      <c r="T216" s="13">
        <f>'Nhập hàng New'!M448</f>
        <v>84</v>
      </c>
      <c r="U216" s="4" t="s">
        <v>122</v>
      </c>
    </row>
    <row r="217">
      <c r="A217" s="4" t="s">
        <v>102</v>
      </c>
      <c r="H217" s="13">
        <f>'Nhập hàng New'!N352</f>
        <v>61</v>
      </c>
      <c r="I217" s="4" t="s">
        <v>134</v>
      </c>
      <c r="K217" s="4" t="s">
        <v>152</v>
      </c>
      <c r="L217" s="13">
        <f>'Nhập hàng New'!N383</f>
        <v>95</v>
      </c>
      <c r="M217" s="4" t="s">
        <v>134</v>
      </c>
      <c r="O217" s="4" t="s">
        <v>124</v>
      </c>
      <c r="P217" s="13">
        <f>'Nhập hàng New'!N415</f>
        <v>99</v>
      </c>
      <c r="Q217" s="4" t="s">
        <v>153</v>
      </c>
      <c r="S217" s="59" t="s">
        <v>124</v>
      </c>
      <c r="T217" s="13">
        <f>'Nhập hàng New'!N448</f>
        <v>89</v>
      </c>
      <c r="U217" s="4" t="s">
        <v>153</v>
      </c>
      <c r="W217" s="59" t="s">
        <v>134</v>
      </c>
      <c r="X217" s="13">
        <f>'Nhập hàng New'!N481</f>
        <v>77</v>
      </c>
      <c r="Y217" s="4" t="s">
        <v>154</v>
      </c>
    </row>
    <row r="218">
      <c r="A218" s="4" t="s">
        <v>128</v>
      </c>
      <c r="H218" s="13">
        <f>'Nhập hàng New'!O352</f>
        <v>60</v>
      </c>
      <c r="I218" s="4" t="s">
        <v>138</v>
      </c>
      <c r="L218" s="13">
        <f>'Nhập hàng New'!O383</f>
        <v>54</v>
      </c>
      <c r="M218" s="4" t="s">
        <v>91</v>
      </c>
      <c r="P218" s="13">
        <f>'Nhập hàng New'!O415</f>
        <v>61</v>
      </c>
      <c r="Q218" s="4" t="s">
        <v>91</v>
      </c>
      <c r="S218" s="59"/>
      <c r="T218" s="13">
        <f>'Nhập hàng New'!O448</f>
        <v>63</v>
      </c>
      <c r="U218" s="4" t="s">
        <v>91</v>
      </c>
      <c r="W218" s="59"/>
    </row>
    <row r="219">
      <c r="A219" s="4" t="s">
        <v>155</v>
      </c>
      <c r="L219" s="13" t="str">
        <f>'Nhập hàng New'!J389</f>
        <v/>
      </c>
      <c r="P219" s="13" t="str">
        <f>'Nhập hàng New'!K420</f>
        <v/>
      </c>
      <c r="T219" s="13">
        <f>'Nhập hàng New'!P448</f>
        <v>55</v>
      </c>
      <c r="U219" s="4" t="s">
        <v>156</v>
      </c>
      <c r="X219" s="13">
        <f>'Nhập hàng New'!Q481</f>
        <v>65</v>
      </c>
      <c r="Y219" s="59" t="s">
        <v>91</v>
      </c>
    </row>
    <row r="220">
      <c r="A220" s="4" t="s">
        <v>157</v>
      </c>
      <c r="L220" s="13" t="str">
        <f>'Nhập hàng New'!J390</f>
        <v/>
      </c>
      <c r="P220" s="13" t="str">
        <f>'Nhập hàng New'!K421</f>
        <v/>
      </c>
      <c r="S220" s="70" t="s">
        <v>158</v>
      </c>
      <c r="T220" s="13">
        <f>'Nhập hàng New'!Q448</f>
        <v>47</v>
      </c>
      <c r="U220" s="4" t="s">
        <v>146</v>
      </c>
      <c r="W220" s="59" t="s">
        <v>159</v>
      </c>
    </row>
    <row r="223">
      <c r="Y223" s="59"/>
    </row>
    <row r="224">
      <c r="Y224" s="59"/>
      <c r="AA224" s="59"/>
      <c r="AB224" s="59"/>
    </row>
    <row r="225">
      <c r="I225" s="26" t="s">
        <v>46</v>
      </c>
      <c r="J225" s="26" t="s">
        <v>47</v>
      </c>
      <c r="K225" s="26" t="s">
        <v>48</v>
      </c>
      <c r="L225" s="26" t="s">
        <v>49</v>
      </c>
      <c r="M225" s="26" t="s">
        <v>50</v>
      </c>
      <c r="O225" s="26" t="s">
        <v>46</v>
      </c>
      <c r="P225" s="26" t="s">
        <v>47</v>
      </c>
      <c r="Q225" s="26" t="s">
        <v>48</v>
      </c>
      <c r="R225" s="26" t="s">
        <v>49</v>
      </c>
      <c r="S225" s="26" t="s">
        <v>50</v>
      </c>
      <c r="V225" s="4">
        <v>50.0</v>
      </c>
      <c r="AA225" s="59"/>
      <c r="AB225" s="2" t="s">
        <v>160</v>
      </c>
    </row>
    <row r="226">
      <c r="I226" s="28">
        <v>46132.0</v>
      </c>
      <c r="J226" s="29">
        <f t="shared" ref="J226:M226" si="26">I226+1</f>
        <v>46133</v>
      </c>
      <c r="K226" s="28">
        <f t="shared" si="26"/>
        <v>46134</v>
      </c>
      <c r="L226" s="29">
        <f t="shared" si="26"/>
        <v>46135</v>
      </c>
      <c r="M226" s="28">
        <f t="shared" si="26"/>
        <v>46136</v>
      </c>
      <c r="O226" s="29">
        <f t="shared" ref="O226:S226" si="27">I226</f>
        <v>46132</v>
      </c>
      <c r="P226" s="29">
        <f t="shared" si="27"/>
        <v>46133</v>
      </c>
      <c r="Q226" s="29">
        <f t="shared" si="27"/>
        <v>46134</v>
      </c>
      <c r="R226" s="29">
        <f t="shared" si="27"/>
        <v>46135</v>
      </c>
      <c r="S226" s="29">
        <f t="shared" si="27"/>
        <v>46136</v>
      </c>
      <c r="Z226" s="2" t="s">
        <v>16</v>
      </c>
      <c r="AB226" s="4">
        <v>200000.0</v>
      </c>
    </row>
    <row r="227">
      <c r="A227" s="38" t="s">
        <v>53</v>
      </c>
      <c r="H227" s="4" t="s">
        <v>107</v>
      </c>
      <c r="I227" s="23"/>
      <c r="J227" s="23"/>
      <c r="K227" s="31">
        <v>1.0</v>
      </c>
      <c r="L227" s="31"/>
      <c r="M227" s="32">
        <v>1.0</v>
      </c>
      <c r="O227" s="23"/>
      <c r="P227" s="23"/>
      <c r="Q227" s="31">
        <v>70.0</v>
      </c>
      <c r="R227" s="23"/>
      <c r="S227" s="32">
        <v>70.0</v>
      </c>
      <c r="T227" s="52">
        <f>O227+P227+Q227+R227+S227+O228+P228+Q228+R228+S228</f>
        <v>380</v>
      </c>
      <c r="U227" s="4">
        <v>2.0</v>
      </c>
      <c r="Z227" s="13">
        <f t="shared" ref="Z227:Z229" si="28">sum(T227:Y227)*1000</f>
        <v>382000</v>
      </c>
      <c r="AA227" s="13">
        <f>Z227+Z228</f>
        <v>382000</v>
      </c>
    </row>
    <row r="228">
      <c r="A228" s="27"/>
      <c r="H228" s="4" t="s">
        <v>88</v>
      </c>
      <c r="I228" s="35">
        <v>1.0</v>
      </c>
      <c r="J228" s="35">
        <v>1.0</v>
      </c>
      <c r="K228" s="33"/>
      <c r="L228" s="35">
        <v>1.0</v>
      </c>
      <c r="M228" s="24"/>
      <c r="O228" s="35">
        <v>80.0</v>
      </c>
      <c r="P228" s="35">
        <v>80.0</v>
      </c>
      <c r="Q228" s="33"/>
      <c r="R228" s="35">
        <v>80.0</v>
      </c>
      <c r="S228" s="24"/>
      <c r="T228" s="52"/>
      <c r="Z228" s="13">
        <f t="shared" si="28"/>
        <v>0</v>
      </c>
    </row>
    <row r="229">
      <c r="A229" s="38" t="s">
        <v>108</v>
      </c>
      <c r="I229" s="46">
        <v>1.0</v>
      </c>
      <c r="J229" s="31"/>
      <c r="K229" s="49">
        <v>1.0</v>
      </c>
      <c r="L229" s="46">
        <v>1.0</v>
      </c>
      <c r="M229" s="31"/>
      <c r="O229" s="46">
        <v>80.0</v>
      </c>
      <c r="P229" s="31"/>
      <c r="Q229" s="46">
        <v>80.0</v>
      </c>
      <c r="R229" s="46">
        <v>80.0</v>
      </c>
      <c r="S229" s="31"/>
      <c r="T229" s="53">
        <f>O229+P229+Q229+R229+S229+O230+P230+Q230+R230+S230</f>
        <v>400</v>
      </c>
      <c r="Z229" s="13">
        <f t="shared" si="28"/>
        <v>400000</v>
      </c>
      <c r="AA229" s="13">
        <f>Z229+Z230</f>
        <v>441000</v>
      </c>
    </row>
    <row r="230">
      <c r="A230" s="27"/>
      <c r="I230" s="33"/>
      <c r="J230" s="33"/>
      <c r="K230" s="35">
        <v>1.0</v>
      </c>
      <c r="L230" s="35">
        <v>1.0</v>
      </c>
      <c r="M230" s="33"/>
      <c r="O230" s="24"/>
      <c r="P230" s="33"/>
      <c r="Q230" s="35">
        <v>80.0</v>
      </c>
      <c r="R230" s="35">
        <v>80.0</v>
      </c>
      <c r="S230" s="24"/>
      <c r="T230" s="53"/>
      <c r="W230" s="13">
        <f>(P264-90)*500</f>
        <v>11000</v>
      </c>
      <c r="X230" s="13">
        <f>(T264-$V$225)*500</f>
        <v>30000</v>
      </c>
      <c r="Z230" s="13">
        <f>sum(T230:Y230)</f>
        <v>41000</v>
      </c>
    </row>
    <row r="231">
      <c r="A231" s="38" t="s">
        <v>57</v>
      </c>
      <c r="I231" s="23"/>
      <c r="J231" s="23"/>
      <c r="K231" s="46">
        <v>1.0</v>
      </c>
      <c r="L231" s="31"/>
      <c r="M231" s="46">
        <v>1.0</v>
      </c>
      <c r="O231" s="23"/>
      <c r="P231" s="23"/>
      <c r="Q231" s="46">
        <v>80.0</v>
      </c>
      <c r="R231" s="23"/>
      <c r="S231" s="46">
        <v>80.0</v>
      </c>
      <c r="T231" s="54">
        <f>O231+P231+Q231+R231+S231+O232+P232+Q232+R232+S232</f>
        <v>320</v>
      </c>
      <c r="Z231" s="13">
        <f>sum(T231:Y231)*1000</f>
        <v>320000</v>
      </c>
      <c r="AA231" s="13">
        <f>Z231+Z232</f>
        <v>353500</v>
      </c>
    </row>
    <row r="232">
      <c r="A232" s="27"/>
      <c r="I232" s="35">
        <v>1.0</v>
      </c>
      <c r="J232" s="35">
        <v>1.0</v>
      </c>
      <c r="K232" s="33"/>
      <c r="L232" s="33"/>
      <c r="M232" s="24"/>
      <c r="O232" s="35">
        <v>80.0</v>
      </c>
      <c r="P232" s="35">
        <v>80.0</v>
      </c>
      <c r="Q232" s="33"/>
      <c r="R232" s="33"/>
      <c r="S232" s="24"/>
      <c r="T232" s="54"/>
      <c r="W232" s="13">
        <f>(P265-$V$225)*500</f>
        <v>18000</v>
      </c>
      <c r="Y232" s="13">
        <f>(X265-$V$225)*500</f>
        <v>15500</v>
      </c>
      <c r="Z232" s="13">
        <f>sum(T232:Y232)</f>
        <v>33500</v>
      </c>
    </row>
    <row r="233">
      <c r="A233" s="38" t="s">
        <v>109</v>
      </c>
      <c r="I233" s="46">
        <v>1.0</v>
      </c>
      <c r="J233" s="31"/>
      <c r="K233" s="31"/>
      <c r="L233" s="31"/>
      <c r="M233" s="31"/>
      <c r="N233" s="4" t="s">
        <v>110</v>
      </c>
      <c r="O233" s="46">
        <v>80.0</v>
      </c>
      <c r="P233" s="31"/>
      <c r="Q233" s="31"/>
      <c r="R233" s="31"/>
      <c r="S233" s="31"/>
      <c r="T233" s="13">
        <f>O233+P233+Q233+R233+S233+O234+P234+Q234+R234+S234</f>
        <v>240</v>
      </c>
      <c r="Z233" s="13">
        <f>sum(T233:Y233)*1000</f>
        <v>240000</v>
      </c>
      <c r="AA233" s="13">
        <f>Z233+Z234</f>
        <v>240000</v>
      </c>
    </row>
    <row r="234">
      <c r="A234" s="27"/>
      <c r="I234" s="24"/>
      <c r="J234" s="35">
        <v>1.0</v>
      </c>
      <c r="K234" s="33"/>
      <c r="L234" s="35">
        <v>1.0</v>
      </c>
      <c r="M234" s="24"/>
      <c r="O234" s="24"/>
      <c r="P234" s="35">
        <v>80.0</v>
      </c>
      <c r="Q234" s="33"/>
      <c r="R234" s="35">
        <v>80.0</v>
      </c>
      <c r="S234" s="24"/>
      <c r="Z234" s="13">
        <f>sum(T234:Y234)</f>
        <v>0</v>
      </c>
    </row>
    <row r="235">
      <c r="A235" s="38" t="s">
        <v>111</v>
      </c>
      <c r="I235" s="46">
        <v>1.0</v>
      </c>
      <c r="J235" s="31"/>
      <c r="K235" s="31"/>
      <c r="L235" s="31"/>
      <c r="M235" s="46">
        <v>1.0</v>
      </c>
      <c r="O235" s="46">
        <v>80.0</v>
      </c>
      <c r="P235" s="31"/>
      <c r="Q235" s="31"/>
      <c r="R235" s="31"/>
      <c r="S235" s="46">
        <v>80.0</v>
      </c>
      <c r="T235" s="56">
        <f>O235+P235+Q235+R235+S235+O236+P236+Q236+R236+S236</f>
        <v>160</v>
      </c>
      <c r="Z235" s="13">
        <f>sum(T235:Y235)*1000</f>
        <v>160000</v>
      </c>
      <c r="AA235" s="13">
        <f>Z235+Z236</f>
        <v>176000</v>
      </c>
    </row>
    <row r="236">
      <c r="A236" s="27"/>
      <c r="I236" s="33"/>
      <c r="J236" s="33"/>
      <c r="K236" s="33"/>
      <c r="L236" s="33"/>
      <c r="M236" s="33"/>
      <c r="O236" s="33"/>
      <c r="P236" s="33"/>
      <c r="Q236" s="33"/>
      <c r="R236" s="33"/>
      <c r="S236" s="24"/>
      <c r="T236" s="56"/>
      <c r="U236" s="13">
        <f>(H265-$V$225)*500</f>
        <v>16000</v>
      </c>
      <c r="Z236" s="13">
        <f>sum(T236:Y236)</f>
        <v>16000</v>
      </c>
    </row>
    <row r="237">
      <c r="A237" s="38" t="s">
        <v>60</v>
      </c>
      <c r="I237" s="31">
        <v>1.0</v>
      </c>
      <c r="J237" s="23"/>
      <c r="K237" s="31"/>
      <c r="L237" s="31"/>
      <c r="M237" s="31"/>
      <c r="O237" s="31">
        <v>70.0</v>
      </c>
      <c r="P237" s="23"/>
      <c r="Q237" s="31"/>
      <c r="R237" s="31"/>
      <c r="S237" s="31"/>
      <c r="T237" s="53">
        <f>O237+P237+Q237+R237+S237+O238+P238+Q238+R238+S238+N238</f>
        <v>70</v>
      </c>
      <c r="U237" s="4">
        <v>50.0</v>
      </c>
      <c r="Z237" s="13">
        <f>sum(T237:Y237)*1000</f>
        <v>120000</v>
      </c>
      <c r="AA237" s="13">
        <f>Z237+Z238</f>
        <v>120000</v>
      </c>
    </row>
    <row r="238">
      <c r="A238" s="27"/>
      <c r="I238" s="33"/>
      <c r="J238" s="33"/>
      <c r="K238" s="33"/>
      <c r="L238" s="33"/>
      <c r="M238" s="33"/>
      <c r="O238" s="33"/>
      <c r="P238" s="33"/>
      <c r="Q238" s="33"/>
      <c r="R238" s="33"/>
      <c r="S238" s="33"/>
      <c r="T238" s="53"/>
      <c r="Z238" s="13">
        <f>sum(T238:Y238)</f>
        <v>0</v>
      </c>
    </row>
    <row r="239">
      <c r="A239" s="38" t="s">
        <v>141</v>
      </c>
      <c r="I239" s="45">
        <v>1.0</v>
      </c>
      <c r="J239" s="31">
        <v>1.0</v>
      </c>
      <c r="K239" s="31">
        <v>1.0</v>
      </c>
      <c r="L239" s="31"/>
      <c r="M239" s="31"/>
      <c r="N239" s="4" t="s">
        <v>112</v>
      </c>
      <c r="O239" s="31">
        <v>50.0</v>
      </c>
      <c r="P239" s="31">
        <v>70.0</v>
      </c>
      <c r="Q239" s="31">
        <v>70.0</v>
      </c>
      <c r="R239" s="31"/>
      <c r="S239" s="32"/>
      <c r="T239" s="13">
        <f>O239+P239+Q239+R239+S239+O240+P240+Q240+R240+S240</f>
        <v>190</v>
      </c>
      <c r="V239" s="4">
        <v>50.0</v>
      </c>
      <c r="W239" s="4">
        <v>50.0</v>
      </c>
      <c r="X239" s="4">
        <v>50.0</v>
      </c>
      <c r="Y239" s="4">
        <v>50.0</v>
      </c>
      <c r="Z239" s="13">
        <f>sum(T239:Y239)*1000</f>
        <v>390000</v>
      </c>
      <c r="AA239" s="13">
        <f>Z239+Z240+AA191</f>
        <v>440000</v>
      </c>
    </row>
    <row r="240">
      <c r="A240" s="27"/>
      <c r="I240" s="33"/>
      <c r="J240" s="33"/>
      <c r="K240" s="33"/>
      <c r="L240" s="33"/>
      <c r="M240" s="24"/>
      <c r="O240" s="33"/>
      <c r="P240" s="33"/>
      <c r="Q240" s="33"/>
      <c r="R240" s="33"/>
      <c r="S240" s="24"/>
    </row>
    <row r="241">
      <c r="A241" s="38" t="s">
        <v>142</v>
      </c>
      <c r="I241" s="46">
        <v>1.0</v>
      </c>
      <c r="J241" s="46">
        <v>1.0</v>
      </c>
      <c r="K241" s="46">
        <v>1.0</v>
      </c>
      <c r="L241" s="31"/>
      <c r="M241" s="46">
        <v>1.0</v>
      </c>
      <c r="O241" s="46">
        <v>80.0</v>
      </c>
      <c r="P241" s="46">
        <v>80.0</v>
      </c>
      <c r="Q241" s="46">
        <v>80.0</v>
      </c>
      <c r="R241" s="23"/>
      <c r="S241" s="46">
        <v>80.0</v>
      </c>
      <c r="T241" s="53">
        <f>O241+P241+Q241+R241+S241+O242+P242+Q242+R242+S242+N242</f>
        <v>320</v>
      </c>
      <c r="U241" s="4">
        <v>50.0</v>
      </c>
      <c r="V241" s="4">
        <v>50.0</v>
      </c>
      <c r="W241" s="4">
        <v>50.0</v>
      </c>
      <c r="X241" s="4">
        <v>50.0</v>
      </c>
      <c r="Y241" s="4">
        <v>50.0</v>
      </c>
      <c r="Z241" s="13">
        <f>sum(T241:Y241)*1000</f>
        <v>570000</v>
      </c>
      <c r="AA241" s="13">
        <f>Z241+Z242+AA193</f>
        <v>749000</v>
      </c>
    </row>
    <row r="242">
      <c r="A242" s="27"/>
      <c r="I242" s="33"/>
      <c r="J242" s="33"/>
      <c r="K242" s="33"/>
      <c r="L242" s="33"/>
      <c r="M242" s="24"/>
      <c r="O242" s="33"/>
      <c r="P242" s="33"/>
      <c r="Q242" s="33"/>
      <c r="R242" s="33"/>
      <c r="S242" s="24"/>
      <c r="T242" s="53"/>
      <c r="U242" s="13">
        <f>(H268-$V$225)*500</f>
        <v>3000</v>
      </c>
      <c r="V242" s="13">
        <f>(L264-$V$225)*500</f>
        <v>23500</v>
      </c>
      <c r="Y242" s="13">
        <f>(X268-$V$225)*500</f>
        <v>9000</v>
      </c>
      <c r="Z242" s="13">
        <f>sum(T242:Y242)</f>
        <v>35500</v>
      </c>
    </row>
    <row r="243">
      <c r="A243" s="38" t="s">
        <v>130</v>
      </c>
      <c r="I243" s="46">
        <v>1.0</v>
      </c>
      <c r="J243" s="46">
        <v>1.0</v>
      </c>
      <c r="K243" s="46">
        <v>1.0</v>
      </c>
      <c r="L243" s="23"/>
      <c r="M243" s="32"/>
      <c r="O243" s="46">
        <v>80.0</v>
      </c>
      <c r="P243" s="46">
        <v>80.0</v>
      </c>
      <c r="Q243" s="46">
        <v>80.0</v>
      </c>
      <c r="R243" s="23"/>
      <c r="S243" s="32"/>
      <c r="T243" s="13">
        <f>O243+P243+Q243+R243+S243+O244+P244+Q244+R244+S244</f>
        <v>320</v>
      </c>
      <c r="Z243" s="13">
        <f>sum(T243:Y243)*1000</f>
        <v>320000</v>
      </c>
      <c r="AA243" s="13">
        <f>Z243+Z244</f>
        <v>347000</v>
      </c>
    </row>
    <row r="244">
      <c r="A244" s="27"/>
      <c r="I244" s="35">
        <v>1.0</v>
      </c>
      <c r="J244" s="33"/>
      <c r="K244" s="33"/>
      <c r="L244" s="33"/>
      <c r="M244" s="24"/>
      <c r="O244" s="35">
        <v>80.0</v>
      </c>
      <c r="P244" s="33"/>
      <c r="Q244" s="33"/>
      <c r="R244" s="33"/>
      <c r="S244" s="24"/>
      <c r="U244" s="13">
        <f>(H266-$V$225)*500</f>
        <v>0</v>
      </c>
      <c r="V244" s="13">
        <f>(L265-$V$225)*500</f>
        <v>17500</v>
      </c>
      <c r="W244" s="13">
        <f>(P268-$V$225)*500</f>
        <v>9500</v>
      </c>
      <c r="Z244" s="13">
        <f>sum(T244:Y244)</f>
        <v>27000</v>
      </c>
    </row>
    <row r="245">
      <c r="A245" s="50" t="s">
        <v>73</v>
      </c>
      <c r="I245" s="31"/>
      <c r="J245" s="31"/>
      <c r="K245" s="46">
        <v>1.0</v>
      </c>
      <c r="L245" s="31"/>
      <c r="M245" s="31"/>
      <c r="O245" s="31"/>
      <c r="P245" s="31"/>
      <c r="Q245" s="46">
        <v>80.0</v>
      </c>
      <c r="R245" s="23"/>
      <c r="S245" s="31"/>
      <c r="T245" s="53">
        <f>O245+P245+Q245+R245+S245+O246+P246+Q246+R246+S246+N246</f>
        <v>240</v>
      </c>
      <c r="Z245" s="13">
        <f>sum(T245:Y245)*1000</f>
        <v>240000</v>
      </c>
      <c r="AA245" s="13">
        <f>Z245+Z246</f>
        <v>240000</v>
      </c>
    </row>
    <row r="246">
      <c r="A246" s="27"/>
      <c r="I246" s="35">
        <v>1.0</v>
      </c>
      <c r="J246" s="35">
        <v>1.0</v>
      </c>
      <c r="K246" s="33"/>
      <c r="L246" s="33"/>
      <c r="M246" s="24"/>
      <c r="O246" s="35">
        <v>80.0</v>
      </c>
      <c r="P246" s="35">
        <v>80.0</v>
      </c>
      <c r="Q246" s="33"/>
      <c r="R246" s="33"/>
      <c r="S246" s="24"/>
      <c r="T246" s="53"/>
      <c r="Z246" s="13">
        <f>sum(T246:Y246)</f>
        <v>0</v>
      </c>
    </row>
    <row r="247">
      <c r="A247" s="51" t="s">
        <v>82</v>
      </c>
      <c r="I247" s="31">
        <v>1.0</v>
      </c>
      <c r="J247" s="31">
        <v>1.0</v>
      </c>
      <c r="K247" s="32">
        <v>1.0</v>
      </c>
      <c r="L247" s="31">
        <v>1.0</v>
      </c>
      <c r="M247" s="31">
        <v>1.0</v>
      </c>
      <c r="O247" s="31">
        <v>70.0</v>
      </c>
      <c r="P247" s="31">
        <v>70.0</v>
      </c>
      <c r="Q247" s="31">
        <v>70.0</v>
      </c>
      <c r="R247" s="31">
        <v>70.0</v>
      </c>
      <c r="S247" s="31">
        <v>70.0</v>
      </c>
      <c r="T247" s="13">
        <f>O247+P247+Q247+R247+S247+O248+P248+Q248+R248+S248</f>
        <v>350</v>
      </c>
      <c r="Z247" s="13">
        <f>sum(T247:Y247)*1000</f>
        <v>350000</v>
      </c>
      <c r="AA247" s="68">
        <f>Z247+Z248</f>
        <v>432000</v>
      </c>
      <c r="AB247" s="13">
        <f>AA247+150000</f>
        <v>582000</v>
      </c>
    </row>
    <row r="248">
      <c r="A248" s="27"/>
      <c r="I248" s="33"/>
      <c r="J248" s="33"/>
      <c r="K248" s="33"/>
      <c r="L248" s="33"/>
      <c r="M248" s="33"/>
      <c r="O248" s="33"/>
      <c r="P248" s="33"/>
      <c r="Q248" s="33"/>
      <c r="R248" s="33"/>
      <c r="S248" s="33"/>
      <c r="U248" s="13">
        <f>(H261-$V$225)*500</f>
        <v>6500</v>
      </c>
      <c r="V248" s="13">
        <f>(L261-$V$225)*500</f>
        <v>19000</v>
      </c>
      <c r="W248" s="13">
        <f>(P261-$V$225)*500</f>
        <v>24000</v>
      </c>
      <c r="X248" s="13">
        <f>(T261-$V$225)*500</f>
        <v>15500</v>
      </c>
      <c r="Y248" s="13">
        <f>(X261-$V$225)*500</f>
        <v>17000</v>
      </c>
      <c r="Z248" s="13">
        <f>sum(T248:Y248)</f>
        <v>82000</v>
      </c>
    </row>
    <row r="249">
      <c r="A249" s="51" t="s">
        <v>143</v>
      </c>
      <c r="I249" s="31"/>
      <c r="J249" s="46">
        <v>1.0</v>
      </c>
      <c r="K249" s="31"/>
      <c r="L249" s="46">
        <v>1.0</v>
      </c>
      <c r="M249" s="31"/>
      <c r="O249" s="31"/>
      <c r="P249" s="46">
        <v>80.0</v>
      </c>
      <c r="Q249" s="31"/>
      <c r="R249" s="46">
        <v>80.0</v>
      </c>
      <c r="S249" s="31"/>
      <c r="T249" s="53">
        <f>O249+P249+Q249+R249+S249+O250+P250+Q250+R250+S250+N250</f>
        <v>210</v>
      </c>
      <c r="Z249" s="13">
        <f>sum(T249:Y249)*1000</f>
        <v>210000</v>
      </c>
      <c r="AA249" s="13">
        <f>Z249+Z250+AA201</f>
        <v>262000</v>
      </c>
    </row>
    <row r="250">
      <c r="A250" s="27"/>
      <c r="I250" s="48">
        <v>1.0</v>
      </c>
      <c r="J250" s="33"/>
      <c r="K250" s="33"/>
      <c r="L250" s="33"/>
      <c r="M250" s="33"/>
      <c r="O250" s="33">
        <v>50.0</v>
      </c>
      <c r="P250" s="33"/>
      <c r="Q250" s="33"/>
      <c r="R250" s="33"/>
      <c r="S250" s="33"/>
      <c r="T250" s="53"/>
      <c r="X250" s="13">
        <f>(T266-$V$225)*500</f>
        <v>2000</v>
      </c>
      <c r="Z250" s="13">
        <f>sum(T250:Y250)</f>
        <v>2000</v>
      </c>
    </row>
    <row r="251">
      <c r="A251" s="51" t="s">
        <v>86</v>
      </c>
      <c r="I251" s="31"/>
      <c r="J251" s="46">
        <v>1.0</v>
      </c>
      <c r="K251" s="49">
        <v>1.0</v>
      </c>
      <c r="L251" s="46">
        <v>1.0</v>
      </c>
      <c r="M251" s="46">
        <v>1.0</v>
      </c>
      <c r="N251" s="4" t="s">
        <v>80</v>
      </c>
      <c r="O251" s="31"/>
      <c r="P251" s="46">
        <v>80.0</v>
      </c>
      <c r="Q251" s="46">
        <v>80.0</v>
      </c>
      <c r="R251" s="46">
        <v>80.0</v>
      </c>
      <c r="S251" s="46">
        <v>80.0</v>
      </c>
      <c r="T251" s="13">
        <f>O251+P251+Q251+R251+S251+O252+P252+Q252+R252+S252</f>
        <v>390</v>
      </c>
      <c r="Z251" s="13">
        <f>sum(T251:Y251)*1000</f>
        <v>390000</v>
      </c>
      <c r="AA251" s="13">
        <f>Z251+Z252</f>
        <v>441000</v>
      </c>
    </row>
    <row r="252">
      <c r="A252" s="27"/>
      <c r="I252" s="33"/>
      <c r="J252" s="33"/>
      <c r="K252" s="33">
        <v>1.0</v>
      </c>
      <c r="L252" s="33"/>
      <c r="M252" s="33"/>
      <c r="O252" s="33"/>
      <c r="P252" s="33"/>
      <c r="Q252" s="33">
        <v>70.0</v>
      </c>
      <c r="R252" s="33"/>
      <c r="S252" s="33"/>
      <c r="V252" s="13">
        <f>(L266-$V$225)*500</f>
        <v>6500</v>
      </c>
      <c r="W252" s="13">
        <f>(P264-90)*500/2</f>
        <v>5500</v>
      </c>
      <c r="X252" s="13">
        <f>(T265-$V$225)*500</f>
        <v>15500</v>
      </c>
      <c r="Y252" s="13">
        <f>(X264-$V$225)*500</f>
        <v>23500</v>
      </c>
      <c r="Z252" s="13">
        <f>sum(T252:Y252)</f>
        <v>51000</v>
      </c>
    </row>
    <row r="253">
      <c r="A253" s="51" t="s">
        <v>144</v>
      </c>
      <c r="I253" s="31"/>
      <c r="J253" s="46">
        <v>1.0</v>
      </c>
      <c r="K253" s="32"/>
      <c r="L253" s="46">
        <v>1.0</v>
      </c>
      <c r="M253" s="31"/>
      <c r="O253" s="31"/>
      <c r="P253" s="46">
        <v>80.0</v>
      </c>
      <c r="Q253" s="32"/>
      <c r="R253" s="46">
        <v>80.0</v>
      </c>
      <c r="S253" s="31"/>
      <c r="T253" s="53">
        <f>O253+P253+Q253+R253+S253+O254+P254+Q254+R254+S254+N254</f>
        <v>240</v>
      </c>
      <c r="V253" s="4">
        <v>7.0</v>
      </c>
      <c r="Z253" s="13">
        <f>sum(T253:Y253)*1000</f>
        <v>247000</v>
      </c>
      <c r="AA253" s="13">
        <f>Z253+Z254+AA205</f>
        <v>358000</v>
      </c>
    </row>
    <row r="254">
      <c r="A254" s="27"/>
      <c r="I254" s="33"/>
      <c r="J254" s="33"/>
      <c r="K254" s="35">
        <v>1.0</v>
      </c>
      <c r="L254" s="33"/>
      <c r="M254" s="33"/>
      <c r="O254" s="33"/>
      <c r="P254" s="33"/>
      <c r="Q254" s="35">
        <v>80.0</v>
      </c>
      <c r="R254" s="33"/>
      <c r="S254" s="33"/>
      <c r="T254" s="53"/>
      <c r="V254" s="13">
        <f>(L268-$V$225)*500</f>
        <v>18000</v>
      </c>
      <c r="X254" s="13">
        <f>(T268-$V$225)*500</f>
        <v>13000</v>
      </c>
      <c r="Z254" s="13">
        <f>sum(T254:Y254)</f>
        <v>31000</v>
      </c>
    </row>
    <row r="255">
      <c r="A255" s="51" t="s">
        <v>145</v>
      </c>
      <c r="I255" s="45">
        <v>1.0</v>
      </c>
      <c r="J255" s="31"/>
      <c r="K255" s="32"/>
      <c r="L255" s="71">
        <v>1.0</v>
      </c>
      <c r="M255" s="32"/>
      <c r="O255" s="31">
        <v>50.0</v>
      </c>
      <c r="P255" s="31"/>
      <c r="Q255" s="32"/>
      <c r="R255" s="31">
        <v>50.0</v>
      </c>
      <c r="S255" s="31"/>
      <c r="T255" s="60">
        <f>O255+P255+Q255+R255+S255+O256+P256+Q256+R256+S256+N256</f>
        <v>100</v>
      </c>
      <c r="Z255" s="13">
        <f>sum(T255:Y255)*1000</f>
        <v>100000</v>
      </c>
      <c r="AA255" s="13">
        <f>Z255+Z256+AA207</f>
        <v>100000</v>
      </c>
    </row>
    <row r="256">
      <c r="A256" s="27"/>
      <c r="I256" s="33"/>
      <c r="J256" s="33"/>
      <c r="K256" s="33"/>
      <c r="L256" s="33"/>
      <c r="M256" s="33"/>
      <c r="O256" s="33"/>
      <c r="P256" s="33"/>
      <c r="Q256" s="33"/>
      <c r="R256" s="33"/>
      <c r="S256" s="33"/>
      <c r="T256" s="60"/>
      <c r="Z256" s="13">
        <f>sum(T256:Y256)</f>
        <v>0</v>
      </c>
    </row>
    <row r="257">
      <c r="H257" s="4" t="s">
        <v>113</v>
      </c>
      <c r="I257" s="13">
        <f t="shared" ref="I257:M257" si="29">I227+I229+I231+I233+I235+I237+I239+I241+I243+I245+I247+I249+I251+I253+I255</f>
        <v>9</v>
      </c>
      <c r="J257" s="13">
        <f t="shared" si="29"/>
        <v>7</v>
      </c>
      <c r="K257" s="13">
        <f t="shared" si="29"/>
        <v>9</v>
      </c>
      <c r="L257" s="13">
        <f t="shared" si="29"/>
        <v>6</v>
      </c>
      <c r="M257" s="13">
        <f t="shared" si="29"/>
        <v>6</v>
      </c>
    </row>
    <row r="258">
      <c r="H258" s="4" t="s">
        <v>114</v>
      </c>
      <c r="I258" s="13">
        <f t="shared" ref="I258:M258" si="30">I228+I230+I232+I234+I236+I238+I240+I242+I244+I246+I248+I250+I252+I254+I256</f>
        <v>5</v>
      </c>
      <c r="J258" s="13">
        <f t="shared" si="30"/>
        <v>4</v>
      </c>
      <c r="K258" s="13">
        <f t="shared" si="30"/>
        <v>3</v>
      </c>
      <c r="L258" s="13">
        <f t="shared" si="30"/>
        <v>3</v>
      </c>
      <c r="M258" s="13">
        <f t="shared" si="30"/>
        <v>0</v>
      </c>
    </row>
    <row r="259">
      <c r="H259" s="61" t="s">
        <v>46</v>
      </c>
      <c r="L259" s="62" t="s">
        <v>47</v>
      </c>
      <c r="P259" s="63" t="s">
        <v>48</v>
      </c>
      <c r="T259" s="64" t="s">
        <v>49</v>
      </c>
      <c r="X259" s="65" t="s">
        <v>50</v>
      </c>
      <c r="AB259" s="65"/>
    </row>
    <row r="260">
      <c r="H260" s="2" t="s">
        <v>54</v>
      </c>
      <c r="J260" s="2" t="s">
        <v>55</v>
      </c>
      <c r="L260" s="2" t="s">
        <v>54</v>
      </c>
      <c r="N260" s="2" t="s">
        <v>55</v>
      </c>
      <c r="P260" s="2" t="s">
        <v>54</v>
      </c>
      <c r="R260" s="2" t="s">
        <v>55</v>
      </c>
      <c r="T260" s="2" t="s">
        <v>54</v>
      </c>
      <c r="V260" s="2" t="s">
        <v>55</v>
      </c>
      <c r="X260" s="2" t="s">
        <v>54</v>
      </c>
      <c r="Z260" s="2" t="s">
        <v>55</v>
      </c>
      <c r="AB260" s="2"/>
    </row>
    <row r="261">
      <c r="A261" s="4" t="s">
        <v>89</v>
      </c>
      <c r="H261" s="72">
        <f>'Nhập hàng New'!L500</f>
        <v>63</v>
      </c>
      <c r="I261" s="73" t="s">
        <v>92</v>
      </c>
      <c r="K261" s="4" t="s">
        <v>161</v>
      </c>
      <c r="L261" s="13">
        <f>'Nhập hàng New'!L533</f>
        <v>88</v>
      </c>
      <c r="M261" s="4" t="s">
        <v>92</v>
      </c>
      <c r="O261" s="4" t="s">
        <v>96</v>
      </c>
      <c r="P261" s="13">
        <f>'Nhập hàng New'!L565</f>
        <v>98</v>
      </c>
      <c r="Q261" s="4" t="s">
        <v>92</v>
      </c>
      <c r="R261" s="74"/>
      <c r="S261" s="75" t="s">
        <v>91</v>
      </c>
      <c r="T261" s="74">
        <f>'Nhập hàng New'!L598</f>
        <v>81</v>
      </c>
      <c r="U261" s="72" t="s">
        <v>132</v>
      </c>
      <c r="V261" s="74"/>
      <c r="W261" s="75" t="s">
        <v>96</v>
      </c>
      <c r="X261" s="74">
        <f>'Nhập hàng New'!L630</f>
        <v>84</v>
      </c>
      <c r="Y261" s="75" t="s">
        <v>92</v>
      </c>
    </row>
    <row r="262">
      <c r="A262" s="4" t="s">
        <v>93</v>
      </c>
      <c r="H262" s="72"/>
      <c r="I262" s="73" t="s">
        <v>118</v>
      </c>
      <c r="M262" s="4" t="s">
        <v>147</v>
      </c>
      <c r="Q262" s="76" t="s">
        <v>96</v>
      </c>
      <c r="R262" s="74"/>
      <c r="S262" s="75"/>
      <c r="T262" s="74"/>
      <c r="U262" s="72"/>
      <c r="V262" s="74"/>
      <c r="W262" s="74"/>
      <c r="X262" s="74">
        <f>'Nhập hàng New'!J630</f>
        <v>42</v>
      </c>
      <c r="Y262" s="72" t="s">
        <v>96</v>
      </c>
    </row>
    <row r="263">
      <c r="A263" s="4" t="s">
        <v>79</v>
      </c>
      <c r="H263" s="72"/>
      <c r="I263" s="73" t="s">
        <v>147</v>
      </c>
      <c r="Q263" s="4" t="s">
        <v>147</v>
      </c>
      <c r="R263" s="74"/>
      <c r="S263" s="75"/>
      <c r="T263" s="74"/>
      <c r="U263" s="72"/>
      <c r="V263" s="74"/>
      <c r="W263" s="74"/>
      <c r="X263" s="74"/>
      <c r="Y263" s="72"/>
    </row>
    <row r="264">
      <c r="A264" s="4" t="s">
        <v>102</v>
      </c>
      <c r="H264" s="72">
        <f>'Nhập hàng New'!N500</f>
        <v>96</v>
      </c>
      <c r="I264" s="73" t="s">
        <v>162</v>
      </c>
      <c r="K264" s="4" t="s">
        <v>124</v>
      </c>
      <c r="L264" s="13">
        <f>'Nhập hàng New'!N533</f>
        <v>97</v>
      </c>
      <c r="M264" s="4" t="s">
        <v>154</v>
      </c>
      <c r="O264" s="4" t="s">
        <v>124</v>
      </c>
      <c r="P264" s="13">
        <f>'Nhập hàng New'!N565</f>
        <v>112</v>
      </c>
      <c r="Q264" s="72" t="s">
        <v>163</v>
      </c>
      <c r="R264" s="74"/>
      <c r="S264" s="75" t="s">
        <v>164</v>
      </c>
      <c r="T264" s="74">
        <f>'Nhập hàng New'!N598</f>
        <v>110</v>
      </c>
      <c r="U264" s="72" t="s">
        <v>162</v>
      </c>
      <c r="V264" s="74"/>
      <c r="W264" s="75" t="s">
        <v>134</v>
      </c>
      <c r="X264" s="74">
        <f>'Nhập hàng New'!N630</f>
        <v>97</v>
      </c>
      <c r="Y264" s="75" t="s">
        <v>91</v>
      </c>
    </row>
    <row r="265">
      <c r="A265" s="4" t="s">
        <v>105</v>
      </c>
      <c r="H265" s="72">
        <f>'Nhập hàng New'!M500</f>
        <v>82</v>
      </c>
      <c r="I265" s="73" t="s">
        <v>122</v>
      </c>
      <c r="K265" s="4" t="s">
        <v>150</v>
      </c>
      <c r="L265" s="13">
        <f>'Nhập hàng New'!M533</f>
        <v>85</v>
      </c>
      <c r="M265" s="4" t="s">
        <v>138</v>
      </c>
      <c r="O265" s="4" t="s">
        <v>150</v>
      </c>
      <c r="P265" s="13">
        <f>'Nhập hàng New'!M565</f>
        <v>86</v>
      </c>
      <c r="Q265" s="4" t="s">
        <v>150</v>
      </c>
      <c r="R265" s="74"/>
      <c r="S265" s="75"/>
      <c r="T265" s="74">
        <f>'Nhập hàng New'!M598</f>
        <v>81</v>
      </c>
      <c r="U265" s="72" t="s">
        <v>91</v>
      </c>
      <c r="V265" s="74"/>
      <c r="W265" s="74"/>
      <c r="X265" s="74">
        <f>'Nhập hàng New'!M630</f>
        <v>81</v>
      </c>
      <c r="Y265" s="75" t="s">
        <v>150</v>
      </c>
    </row>
    <row r="266">
      <c r="A266" s="4" t="s">
        <v>128</v>
      </c>
      <c r="H266" s="13">
        <f>'Nhập hàng New'!O500</f>
        <v>50</v>
      </c>
      <c r="I266" s="73" t="s">
        <v>138</v>
      </c>
      <c r="L266" s="13">
        <f>'Nhập hàng New'!O533</f>
        <v>63</v>
      </c>
      <c r="M266" s="4" t="s">
        <v>91</v>
      </c>
      <c r="P266" s="13">
        <f>'Nhập hàng New'!O565</f>
        <v>43</v>
      </c>
      <c r="Q266" s="72" t="s">
        <v>124</v>
      </c>
      <c r="R266" s="74"/>
      <c r="S266" s="75"/>
      <c r="T266" s="74">
        <f>'Nhập hàng New'!O598</f>
        <v>54</v>
      </c>
      <c r="U266" s="4" t="s">
        <v>165</v>
      </c>
      <c r="V266" s="74"/>
      <c r="W266" s="75"/>
      <c r="X266" s="74">
        <f>'Nhập hàng New'!O630</f>
        <v>38</v>
      </c>
      <c r="Y266" s="72" t="s">
        <v>122</v>
      </c>
    </row>
    <row r="267">
      <c r="A267" s="4" t="s">
        <v>157</v>
      </c>
      <c r="H267" s="72">
        <f>'Nhập hàng New'!P500</f>
        <v>13</v>
      </c>
      <c r="I267" s="73" t="s">
        <v>110</v>
      </c>
      <c r="K267" s="4" t="s">
        <v>165</v>
      </c>
      <c r="L267" s="13">
        <f>'Nhập hàng New'!P533</f>
        <v>40</v>
      </c>
      <c r="M267" s="4" t="s">
        <v>165</v>
      </c>
      <c r="P267" s="13">
        <f>'Nhập hàng New'!P565</f>
        <v>22</v>
      </c>
      <c r="Q267" s="72" t="s">
        <v>154</v>
      </c>
      <c r="R267" s="74"/>
      <c r="S267" s="72"/>
      <c r="T267" s="74"/>
      <c r="U267" s="72"/>
      <c r="V267" s="74"/>
      <c r="W267" s="75"/>
      <c r="X267" s="74"/>
      <c r="Y267" s="72"/>
    </row>
    <row r="268">
      <c r="A268" s="4" t="s">
        <v>155</v>
      </c>
      <c r="H268" s="72">
        <f>'Nhập hàng New'!Q500</f>
        <v>56</v>
      </c>
      <c r="I268" s="73" t="s">
        <v>154</v>
      </c>
      <c r="K268" s="4" t="s">
        <v>138</v>
      </c>
      <c r="L268" s="13">
        <f>'Nhập hàng New'!Q533</f>
        <v>86</v>
      </c>
      <c r="M268" s="4" t="s">
        <v>166</v>
      </c>
      <c r="O268" s="4" t="s">
        <v>110</v>
      </c>
      <c r="P268" s="13">
        <f>'Nhập hàng New'!Q565</f>
        <v>69</v>
      </c>
      <c r="Q268" s="72" t="s">
        <v>138</v>
      </c>
      <c r="R268" s="74"/>
      <c r="S268" s="72" t="s">
        <v>159</v>
      </c>
      <c r="T268" s="74">
        <f>'Nhập hàng New'!Q598</f>
        <v>76</v>
      </c>
      <c r="U268" s="72" t="s">
        <v>159</v>
      </c>
      <c r="V268" s="74"/>
      <c r="W268" s="72" t="s">
        <v>110</v>
      </c>
      <c r="X268" s="74">
        <f>'Nhập hàng New'!Q630</f>
        <v>68</v>
      </c>
      <c r="Y268" s="59" t="s">
        <v>154</v>
      </c>
    </row>
    <row r="269">
      <c r="H269" s="77">
        <f>sum(H261:H267)</f>
        <v>304</v>
      </c>
      <c r="I269" s="78"/>
    </row>
    <row r="271">
      <c r="I271" s="26" t="s">
        <v>46</v>
      </c>
      <c r="J271" s="26" t="s">
        <v>47</v>
      </c>
      <c r="K271" s="26" t="s">
        <v>48</v>
      </c>
      <c r="L271" s="26" t="s">
        <v>49</v>
      </c>
      <c r="M271" s="26" t="s">
        <v>50</v>
      </c>
      <c r="O271" s="26" t="s">
        <v>46</v>
      </c>
      <c r="P271" s="26" t="s">
        <v>47</v>
      </c>
      <c r="Q271" s="26" t="s">
        <v>48</v>
      </c>
      <c r="R271" s="26" t="s">
        <v>49</v>
      </c>
      <c r="S271" s="26" t="s">
        <v>50</v>
      </c>
      <c r="V271" s="4">
        <v>50.0</v>
      </c>
      <c r="AA271" s="59"/>
      <c r="AB271" s="2" t="s">
        <v>160</v>
      </c>
    </row>
    <row r="272">
      <c r="I272" s="28">
        <v>46139.0</v>
      </c>
      <c r="J272" s="29">
        <f t="shared" ref="J272:M272" si="31">I272+1</f>
        <v>46140</v>
      </c>
      <c r="K272" s="28">
        <f t="shared" si="31"/>
        <v>46141</v>
      </c>
      <c r="L272" s="29">
        <f t="shared" si="31"/>
        <v>46142</v>
      </c>
      <c r="M272" s="28">
        <f t="shared" si="31"/>
        <v>46143</v>
      </c>
      <c r="O272" s="29">
        <f t="shared" ref="O272:S272" si="32">I272</f>
        <v>46139</v>
      </c>
      <c r="P272" s="29">
        <f t="shared" si="32"/>
        <v>46140</v>
      </c>
      <c r="Q272" s="29">
        <f t="shared" si="32"/>
        <v>46141</v>
      </c>
      <c r="R272" s="29">
        <f t="shared" si="32"/>
        <v>46142</v>
      </c>
      <c r="S272" s="29">
        <f t="shared" si="32"/>
        <v>46143</v>
      </c>
      <c r="Z272" s="2" t="s">
        <v>16</v>
      </c>
      <c r="AB272" s="4">
        <v>200000.0</v>
      </c>
    </row>
    <row r="273">
      <c r="A273" s="38" t="s">
        <v>53</v>
      </c>
      <c r="H273" s="4" t="s">
        <v>107</v>
      </c>
      <c r="I273" s="23"/>
      <c r="J273" s="23"/>
      <c r="K273" s="31"/>
      <c r="L273" s="31"/>
      <c r="M273" s="32"/>
      <c r="O273" s="23"/>
      <c r="P273" s="23"/>
      <c r="Q273" s="31"/>
      <c r="R273" s="23"/>
      <c r="S273" s="32"/>
      <c r="T273" s="52">
        <f>O273+P273+Q273+R273+S273+O274+P274+Q274+R274+S274</f>
        <v>0</v>
      </c>
      <c r="Z273" s="13">
        <f t="shared" ref="Z273:Z275" si="33">sum(T273:Y273)*1000</f>
        <v>0</v>
      </c>
      <c r="AA273" s="13">
        <f>Z273+Z274</f>
        <v>0</v>
      </c>
    </row>
    <row r="274">
      <c r="A274" s="27"/>
      <c r="H274" s="4" t="s">
        <v>88</v>
      </c>
      <c r="I274" s="35"/>
      <c r="J274" s="35"/>
      <c r="K274" s="33"/>
      <c r="L274" s="33"/>
      <c r="M274" s="24"/>
      <c r="O274" s="33"/>
      <c r="P274" s="33"/>
      <c r="Q274" s="33"/>
      <c r="R274" s="33"/>
      <c r="S274" s="24"/>
      <c r="T274" s="52"/>
      <c r="Z274" s="13">
        <f t="shared" si="33"/>
        <v>0</v>
      </c>
    </row>
    <row r="275">
      <c r="A275" s="38" t="s">
        <v>108</v>
      </c>
      <c r="I275" s="31"/>
      <c r="J275" s="46">
        <v>1.0</v>
      </c>
      <c r="K275" s="49">
        <v>1.0</v>
      </c>
      <c r="L275" s="31"/>
      <c r="M275" s="31"/>
      <c r="O275" s="23"/>
      <c r="P275" s="31">
        <v>80.0</v>
      </c>
      <c r="Q275" s="31">
        <v>80.0</v>
      </c>
      <c r="R275" s="23"/>
      <c r="S275" s="31"/>
      <c r="T275" s="53">
        <f>O275+P275+Q275+R275+S275+O276+P276+Q276+R276+S276</f>
        <v>240</v>
      </c>
      <c r="Z275" s="13">
        <f t="shared" si="33"/>
        <v>240000</v>
      </c>
      <c r="AA275" s="13">
        <f>Z275+Z276</f>
        <v>295500</v>
      </c>
    </row>
    <row r="276">
      <c r="A276" s="27"/>
      <c r="I276" s="33"/>
      <c r="J276" s="35">
        <v>1.0</v>
      </c>
      <c r="K276" s="33"/>
      <c r="L276" s="33"/>
      <c r="M276" s="33"/>
      <c r="O276" s="24"/>
      <c r="P276" s="33">
        <v>80.0</v>
      </c>
      <c r="Q276" s="33"/>
      <c r="R276" s="33"/>
      <c r="S276" s="24"/>
      <c r="T276" s="53"/>
      <c r="V276" s="13">
        <f>(L310-50)*500</f>
        <v>27500</v>
      </c>
      <c r="W276" s="13">
        <f>(P310-50)*500</f>
        <v>28000</v>
      </c>
      <c r="Z276" s="13">
        <f>sum(T276:Y276)</f>
        <v>55500</v>
      </c>
    </row>
    <row r="277">
      <c r="A277" s="38" t="s">
        <v>57</v>
      </c>
      <c r="I277" s="23"/>
      <c r="J277" s="23"/>
      <c r="K277" s="31"/>
      <c r="L277" s="31"/>
      <c r="M277" s="31"/>
      <c r="O277" s="23"/>
      <c r="P277" s="23"/>
      <c r="Q277" s="31"/>
      <c r="R277" s="23"/>
      <c r="S277" s="31"/>
      <c r="T277" s="54">
        <f>O277+P277+Q277+R277+S277+O278+P278+Q278+R278+S278</f>
        <v>0</v>
      </c>
      <c r="Z277" s="13">
        <f>sum(T277:Y277)*1000</f>
        <v>0</v>
      </c>
      <c r="AA277" s="13">
        <f>Z277+Z278</f>
        <v>0</v>
      </c>
    </row>
    <row r="278">
      <c r="A278" s="27"/>
      <c r="I278" s="33"/>
      <c r="J278" s="33"/>
      <c r="K278" s="33"/>
      <c r="L278" s="33"/>
      <c r="M278" s="24"/>
      <c r="O278" s="33"/>
      <c r="P278" s="33"/>
      <c r="Q278" s="33"/>
      <c r="R278" s="33"/>
      <c r="S278" s="24"/>
      <c r="T278" s="54"/>
      <c r="Z278" s="13">
        <f>sum(T278:Y278)</f>
        <v>0</v>
      </c>
    </row>
    <row r="279">
      <c r="A279" s="38" t="s">
        <v>109</v>
      </c>
      <c r="I279" s="31"/>
      <c r="J279" s="31"/>
      <c r="K279" s="31"/>
      <c r="L279" s="31"/>
      <c r="M279" s="31"/>
      <c r="N279" s="4" t="s">
        <v>110</v>
      </c>
      <c r="O279" s="23"/>
      <c r="P279" s="31"/>
      <c r="Q279" s="31"/>
      <c r="R279" s="31"/>
      <c r="S279" s="31"/>
      <c r="T279" s="13">
        <f>O279+P279+Q279+R279+S279+O280+P280+Q280+R280+S280</f>
        <v>0</v>
      </c>
      <c r="Z279" s="13">
        <f>sum(T279:Y279)*1000</f>
        <v>0</v>
      </c>
      <c r="AA279" s="13">
        <f>Z279+Z280</f>
        <v>0</v>
      </c>
    </row>
    <row r="280">
      <c r="A280" s="27"/>
      <c r="I280" s="24"/>
      <c r="J280" s="33"/>
      <c r="K280" s="33"/>
      <c r="L280" s="33"/>
      <c r="M280" s="24"/>
      <c r="O280" s="24"/>
      <c r="P280" s="33"/>
      <c r="Q280" s="33"/>
      <c r="R280" s="33"/>
      <c r="S280" s="24"/>
      <c r="Z280" s="13">
        <f>sum(T280:Y280)</f>
        <v>0</v>
      </c>
    </row>
    <row r="281">
      <c r="A281" s="38" t="s">
        <v>111</v>
      </c>
      <c r="I281" s="31"/>
      <c r="J281" s="46">
        <v>1.0</v>
      </c>
      <c r="K281" s="46">
        <v>1.0</v>
      </c>
      <c r="L281" s="31"/>
      <c r="M281" s="31"/>
      <c r="O281" s="31"/>
      <c r="P281" s="31">
        <v>80.0</v>
      </c>
      <c r="Q281" s="31">
        <v>80.0</v>
      </c>
      <c r="R281" s="31"/>
      <c r="S281" s="31"/>
      <c r="T281" s="56">
        <f>O281+P281+Q281+R281+S281+O282+P282+Q282+R282+S282</f>
        <v>300</v>
      </c>
      <c r="Z281" s="13">
        <f>sum(T281:Y281)*1000</f>
        <v>300000</v>
      </c>
      <c r="AA281" s="13">
        <f>Z281+Z282</f>
        <v>327000</v>
      </c>
    </row>
    <row r="282">
      <c r="A282" s="27"/>
      <c r="I282" s="33"/>
      <c r="J282" s="33">
        <v>1.0</v>
      </c>
      <c r="K282" s="33">
        <v>1.0</v>
      </c>
      <c r="L282" s="33"/>
      <c r="M282" s="33"/>
      <c r="O282" s="33"/>
      <c r="P282" s="33">
        <v>70.0</v>
      </c>
      <c r="Q282" s="33">
        <v>70.0</v>
      </c>
      <c r="R282" s="33"/>
      <c r="S282" s="24"/>
      <c r="T282" s="56"/>
      <c r="V282" s="13">
        <f>(L311-$V$225)*500</f>
        <v>14500</v>
      </c>
      <c r="W282" s="13">
        <f>(P311-$V$225)*500</f>
        <v>12500</v>
      </c>
      <c r="Z282" s="13">
        <f>sum(T282:Y282)</f>
        <v>27000</v>
      </c>
    </row>
    <row r="283">
      <c r="A283" s="38" t="s">
        <v>60</v>
      </c>
      <c r="I283" s="31"/>
      <c r="J283" s="23"/>
      <c r="K283" s="31"/>
      <c r="L283" s="31"/>
      <c r="M283" s="31"/>
      <c r="O283" s="31"/>
      <c r="P283" s="23"/>
      <c r="Q283" s="31"/>
      <c r="R283" s="31"/>
      <c r="S283" s="31"/>
      <c r="T283" s="53">
        <f>O283+P283+Q283+R283+S283+O284+P284+Q284+R284+S284+N284</f>
        <v>0</v>
      </c>
      <c r="Z283" s="13">
        <f>sum(T283:Y283)*1000</f>
        <v>0</v>
      </c>
      <c r="AA283" s="13">
        <f>Z283+Z284</f>
        <v>0</v>
      </c>
    </row>
    <row r="284">
      <c r="A284" s="27"/>
      <c r="I284" s="33"/>
      <c r="J284" s="33"/>
      <c r="K284" s="33"/>
      <c r="L284" s="33"/>
      <c r="M284" s="33"/>
      <c r="O284" s="33"/>
      <c r="P284" s="33"/>
      <c r="Q284" s="33"/>
      <c r="R284" s="33"/>
      <c r="S284" s="33"/>
      <c r="T284" s="53"/>
      <c r="Z284" s="13">
        <f>sum(T284:Y284)</f>
        <v>0</v>
      </c>
    </row>
    <row r="285">
      <c r="A285" s="38" t="s">
        <v>141</v>
      </c>
      <c r="I285" s="45"/>
      <c r="J285" s="31"/>
      <c r="K285" s="31"/>
      <c r="L285" s="31"/>
      <c r="M285" s="31"/>
      <c r="N285" s="4" t="s">
        <v>112</v>
      </c>
      <c r="O285" s="23"/>
      <c r="P285" s="31"/>
      <c r="Q285" s="31"/>
      <c r="R285" s="31"/>
      <c r="S285" s="32"/>
      <c r="T285" s="13">
        <f>O285+P285+Q285+R285+S285+O286+P286+Q286+R286+S286</f>
        <v>0</v>
      </c>
      <c r="Z285" s="13">
        <f>sum(T285:Y285)*1000</f>
        <v>0</v>
      </c>
      <c r="AA285" s="13">
        <f>Z285+Z286</f>
        <v>0</v>
      </c>
    </row>
    <row r="286">
      <c r="A286" s="27"/>
      <c r="I286" s="33"/>
      <c r="J286" s="33"/>
      <c r="K286" s="33"/>
      <c r="L286" s="33"/>
      <c r="M286" s="24"/>
      <c r="O286" s="33"/>
      <c r="P286" s="33"/>
      <c r="Q286" s="33"/>
      <c r="R286" s="33"/>
      <c r="S286" s="24"/>
    </row>
    <row r="287">
      <c r="A287" s="38" t="s">
        <v>142</v>
      </c>
      <c r="I287" s="31"/>
      <c r="J287" s="31"/>
      <c r="K287" s="31"/>
      <c r="L287" s="31"/>
      <c r="M287" s="31"/>
      <c r="O287" s="23"/>
      <c r="P287" s="23"/>
      <c r="Q287" s="31"/>
      <c r="R287" s="23"/>
      <c r="S287" s="31"/>
      <c r="T287" s="53">
        <f>O287+P287+Q287+R287+S287+O288+P288+Q288+R288+S288+N288</f>
        <v>0</v>
      </c>
      <c r="Z287" s="13">
        <f>sum(T287:Y287)*1000</f>
        <v>0</v>
      </c>
      <c r="AA287" s="13">
        <f>Z287+Z288</f>
        <v>0</v>
      </c>
    </row>
    <row r="288">
      <c r="A288" s="27"/>
      <c r="I288" s="33"/>
      <c r="J288" s="33"/>
      <c r="K288" s="33"/>
      <c r="L288" s="33"/>
      <c r="M288" s="24"/>
      <c r="O288" s="33"/>
      <c r="P288" s="33"/>
      <c r="Q288" s="33"/>
      <c r="R288" s="33"/>
      <c r="S288" s="24"/>
      <c r="T288" s="53"/>
      <c r="Z288" s="13">
        <f>sum(T288:Y288)</f>
        <v>0</v>
      </c>
    </row>
    <row r="289">
      <c r="A289" s="38" t="s">
        <v>130</v>
      </c>
      <c r="I289" s="31"/>
      <c r="J289" s="31">
        <v>1.0</v>
      </c>
      <c r="K289" s="31"/>
      <c r="L289" s="23"/>
      <c r="M289" s="32"/>
      <c r="O289" s="31"/>
      <c r="P289" s="31">
        <v>70.0</v>
      </c>
      <c r="Q289" s="31"/>
      <c r="R289" s="23"/>
      <c r="S289" s="32"/>
      <c r="T289" s="13">
        <f>O289+P289+Q289+R289+S289+O290+P290+Q290+R290+S290</f>
        <v>150</v>
      </c>
      <c r="Z289" s="13">
        <f>sum(T289:Y289)*1000</f>
        <v>150000</v>
      </c>
      <c r="AA289" s="13">
        <f>Z289+Z290</f>
        <v>166500</v>
      </c>
    </row>
    <row r="290">
      <c r="A290" s="27"/>
      <c r="I290" s="33"/>
      <c r="J290" s="33"/>
      <c r="K290" s="35">
        <v>1.0</v>
      </c>
      <c r="L290" s="33"/>
      <c r="M290" s="24"/>
      <c r="O290" s="24"/>
      <c r="P290" s="33"/>
      <c r="Q290" s="33">
        <v>80.0</v>
      </c>
      <c r="R290" s="33"/>
      <c r="S290" s="24"/>
      <c r="V290" s="13">
        <f>(L307-$V$225)*500</f>
        <v>16500</v>
      </c>
      <c r="Z290" s="13">
        <f>sum(T290:Y290)</f>
        <v>16500</v>
      </c>
    </row>
    <row r="291">
      <c r="A291" s="50" t="s">
        <v>73</v>
      </c>
      <c r="I291" s="31"/>
      <c r="J291" s="31"/>
      <c r="K291" s="31"/>
      <c r="L291" s="31"/>
      <c r="M291" s="31"/>
      <c r="O291" s="31"/>
      <c r="P291" s="31"/>
      <c r="Q291" s="31"/>
      <c r="R291" s="23"/>
      <c r="S291" s="31"/>
      <c r="T291" s="53">
        <f>O291+P291+Q291+R291+S291+O292+P292+Q292+R292+S292+N292</f>
        <v>0</v>
      </c>
      <c r="Z291" s="13">
        <f>sum(T291:Y291)*1000</f>
        <v>0</v>
      </c>
      <c r="AA291" s="13">
        <f>Z291+Z292</f>
        <v>0</v>
      </c>
    </row>
    <row r="292">
      <c r="A292" s="27"/>
      <c r="I292" s="33"/>
      <c r="J292" s="33"/>
      <c r="K292" s="33"/>
      <c r="L292" s="33"/>
      <c r="M292" s="24"/>
      <c r="O292" s="33"/>
      <c r="P292" s="33"/>
      <c r="Q292" s="33"/>
      <c r="R292" s="33"/>
      <c r="S292" s="24"/>
      <c r="T292" s="53"/>
      <c r="Z292" s="13">
        <f>sum(T292:Y292)</f>
        <v>0</v>
      </c>
    </row>
    <row r="293">
      <c r="A293" s="51" t="s">
        <v>82</v>
      </c>
      <c r="I293" s="31"/>
      <c r="J293" s="31"/>
      <c r="K293" s="32"/>
      <c r="L293" s="31"/>
      <c r="M293" s="31"/>
      <c r="O293" s="31"/>
      <c r="P293" s="31"/>
      <c r="Q293" s="31"/>
      <c r="R293" s="31"/>
      <c r="S293" s="31"/>
      <c r="T293" s="13">
        <f>O293+P293+Q293+R293+S293+O294+P294+Q294+R294+S294</f>
        <v>0</v>
      </c>
      <c r="Z293" s="13">
        <f>sum(T293:Y293)*1000</f>
        <v>0</v>
      </c>
      <c r="AA293" s="68">
        <f>Z293+Z294</f>
        <v>0</v>
      </c>
    </row>
    <row r="294">
      <c r="A294" s="27"/>
      <c r="I294" s="33"/>
      <c r="J294" s="33"/>
      <c r="K294" s="33"/>
      <c r="L294" s="33"/>
      <c r="M294" s="33"/>
      <c r="O294" s="33"/>
      <c r="P294" s="33"/>
      <c r="Q294" s="33"/>
      <c r="R294" s="33"/>
      <c r="S294" s="33"/>
      <c r="Z294" s="13">
        <f>sum(T294:Y294)</f>
        <v>0</v>
      </c>
    </row>
    <row r="295">
      <c r="A295" s="51" t="s">
        <v>143</v>
      </c>
      <c r="I295" s="31"/>
      <c r="J295" s="46"/>
      <c r="K295" s="31"/>
      <c r="L295" s="31"/>
      <c r="M295" s="31"/>
      <c r="O295" s="31"/>
      <c r="P295" s="31"/>
      <c r="Q295" s="31"/>
      <c r="R295" s="31"/>
      <c r="S295" s="31"/>
      <c r="T295" s="53">
        <f>O295+P295+Q295+R295+S295+O296+P296+Q296+R296+S296+N296</f>
        <v>0</v>
      </c>
      <c r="Z295" s="13">
        <f>sum(T295:Y295)*1000</f>
        <v>0</v>
      </c>
      <c r="AA295" s="13">
        <f>Z295+Z296</f>
        <v>0</v>
      </c>
    </row>
    <row r="296">
      <c r="A296" s="27"/>
      <c r="I296" s="48"/>
      <c r="J296" s="33"/>
      <c r="K296" s="33"/>
      <c r="L296" s="33"/>
      <c r="M296" s="33"/>
      <c r="O296" s="33"/>
      <c r="P296" s="33"/>
      <c r="Q296" s="33"/>
      <c r="R296" s="33"/>
      <c r="S296" s="33"/>
      <c r="T296" s="53"/>
      <c r="Z296" s="13">
        <f>sum(T296:Y296)</f>
        <v>0</v>
      </c>
    </row>
    <row r="297">
      <c r="A297" s="51" t="s">
        <v>86</v>
      </c>
      <c r="I297" s="31"/>
      <c r="J297" s="31"/>
      <c r="K297" s="32"/>
      <c r="L297" s="31"/>
      <c r="M297" s="31"/>
      <c r="N297" s="4" t="s">
        <v>80</v>
      </c>
      <c r="O297" s="31"/>
      <c r="P297" s="31"/>
      <c r="Q297" s="31"/>
      <c r="R297" s="31"/>
      <c r="S297" s="31"/>
      <c r="T297" s="13">
        <f>O297+P297+Q297+R297+S297+O298+P298+Q298+R298+S298</f>
        <v>0</v>
      </c>
      <c r="Z297" s="13">
        <f>sum(T297:Y297)*1000</f>
        <v>0</v>
      </c>
      <c r="AA297" s="13">
        <f>Z297+Z298</f>
        <v>0</v>
      </c>
    </row>
    <row r="298">
      <c r="A298" s="27"/>
      <c r="I298" s="33"/>
      <c r="J298" s="33"/>
      <c r="K298" s="33"/>
      <c r="L298" s="33"/>
      <c r="M298" s="33"/>
      <c r="O298" s="33"/>
      <c r="P298" s="33"/>
      <c r="Q298" s="33"/>
      <c r="R298" s="33"/>
      <c r="S298" s="33"/>
      <c r="Z298" s="13">
        <f>sum(T298:Y298)</f>
        <v>0</v>
      </c>
    </row>
    <row r="299">
      <c r="A299" s="51" t="s">
        <v>144</v>
      </c>
      <c r="I299" s="31"/>
      <c r="J299" s="46">
        <v>1.0</v>
      </c>
      <c r="K299" s="49">
        <v>1.0</v>
      </c>
      <c r="L299" s="31"/>
      <c r="M299" s="31"/>
      <c r="O299" s="31"/>
      <c r="P299" s="31">
        <v>80.0</v>
      </c>
      <c r="Q299" s="32">
        <v>80.0</v>
      </c>
      <c r="R299" s="31"/>
      <c r="S299" s="31"/>
      <c r="T299" s="53">
        <f>O299+P299+Q299+R299+S299+O300+P300+Q300+R300+S300+N300</f>
        <v>240</v>
      </c>
      <c r="Z299" s="13">
        <f>sum(T299:Y299)*1000</f>
        <v>240000</v>
      </c>
      <c r="AA299" s="13">
        <f>Z299+Z300</f>
        <v>255500</v>
      </c>
    </row>
    <row r="300">
      <c r="A300" s="27"/>
      <c r="I300" s="33"/>
      <c r="J300" s="33"/>
      <c r="K300" s="35">
        <v>1.0</v>
      </c>
      <c r="L300" s="33"/>
      <c r="M300" s="33"/>
      <c r="O300" s="33"/>
      <c r="P300" s="33"/>
      <c r="Q300" s="33">
        <v>80.0</v>
      </c>
      <c r="R300" s="33"/>
      <c r="S300" s="33"/>
      <c r="T300" s="53"/>
      <c r="V300" s="13">
        <f>(L314-$V$225)*500</f>
        <v>7500</v>
      </c>
      <c r="X300" s="13">
        <f>(P314-$V$225)*500</f>
        <v>8000</v>
      </c>
      <c r="Z300" s="13">
        <f>sum(T300:Y300)</f>
        <v>15500</v>
      </c>
    </row>
    <row r="301">
      <c r="A301" s="51" t="s">
        <v>145</v>
      </c>
      <c r="I301" s="45"/>
      <c r="J301" s="31"/>
      <c r="K301" s="32"/>
      <c r="L301" s="71"/>
      <c r="M301" s="32"/>
      <c r="O301" s="31"/>
      <c r="P301" s="31"/>
      <c r="Q301" s="32"/>
      <c r="R301" s="31"/>
      <c r="S301" s="31"/>
      <c r="T301" s="60">
        <f>O301+P301+Q301+R301+S301+O302+P302+Q302+R302+S302+N302</f>
        <v>0</v>
      </c>
      <c r="Z301" s="13">
        <f>sum(T301:Y301)*1000</f>
        <v>0</v>
      </c>
    </row>
    <row r="302">
      <c r="A302" s="27"/>
      <c r="I302" s="33"/>
      <c r="J302" s="33"/>
      <c r="K302" s="33"/>
      <c r="L302" s="33"/>
      <c r="M302" s="33"/>
      <c r="O302" s="33"/>
      <c r="P302" s="33"/>
      <c r="Q302" s="33"/>
      <c r="R302" s="33"/>
      <c r="S302" s="33"/>
      <c r="T302" s="60"/>
      <c r="Z302" s="13">
        <f>sum(T302:Y302)</f>
        <v>0</v>
      </c>
    </row>
    <row r="303">
      <c r="H303" s="4" t="s">
        <v>113</v>
      </c>
      <c r="I303" s="13">
        <f t="shared" ref="I303:M303" si="34">I273+I275+I277+I279+I281+I283+I285+I287+I289+I291+I293+I295+I297+I299+I301</f>
        <v>0</v>
      </c>
      <c r="J303" s="13">
        <f t="shared" si="34"/>
        <v>4</v>
      </c>
      <c r="K303" s="13">
        <f t="shared" si="34"/>
        <v>3</v>
      </c>
      <c r="L303" s="13">
        <f t="shared" si="34"/>
        <v>0</v>
      </c>
      <c r="M303" s="13">
        <f t="shared" si="34"/>
        <v>0</v>
      </c>
    </row>
    <row r="304">
      <c r="H304" s="4" t="s">
        <v>114</v>
      </c>
      <c r="I304" s="13">
        <f t="shared" ref="I304:M304" si="35">I274+I276+I278+I280+I282+I284+I286+I288+I290+I292+I294+I296+I298+I300+I302</f>
        <v>0</v>
      </c>
      <c r="J304" s="13">
        <f t="shared" si="35"/>
        <v>2</v>
      </c>
      <c r="K304" s="13">
        <f t="shared" si="35"/>
        <v>3</v>
      </c>
      <c r="L304" s="13">
        <f t="shared" si="35"/>
        <v>0</v>
      </c>
      <c r="M304" s="13">
        <f t="shared" si="35"/>
        <v>0</v>
      </c>
    </row>
    <row r="305">
      <c r="H305" s="61" t="s">
        <v>46</v>
      </c>
      <c r="L305" s="62" t="s">
        <v>47</v>
      </c>
      <c r="P305" s="63" t="s">
        <v>48</v>
      </c>
      <c r="T305" s="64" t="s">
        <v>49</v>
      </c>
      <c r="X305" s="65" t="s">
        <v>50</v>
      </c>
      <c r="AB305" s="65"/>
    </row>
    <row r="306">
      <c r="H306" s="2" t="s">
        <v>54</v>
      </c>
      <c r="J306" s="2" t="s">
        <v>55</v>
      </c>
      <c r="L306" s="2" t="s">
        <v>54</v>
      </c>
      <c r="N306" s="2" t="s">
        <v>55</v>
      </c>
      <c r="P306" s="2" t="s">
        <v>54</v>
      </c>
      <c r="R306" s="2" t="s">
        <v>55</v>
      </c>
      <c r="T306" s="2" t="s">
        <v>54</v>
      </c>
      <c r="V306" s="2" t="s">
        <v>55</v>
      </c>
      <c r="X306" s="2" t="s">
        <v>54</v>
      </c>
      <c r="Z306" s="2" t="s">
        <v>55</v>
      </c>
      <c r="AB306" s="2"/>
    </row>
    <row r="307">
      <c r="A307" s="4" t="s">
        <v>89</v>
      </c>
      <c r="H307" s="72"/>
      <c r="I307" s="73"/>
      <c r="L307" s="13">
        <f>'Nhập hàng New'!L648</f>
        <v>83</v>
      </c>
      <c r="M307" s="4" t="s">
        <v>138</v>
      </c>
      <c r="O307" s="4" t="s">
        <v>167</v>
      </c>
      <c r="P307" s="4">
        <v>71.0</v>
      </c>
      <c r="Q307" s="4" t="s">
        <v>104</v>
      </c>
      <c r="R307" s="72"/>
      <c r="S307" s="75" t="s">
        <v>122</v>
      </c>
      <c r="T307" s="74"/>
      <c r="U307" s="72"/>
      <c r="V307" s="74"/>
      <c r="W307" s="75"/>
      <c r="X307" s="74"/>
      <c r="Y307" s="75"/>
    </row>
    <row r="308">
      <c r="A308" s="4" t="s">
        <v>93</v>
      </c>
      <c r="H308" s="72"/>
      <c r="I308" s="73"/>
      <c r="Q308" s="76"/>
      <c r="R308" s="74"/>
      <c r="S308" s="75"/>
      <c r="T308" s="74"/>
      <c r="U308" s="72"/>
      <c r="V308" s="74"/>
      <c r="W308" s="74"/>
      <c r="X308" s="74"/>
      <c r="Y308" s="72"/>
    </row>
    <row r="309">
      <c r="A309" s="4" t="s">
        <v>79</v>
      </c>
      <c r="H309" s="72"/>
      <c r="I309" s="73"/>
      <c r="R309" s="74"/>
      <c r="S309" s="75"/>
      <c r="T309" s="74"/>
      <c r="U309" s="72"/>
      <c r="V309" s="74"/>
      <c r="W309" s="74"/>
      <c r="X309" s="74"/>
      <c r="Y309" s="72"/>
    </row>
    <row r="310">
      <c r="A310" s="4" t="s">
        <v>102</v>
      </c>
      <c r="H310" s="72"/>
      <c r="I310" s="73"/>
      <c r="L310" s="13">
        <f>'Nhập hàng New'!N648</f>
        <v>105</v>
      </c>
      <c r="M310" s="4" t="s">
        <v>134</v>
      </c>
      <c r="O310" s="4" t="s">
        <v>134</v>
      </c>
      <c r="P310" s="4">
        <f>'Nhập hàng New'!N664</f>
        <v>106</v>
      </c>
      <c r="Q310" s="72" t="s">
        <v>134</v>
      </c>
      <c r="R310" s="72"/>
      <c r="S310" s="75" t="s">
        <v>138</v>
      </c>
      <c r="T310" s="74"/>
      <c r="U310" s="72"/>
      <c r="V310" s="74"/>
      <c r="W310" s="75"/>
      <c r="X310" s="74"/>
      <c r="Y310" s="75"/>
    </row>
    <row r="311">
      <c r="A311" s="4" t="s">
        <v>105</v>
      </c>
      <c r="H311" s="72"/>
      <c r="I311" s="73"/>
      <c r="L311" s="13">
        <f>'Nhập hàng New'!M648</f>
        <v>79</v>
      </c>
      <c r="M311" s="4" t="s">
        <v>122</v>
      </c>
      <c r="P311" s="13">
        <f>'Nhập hàng New'!M664</f>
        <v>75</v>
      </c>
      <c r="Q311" s="4" t="s">
        <v>122</v>
      </c>
      <c r="R311" s="74"/>
      <c r="S311" s="75"/>
      <c r="T311" s="74"/>
      <c r="U311" s="72"/>
      <c r="V311" s="74"/>
      <c r="W311" s="74"/>
      <c r="X311" s="74"/>
      <c r="Y311" s="75"/>
    </row>
    <row r="312">
      <c r="A312" s="4" t="s">
        <v>128</v>
      </c>
      <c r="I312" s="73"/>
      <c r="Q312" s="72"/>
      <c r="R312" s="74"/>
      <c r="S312" s="75"/>
      <c r="T312" s="74"/>
      <c r="V312" s="74"/>
      <c r="W312" s="75"/>
      <c r="X312" s="74"/>
      <c r="Y312" s="72"/>
    </row>
    <row r="313">
      <c r="A313" s="4" t="s">
        <v>157</v>
      </c>
      <c r="H313" s="72"/>
      <c r="I313" s="73"/>
      <c r="Q313" s="72"/>
      <c r="R313" s="74"/>
      <c r="S313" s="72"/>
      <c r="T313" s="74"/>
      <c r="U313" s="72"/>
      <c r="V313" s="74"/>
      <c r="W313" s="75"/>
      <c r="X313" s="74"/>
      <c r="Y313" s="72"/>
    </row>
    <row r="314">
      <c r="A314" s="4" t="s">
        <v>155</v>
      </c>
      <c r="H314" s="72"/>
      <c r="I314" s="73"/>
      <c r="L314" s="13">
        <f>'Nhập hàng New'!Q648</f>
        <v>65</v>
      </c>
      <c r="M314" s="4" t="s">
        <v>159</v>
      </c>
      <c r="P314" s="13">
        <f>'Nhập hàng New'!Q664</f>
        <v>66</v>
      </c>
      <c r="Q314" s="72" t="s">
        <v>159</v>
      </c>
      <c r="R314" s="72"/>
      <c r="S314" s="72" t="s">
        <v>159</v>
      </c>
      <c r="T314" s="74"/>
      <c r="U314" s="72"/>
      <c r="V314" s="74"/>
      <c r="W314" s="72"/>
      <c r="X314" s="74"/>
      <c r="Y314" s="59"/>
    </row>
    <row r="316">
      <c r="I316" s="26" t="s">
        <v>46</v>
      </c>
      <c r="J316" s="26" t="s">
        <v>47</v>
      </c>
      <c r="K316" s="26" t="s">
        <v>48</v>
      </c>
      <c r="L316" s="26" t="s">
        <v>49</v>
      </c>
      <c r="M316" s="26" t="s">
        <v>50</v>
      </c>
      <c r="O316" s="26" t="s">
        <v>46</v>
      </c>
      <c r="P316" s="26" t="s">
        <v>47</v>
      </c>
      <c r="Q316" s="26" t="s">
        <v>48</v>
      </c>
      <c r="R316" s="26" t="s">
        <v>49</v>
      </c>
      <c r="S316" s="26" t="s">
        <v>50</v>
      </c>
      <c r="V316" s="4">
        <v>50.0</v>
      </c>
      <c r="AA316" s="59"/>
      <c r="AB316" s="2" t="s">
        <v>160</v>
      </c>
    </row>
    <row r="317">
      <c r="I317" s="28">
        <v>46146.0</v>
      </c>
      <c r="J317" s="29">
        <f t="shared" ref="J317:M317" si="36">I317+1</f>
        <v>46147</v>
      </c>
      <c r="K317" s="28">
        <f t="shared" si="36"/>
        <v>46148</v>
      </c>
      <c r="L317" s="29">
        <f t="shared" si="36"/>
        <v>46149</v>
      </c>
      <c r="M317" s="28">
        <f t="shared" si="36"/>
        <v>46150</v>
      </c>
      <c r="O317" s="29">
        <f t="shared" ref="O317:S317" si="37">I317</f>
        <v>46146</v>
      </c>
      <c r="P317" s="29">
        <f t="shared" si="37"/>
        <v>46147</v>
      </c>
      <c r="Q317" s="29">
        <f t="shared" si="37"/>
        <v>46148</v>
      </c>
      <c r="R317" s="29">
        <f t="shared" si="37"/>
        <v>46149</v>
      </c>
      <c r="S317" s="29">
        <f t="shared" si="37"/>
        <v>46150</v>
      </c>
      <c r="Z317" s="2" t="s">
        <v>16</v>
      </c>
      <c r="AB317" s="4">
        <v>200000.0</v>
      </c>
    </row>
    <row r="318">
      <c r="A318" s="38" t="s">
        <v>53</v>
      </c>
      <c r="H318" s="4" t="s">
        <v>107</v>
      </c>
      <c r="I318" s="31">
        <v>1.0</v>
      </c>
      <c r="J318" s="23"/>
      <c r="K318" s="31">
        <v>1.0</v>
      </c>
      <c r="L318" s="31"/>
      <c r="M318" s="32"/>
      <c r="O318" s="31">
        <v>70.0</v>
      </c>
      <c r="P318" s="23"/>
      <c r="Q318" s="31">
        <v>70.0</v>
      </c>
      <c r="R318" s="23"/>
      <c r="S318" s="32"/>
      <c r="T318" s="52">
        <f>O318+P318+Q318+R318+S318+O319+P319+Q319+R319+S319</f>
        <v>380</v>
      </c>
      <c r="Z318" s="13">
        <f t="shared" ref="Z318:Z320" si="38">sum(T318:Y318)*1000</f>
        <v>380000</v>
      </c>
      <c r="AA318" s="13">
        <f>Z318+Z319</f>
        <v>380000</v>
      </c>
    </row>
    <row r="319">
      <c r="A319" s="27"/>
      <c r="H319" s="4" t="s">
        <v>88</v>
      </c>
      <c r="I319" s="35">
        <v>1.0</v>
      </c>
      <c r="J319" s="35">
        <v>1.0</v>
      </c>
      <c r="K319" s="33"/>
      <c r="L319" s="35">
        <v>1.0</v>
      </c>
      <c r="M319" s="24"/>
      <c r="O319" s="33">
        <v>80.0</v>
      </c>
      <c r="P319" s="33">
        <v>80.0</v>
      </c>
      <c r="Q319" s="33"/>
      <c r="R319" s="33">
        <v>80.0</v>
      </c>
      <c r="S319" s="24"/>
      <c r="T319" s="52"/>
      <c r="Z319" s="13">
        <f t="shared" si="38"/>
        <v>0</v>
      </c>
    </row>
    <row r="320">
      <c r="A320" s="38" t="s">
        <v>108</v>
      </c>
      <c r="I320" s="46">
        <v>1.0</v>
      </c>
      <c r="J320" s="46">
        <v>1.0</v>
      </c>
      <c r="K320" s="49">
        <v>1.0</v>
      </c>
      <c r="L320" s="46">
        <v>1.0</v>
      </c>
      <c r="M320" s="31">
        <v>1.0</v>
      </c>
      <c r="O320" s="31">
        <v>80.0</v>
      </c>
      <c r="P320" s="31">
        <v>80.0</v>
      </c>
      <c r="Q320" s="31">
        <v>80.0</v>
      </c>
      <c r="R320" s="31">
        <v>80.0</v>
      </c>
      <c r="S320" s="31">
        <v>70.0</v>
      </c>
      <c r="T320" s="53">
        <f>O320+P320+Q320+R320+S320+O321+P321+Q321+R321+S321</f>
        <v>630</v>
      </c>
      <c r="Z320" s="13">
        <f t="shared" si="38"/>
        <v>630000</v>
      </c>
      <c r="AA320" s="13">
        <f>Z320+Z321+AA275</f>
        <v>1040000</v>
      </c>
      <c r="AB320" s="4">
        <v>50000.0</v>
      </c>
    </row>
    <row r="321">
      <c r="A321" s="27"/>
      <c r="I321" s="33"/>
      <c r="J321" s="35">
        <v>1.0</v>
      </c>
      <c r="K321" s="35">
        <v>1.0</v>
      </c>
      <c r="L321" s="35">
        <v>1.0</v>
      </c>
      <c r="M321" s="33"/>
      <c r="O321" s="24"/>
      <c r="P321" s="33">
        <v>80.0</v>
      </c>
      <c r="Q321" s="33">
        <v>80.0</v>
      </c>
      <c r="R321" s="33">
        <v>80.0</v>
      </c>
      <c r="S321" s="24"/>
      <c r="T321" s="53"/>
      <c r="U321" s="13">
        <f>(H355-50)*500</f>
        <v>27500</v>
      </c>
      <c r="V321" s="13">
        <f>(L355-50)*500</f>
        <v>29000</v>
      </c>
      <c r="W321" s="13">
        <f>(P355-50)*500</f>
        <v>29000</v>
      </c>
      <c r="X321" s="13">
        <f>(T355-50)*500</f>
        <v>29000</v>
      </c>
      <c r="Z321" s="13">
        <f>sum(T321:Y321)</f>
        <v>114500</v>
      </c>
    </row>
    <row r="322">
      <c r="A322" s="38" t="s">
        <v>57</v>
      </c>
      <c r="I322" s="23"/>
      <c r="J322" s="23"/>
      <c r="K322" s="31"/>
      <c r="L322" s="31"/>
      <c r="M322" s="31"/>
      <c r="O322" s="23"/>
      <c r="P322" s="23"/>
      <c r="Q322" s="31"/>
      <c r="R322" s="23"/>
      <c r="S322" s="31"/>
      <c r="T322" s="54">
        <f>O322+P322+Q322+R322+S322+O323+P323+Q323+R323+S323</f>
        <v>160</v>
      </c>
      <c r="Z322" s="13">
        <f>sum(T322:Y322)*1000</f>
        <v>160000</v>
      </c>
      <c r="AA322" s="13">
        <f>Z322+Z323</f>
        <v>160000</v>
      </c>
    </row>
    <row r="323">
      <c r="A323" s="27"/>
      <c r="I323" s="35">
        <v>1.0</v>
      </c>
      <c r="J323" s="33"/>
      <c r="K323" s="33"/>
      <c r="L323" s="35">
        <v>1.0</v>
      </c>
      <c r="M323" s="24"/>
      <c r="O323" s="33">
        <v>80.0</v>
      </c>
      <c r="P323" s="33"/>
      <c r="Q323" s="33"/>
      <c r="R323" s="33">
        <v>80.0</v>
      </c>
      <c r="S323" s="24"/>
      <c r="T323" s="54"/>
      <c r="Z323" s="13">
        <f>sum(T323:Y323)</f>
        <v>0</v>
      </c>
    </row>
    <row r="324">
      <c r="A324" s="38" t="s">
        <v>109</v>
      </c>
      <c r="I324" s="31"/>
      <c r="J324" s="31"/>
      <c r="K324" s="31"/>
      <c r="L324" s="31"/>
      <c r="M324" s="31"/>
      <c r="O324" s="23"/>
      <c r="P324" s="31"/>
      <c r="Q324" s="31"/>
      <c r="R324" s="31"/>
      <c r="S324" s="31"/>
      <c r="T324" s="13">
        <f>O324+P324+Q324+R324+S324+O325+P325+Q325+R325+S325</f>
        <v>0</v>
      </c>
      <c r="Z324" s="13">
        <f>sum(T324:Y324)*1000</f>
        <v>0</v>
      </c>
      <c r="AA324" s="13">
        <f>Z324+Z325</f>
        <v>0</v>
      </c>
    </row>
    <row r="325">
      <c r="A325" s="27"/>
      <c r="I325" s="24"/>
      <c r="J325" s="33"/>
      <c r="K325" s="33"/>
      <c r="L325" s="33"/>
      <c r="M325" s="24"/>
      <c r="O325" s="24"/>
      <c r="P325" s="33"/>
      <c r="Q325" s="33"/>
      <c r="R325" s="33"/>
      <c r="S325" s="24"/>
      <c r="Z325" s="13">
        <f>sum(T325:Y325)</f>
        <v>0</v>
      </c>
    </row>
    <row r="326">
      <c r="A326" s="38" t="s">
        <v>111</v>
      </c>
      <c r="I326" s="46">
        <v>1.0</v>
      </c>
      <c r="J326" s="46">
        <v>1.0</v>
      </c>
      <c r="K326" s="31"/>
      <c r="L326" s="46">
        <v>1.0</v>
      </c>
      <c r="M326" s="46">
        <v>1.0</v>
      </c>
      <c r="O326" s="31">
        <v>80.0</v>
      </c>
      <c r="P326" s="31">
        <v>80.0</v>
      </c>
      <c r="Q326" s="31"/>
      <c r="R326" s="31">
        <v>80.0</v>
      </c>
      <c r="S326" s="31">
        <v>80.0</v>
      </c>
      <c r="T326" s="56">
        <f>O326+P326+Q326+R326+S326+O327+P327+Q327+R327+S327</f>
        <v>550</v>
      </c>
      <c r="U326" s="4">
        <v>17.0</v>
      </c>
      <c r="Z326" s="13">
        <f>sum(T326:Y326)*1000</f>
        <v>567000</v>
      </c>
      <c r="AA326" s="13">
        <f>Z326+Z327+AA281</f>
        <v>932500</v>
      </c>
    </row>
    <row r="327">
      <c r="A327" s="27"/>
      <c r="I327" s="33"/>
      <c r="J327" s="35">
        <v>1.0</v>
      </c>
      <c r="K327" s="33"/>
      <c r="L327" s="35">
        <v>1.0</v>
      </c>
      <c r="M327" s="33">
        <v>1.0</v>
      </c>
      <c r="O327" s="33"/>
      <c r="P327" s="33">
        <v>80.0</v>
      </c>
      <c r="Q327" s="33"/>
      <c r="R327" s="33">
        <v>80.0</v>
      </c>
      <c r="S327" s="33">
        <v>70.0</v>
      </c>
      <c r="T327" s="56"/>
      <c r="V327" s="13">
        <f>(L356-$V$225)*500</f>
        <v>19000</v>
      </c>
      <c r="W327" s="13">
        <f>(P356-$V$225)*500</f>
        <v>19500</v>
      </c>
      <c r="Z327" s="13">
        <f>sum(T327:Y327)</f>
        <v>38500</v>
      </c>
    </row>
    <row r="328">
      <c r="A328" s="38" t="s">
        <v>60</v>
      </c>
      <c r="I328" s="31"/>
      <c r="J328" s="23"/>
      <c r="K328" s="31"/>
      <c r="L328" s="31"/>
      <c r="M328" s="31"/>
      <c r="O328" s="31"/>
      <c r="P328" s="23"/>
      <c r="Q328" s="31"/>
      <c r="R328" s="31"/>
      <c r="S328" s="31"/>
      <c r="T328" s="53">
        <f>O328+P328+Q328+R328+S328+O329+P329+Q329+R329+S329+N329</f>
        <v>0</v>
      </c>
      <c r="Z328" s="13">
        <f>sum(T328:Y328)*1000</f>
        <v>0</v>
      </c>
      <c r="AA328" s="13">
        <f>Z328+Z329</f>
        <v>0</v>
      </c>
    </row>
    <row r="329">
      <c r="A329" s="27"/>
      <c r="I329" s="33"/>
      <c r="J329" s="33"/>
      <c r="K329" s="33"/>
      <c r="L329" s="33"/>
      <c r="M329" s="33"/>
      <c r="O329" s="33"/>
      <c r="P329" s="33"/>
      <c r="Q329" s="33"/>
      <c r="R329" s="33"/>
      <c r="S329" s="33"/>
      <c r="T329" s="53"/>
      <c r="Z329" s="13">
        <f>sum(T329:Y329)</f>
        <v>0</v>
      </c>
    </row>
    <row r="330">
      <c r="A330" s="38" t="s">
        <v>141</v>
      </c>
      <c r="I330" s="31"/>
      <c r="J330" s="31"/>
      <c r="K330" s="31">
        <v>1.0</v>
      </c>
      <c r="L330" s="31">
        <v>1.0</v>
      </c>
      <c r="M330" s="46">
        <v>1.0</v>
      </c>
      <c r="O330" s="23"/>
      <c r="P330" s="31"/>
      <c r="Q330" s="31">
        <v>70.0</v>
      </c>
      <c r="R330" s="31">
        <v>70.0</v>
      </c>
      <c r="S330" s="32">
        <v>80.0</v>
      </c>
      <c r="T330" s="13">
        <f>O330+P330+Q330+R330+S330+O331+P331+Q331+R331+S331</f>
        <v>220</v>
      </c>
      <c r="U330" s="4">
        <v>50.0</v>
      </c>
      <c r="V330" s="4">
        <v>50.0</v>
      </c>
      <c r="W330" s="4">
        <v>50.0</v>
      </c>
      <c r="X330" s="4">
        <v>50.0</v>
      </c>
      <c r="Y330" s="4">
        <v>50.0</v>
      </c>
      <c r="Z330" s="13">
        <f>sum(T330:Y330)*1000</f>
        <v>470000</v>
      </c>
      <c r="AA330" s="13">
        <f>Z330+Z331</f>
        <v>470000</v>
      </c>
    </row>
    <row r="331">
      <c r="A331" s="27"/>
      <c r="I331" s="33"/>
      <c r="J331" s="33"/>
      <c r="K331" s="33"/>
      <c r="L331" s="33"/>
      <c r="M331" s="24"/>
      <c r="O331" s="33"/>
      <c r="P331" s="33"/>
      <c r="Q331" s="33"/>
      <c r="R331" s="33"/>
      <c r="S331" s="24"/>
    </row>
    <row r="332">
      <c r="A332" s="38" t="s">
        <v>142</v>
      </c>
      <c r="I332" s="31">
        <v>1.0</v>
      </c>
      <c r="J332" s="31">
        <v>1.0</v>
      </c>
      <c r="K332" s="31"/>
      <c r="L332" s="46">
        <v>1.0</v>
      </c>
      <c r="M332" s="46">
        <v>1.0</v>
      </c>
      <c r="O332" s="31">
        <v>70.0</v>
      </c>
      <c r="P332" s="31">
        <v>70.0</v>
      </c>
      <c r="Q332" s="31"/>
      <c r="R332" s="31">
        <v>80.0</v>
      </c>
      <c r="S332" s="31">
        <v>80.0</v>
      </c>
      <c r="T332" s="53">
        <f>O332+P332+Q332+R332+S332+O333+P333+Q333+R333+S333+N333</f>
        <v>300</v>
      </c>
      <c r="U332" s="4">
        <v>50.0</v>
      </c>
      <c r="V332" s="4">
        <v>50.0</v>
      </c>
      <c r="X332" s="4">
        <v>50.0</v>
      </c>
      <c r="Y332" s="4">
        <v>50.0</v>
      </c>
      <c r="Z332" s="13">
        <f>sum(T332:Y332)*1000</f>
        <v>500000</v>
      </c>
      <c r="AA332" s="13">
        <f>Z332+Z333</f>
        <v>510500</v>
      </c>
    </row>
    <row r="333">
      <c r="A333" s="27"/>
      <c r="I333" s="33"/>
      <c r="J333" s="33"/>
      <c r="K333" s="33"/>
      <c r="L333" s="33"/>
      <c r="M333" s="24"/>
      <c r="O333" s="33"/>
      <c r="P333" s="33"/>
      <c r="Q333" s="33"/>
      <c r="R333" s="33"/>
      <c r="S333" s="24"/>
      <c r="T333" s="53"/>
      <c r="Y333" s="13">
        <f>(X360-$V$225)*500</f>
        <v>10500</v>
      </c>
      <c r="Z333" s="13">
        <f>sum(T333:Y333)</f>
        <v>10500</v>
      </c>
    </row>
    <row r="334">
      <c r="A334" s="38" t="s">
        <v>130</v>
      </c>
      <c r="I334" s="46">
        <v>1.0</v>
      </c>
      <c r="J334" s="31">
        <v>1.0</v>
      </c>
      <c r="K334" s="46">
        <v>1.0</v>
      </c>
      <c r="L334" s="23"/>
      <c r="M334" s="49">
        <v>1.0</v>
      </c>
      <c r="O334" s="31">
        <v>80.0</v>
      </c>
      <c r="P334" s="31">
        <v>70.0</v>
      </c>
      <c r="Q334" s="31">
        <v>80.0</v>
      </c>
      <c r="R334" s="23"/>
      <c r="S334" s="32">
        <v>80.0</v>
      </c>
      <c r="T334" s="13">
        <f>O334+P334+Q334+R334+S334+O335+P335+Q335+R335+S335</f>
        <v>470</v>
      </c>
      <c r="Z334" s="13">
        <f>sum(T334:Y334)*1000</f>
        <v>470000</v>
      </c>
      <c r="AA334" s="13">
        <f>Z334+Z335+AA289</f>
        <v>662500</v>
      </c>
    </row>
    <row r="335">
      <c r="A335" s="27"/>
      <c r="I335" s="35">
        <v>1.0</v>
      </c>
      <c r="J335" s="33"/>
      <c r="K335" s="33"/>
      <c r="L335" s="33"/>
      <c r="M335" s="35">
        <v>1.0</v>
      </c>
      <c r="O335" s="33">
        <v>80.0</v>
      </c>
      <c r="P335" s="33"/>
      <c r="Q335" s="33"/>
      <c r="R335" s="33"/>
      <c r="S335" s="33">
        <v>80.0</v>
      </c>
      <c r="W335" s="13">
        <f>(P356-$V$225)*500</f>
        <v>19500</v>
      </c>
      <c r="Y335" s="13">
        <f>(X359-$V$225)*500</f>
        <v>6500</v>
      </c>
      <c r="Z335" s="13">
        <f>sum(T335:Y335)</f>
        <v>26000</v>
      </c>
    </row>
    <row r="336">
      <c r="A336" s="50" t="s">
        <v>73</v>
      </c>
      <c r="I336" s="31"/>
      <c r="J336" s="31"/>
      <c r="K336" s="31"/>
      <c r="L336" s="31"/>
      <c r="M336" s="31"/>
      <c r="O336" s="31"/>
      <c r="P336" s="31"/>
      <c r="Q336" s="31"/>
      <c r="R336" s="23"/>
      <c r="S336" s="31"/>
      <c r="T336" s="53">
        <f>O336+P336+Q336+R336+S336+O337+P337+Q337+R337+S337+N337</f>
        <v>0</v>
      </c>
      <c r="Z336" s="13">
        <f>sum(T336:Y336)*1000</f>
        <v>0</v>
      </c>
      <c r="AA336" s="13">
        <f>Z336+Z337</f>
        <v>0</v>
      </c>
    </row>
    <row r="337">
      <c r="A337" s="27"/>
      <c r="I337" s="33"/>
      <c r="J337" s="33"/>
      <c r="K337" s="33"/>
      <c r="L337" s="33"/>
      <c r="M337" s="24"/>
      <c r="O337" s="33"/>
      <c r="P337" s="33"/>
      <c r="Q337" s="33"/>
      <c r="R337" s="33"/>
      <c r="S337" s="24"/>
      <c r="T337" s="53"/>
      <c r="Z337" s="13">
        <f>sum(T337:Y337)</f>
        <v>0</v>
      </c>
    </row>
    <row r="338">
      <c r="A338" s="51" t="s">
        <v>82</v>
      </c>
      <c r="I338" s="31">
        <v>1.0</v>
      </c>
      <c r="J338" s="31">
        <v>1.0</v>
      </c>
      <c r="K338" s="32">
        <v>1.0</v>
      </c>
      <c r="L338" s="31">
        <v>1.0</v>
      </c>
      <c r="M338" s="31">
        <v>1.0</v>
      </c>
      <c r="O338" s="31">
        <v>70.0</v>
      </c>
      <c r="P338" s="31">
        <v>70.0</v>
      </c>
      <c r="Q338" s="31">
        <v>70.0</v>
      </c>
      <c r="R338" s="31">
        <v>70.0</v>
      </c>
      <c r="S338" s="31">
        <v>70.0</v>
      </c>
      <c r="T338" s="13">
        <f>O338+P338+Q338+R338+S338+O339+P339+Q339+R339+S339</f>
        <v>500</v>
      </c>
      <c r="Z338" s="13">
        <f>sum(T338:Y338)*1000</f>
        <v>500000</v>
      </c>
      <c r="AA338" s="68">
        <f>Z338+Z339</f>
        <v>576000</v>
      </c>
      <c r="AB338" s="4">
        <v>50000.0</v>
      </c>
    </row>
    <row r="339">
      <c r="A339" s="27"/>
      <c r="I339" s="33"/>
      <c r="J339" s="33"/>
      <c r="K339" s="33">
        <v>1.0</v>
      </c>
      <c r="L339" s="35">
        <v>1.0</v>
      </c>
      <c r="M339" s="33"/>
      <c r="O339" s="33"/>
      <c r="P339" s="33"/>
      <c r="Q339" s="33">
        <v>70.0</v>
      </c>
      <c r="R339" s="33">
        <v>80.0</v>
      </c>
      <c r="S339" s="33"/>
      <c r="U339" s="13">
        <f>(H352-$V$225)*500</f>
        <v>1500</v>
      </c>
      <c r="V339" s="13">
        <f>(L352-$V$225)*500</f>
        <v>14000</v>
      </c>
      <c r="W339" s="13">
        <f>(P352-$V$225)*500</f>
        <v>21000</v>
      </c>
      <c r="X339" s="13">
        <f>(T352-$V$225)*500</f>
        <v>22500</v>
      </c>
      <c r="Y339" s="13">
        <f>(X352-$V$225)*500</f>
        <v>17000</v>
      </c>
      <c r="Z339" s="13">
        <f>sum(T339:Y339)</f>
        <v>76000</v>
      </c>
    </row>
    <row r="340">
      <c r="A340" s="51" t="s">
        <v>143</v>
      </c>
      <c r="I340" s="31"/>
      <c r="J340" s="46">
        <v>1.0</v>
      </c>
      <c r="K340" s="46">
        <v>1.0</v>
      </c>
      <c r="L340" s="46">
        <v>1.0</v>
      </c>
      <c r="M340" s="31"/>
      <c r="O340" s="31"/>
      <c r="P340" s="31">
        <v>80.0</v>
      </c>
      <c r="Q340" s="31">
        <v>80.0</v>
      </c>
      <c r="R340" s="31">
        <v>80.0</v>
      </c>
      <c r="S340" s="31"/>
      <c r="T340" s="53">
        <f>O340+P340+Q340+R340+S340+O341+P341+Q341+R341+S341+N341</f>
        <v>400</v>
      </c>
      <c r="Z340" s="13">
        <f>sum(T340:Y340)*1000</f>
        <v>400000</v>
      </c>
      <c r="AA340" s="13">
        <f>Z340+Z341</f>
        <v>409500</v>
      </c>
    </row>
    <row r="341">
      <c r="A341" s="27"/>
      <c r="I341" s="33"/>
      <c r="J341" s="35">
        <v>1.0</v>
      </c>
      <c r="K341" s="35">
        <v>1.0</v>
      </c>
      <c r="L341" s="33"/>
      <c r="M341" s="33"/>
      <c r="O341" s="33"/>
      <c r="P341" s="33">
        <v>80.0</v>
      </c>
      <c r="Q341" s="33">
        <v>80.0</v>
      </c>
      <c r="R341" s="33"/>
      <c r="S341" s="33"/>
      <c r="T341" s="53"/>
      <c r="W341" s="13">
        <f>(P359-50)*500</f>
        <v>9500</v>
      </c>
      <c r="Z341" s="13">
        <f>sum(T341:Y341)</f>
        <v>9500</v>
      </c>
    </row>
    <row r="342">
      <c r="A342" s="51" t="s">
        <v>86</v>
      </c>
      <c r="I342" s="31"/>
      <c r="J342" s="46">
        <v>1.0</v>
      </c>
      <c r="K342" s="49">
        <v>1.0</v>
      </c>
      <c r="L342" s="46">
        <v>1.0</v>
      </c>
      <c r="M342" s="46">
        <v>1.0</v>
      </c>
      <c r="O342" s="31"/>
      <c r="P342" s="31">
        <v>80.0</v>
      </c>
      <c r="Q342" s="31">
        <v>80.0</v>
      </c>
      <c r="R342" s="31">
        <v>80.0</v>
      </c>
      <c r="S342" s="31">
        <v>80.0</v>
      </c>
      <c r="T342" s="13">
        <f>O342+P342+Q342+R342+S342+O343+P343+Q343+R343+S343</f>
        <v>480</v>
      </c>
      <c r="Z342" s="13">
        <f>sum(T342:Y342)*1000</f>
        <v>480000</v>
      </c>
      <c r="AA342" s="13">
        <f>Z342+Z343</f>
        <v>511000</v>
      </c>
    </row>
    <row r="343">
      <c r="A343" s="27"/>
      <c r="I343" s="33"/>
      <c r="J343" s="33"/>
      <c r="K343" s="35">
        <v>1.0</v>
      </c>
      <c r="L343" s="33"/>
      <c r="M343" s="35">
        <v>1.0</v>
      </c>
      <c r="O343" s="33"/>
      <c r="P343" s="33"/>
      <c r="Q343" s="33">
        <v>80.0</v>
      </c>
      <c r="R343" s="33"/>
      <c r="S343" s="33">
        <v>80.0</v>
      </c>
      <c r="W343" s="13">
        <f>(P357-50)*500</f>
        <v>4000</v>
      </c>
      <c r="Y343" s="13">
        <f>(X355-$V$225)*500</f>
        <v>27000</v>
      </c>
      <c r="Z343" s="13">
        <f>sum(T343:Y343)</f>
        <v>31000</v>
      </c>
    </row>
    <row r="344">
      <c r="A344" s="51" t="s">
        <v>144</v>
      </c>
      <c r="I344" s="46">
        <v>1.0</v>
      </c>
      <c r="J344" s="46">
        <v>1.0</v>
      </c>
      <c r="K344" s="32"/>
      <c r="L344" s="46">
        <v>1.0</v>
      </c>
      <c r="M344" s="31"/>
      <c r="O344" s="31">
        <v>80.0</v>
      </c>
      <c r="P344" s="31">
        <v>80.0</v>
      </c>
      <c r="Q344" s="32"/>
      <c r="R344" s="31">
        <v>80.0</v>
      </c>
      <c r="S344" s="31"/>
      <c r="T344" s="53">
        <f>O344+P344+Q344+R344+S344+O345+P345+Q345+R345+S345+N345</f>
        <v>240</v>
      </c>
      <c r="Z344" s="13">
        <f>sum(T344:Y344)*1000</f>
        <v>240000</v>
      </c>
      <c r="AA344" s="13">
        <f>Z344+Z345+AA299</f>
        <v>507000</v>
      </c>
    </row>
    <row r="345">
      <c r="A345" s="27"/>
      <c r="I345" s="33"/>
      <c r="J345" s="33"/>
      <c r="K345" s="33"/>
      <c r="L345" s="33"/>
      <c r="M345" s="33"/>
      <c r="O345" s="33"/>
      <c r="P345" s="33"/>
      <c r="Q345" s="33"/>
      <c r="R345" s="33"/>
      <c r="S345" s="33"/>
      <c r="T345" s="53"/>
      <c r="V345" s="13">
        <f>(L359-$V$225)*500</f>
        <v>6000</v>
      </c>
      <c r="X345" s="13">
        <f>(T359-$V$225)*500</f>
        <v>5500</v>
      </c>
      <c r="Z345" s="13">
        <f>sum(T345:Y345)</f>
        <v>11500</v>
      </c>
    </row>
    <row r="346">
      <c r="A346" s="51"/>
      <c r="I346" s="31"/>
      <c r="J346" s="31"/>
      <c r="K346" s="32"/>
      <c r="L346" s="31"/>
      <c r="M346" s="32"/>
      <c r="O346" s="31"/>
      <c r="P346" s="31"/>
      <c r="Q346" s="32"/>
      <c r="R346" s="31"/>
      <c r="S346" s="31"/>
      <c r="T346" s="60">
        <f>O346+P346+Q346+R346+S346+O347+P347+Q347+R347+S347+N347</f>
        <v>0</v>
      </c>
      <c r="Z346" s="13">
        <f>sum(T346:Y346)*1000</f>
        <v>0</v>
      </c>
      <c r="AA346" s="13">
        <f>Z346+Z347+AA298</f>
        <v>0</v>
      </c>
    </row>
    <row r="347">
      <c r="A347" s="27"/>
      <c r="I347" s="33"/>
      <c r="J347" s="33"/>
      <c r="K347" s="33"/>
      <c r="L347" s="33"/>
      <c r="M347" s="33"/>
      <c r="O347" s="33"/>
      <c r="P347" s="33"/>
      <c r="Q347" s="33"/>
      <c r="R347" s="33"/>
      <c r="S347" s="33"/>
      <c r="T347" s="60"/>
      <c r="Z347" s="13">
        <f>sum(T347:Y347)</f>
        <v>0</v>
      </c>
    </row>
    <row r="348">
      <c r="H348" s="4" t="s">
        <v>113</v>
      </c>
      <c r="I348" s="13">
        <f t="shared" ref="I348:M348" si="39">I318+I320+I322+I324+I326+I328+I330+I332+I334+I336+I338+I340+I342+I344+I346</f>
        <v>7</v>
      </c>
      <c r="J348" s="13">
        <f t="shared" si="39"/>
        <v>8</v>
      </c>
      <c r="K348" s="13">
        <f t="shared" si="39"/>
        <v>7</v>
      </c>
      <c r="L348" s="13">
        <f t="shared" si="39"/>
        <v>8</v>
      </c>
      <c r="M348" s="13">
        <f t="shared" si="39"/>
        <v>7</v>
      </c>
    </row>
    <row r="349">
      <c r="H349" s="4" t="s">
        <v>114</v>
      </c>
      <c r="I349" s="13">
        <f t="shared" ref="I349:M349" si="40">I319+I321+I323+I325+I327+I329+I331+I333+I335+I337+I339+I341+I343+I345+I347</f>
        <v>3</v>
      </c>
      <c r="J349" s="13">
        <f t="shared" si="40"/>
        <v>4</v>
      </c>
      <c r="K349" s="13">
        <f t="shared" si="40"/>
        <v>4</v>
      </c>
      <c r="L349" s="13">
        <f t="shared" si="40"/>
        <v>5</v>
      </c>
      <c r="M349" s="13">
        <f t="shared" si="40"/>
        <v>3</v>
      </c>
    </row>
    <row r="350">
      <c r="H350" s="61" t="s">
        <v>46</v>
      </c>
      <c r="L350" s="62" t="s">
        <v>47</v>
      </c>
      <c r="P350" s="63" t="s">
        <v>48</v>
      </c>
      <c r="T350" s="64" t="s">
        <v>49</v>
      </c>
      <c r="X350" s="65" t="s">
        <v>50</v>
      </c>
      <c r="AB350" s="65"/>
    </row>
    <row r="351">
      <c r="H351" s="2" t="s">
        <v>54</v>
      </c>
      <c r="J351" s="2" t="s">
        <v>55</v>
      </c>
      <c r="L351" s="2" t="s">
        <v>54</v>
      </c>
      <c r="N351" s="2" t="s">
        <v>55</v>
      </c>
      <c r="P351" s="2" t="s">
        <v>54</v>
      </c>
      <c r="R351" s="2" t="s">
        <v>55</v>
      </c>
      <c r="T351" s="2" t="s">
        <v>54</v>
      </c>
      <c r="V351" s="2" t="s">
        <v>55</v>
      </c>
      <c r="X351" s="2" t="s">
        <v>54</v>
      </c>
      <c r="Z351" s="2" t="s">
        <v>55</v>
      </c>
      <c r="AB351" s="2"/>
    </row>
    <row r="352">
      <c r="A352" s="4" t="s">
        <v>89</v>
      </c>
      <c r="H352" s="72">
        <f>'Nhập hàng New'!L683</f>
        <v>53</v>
      </c>
      <c r="I352" s="73" t="s">
        <v>168</v>
      </c>
      <c r="K352" s="4" t="s">
        <v>96</v>
      </c>
      <c r="L352" s="13">
        <f>'Nhập hàng New'!L715</f>
        <v>78</v>
      </c>
      <c r="M352" s="4" t="s">
        <v>92</v>
      </c>
      <c r="O352" s="4" t="s">
        <v>96</v>
      </c>
      <c r="P352" s="13">
        <f>'Nhập hàng New'!L747</f>
        <v>92</v>
      </c>
      <c r="Q352" s="4" t="s">
        <v>92</v>
      </c>
      <c r="R352" s="72"/>
      <c r="S352" s="75" t="s">
        <v>92</v>
      </c>
      <c r="T352" s="74">
        <f>'Nhập hàng New'!K779</f>
        <v>95</v>
      </c>
      <c r="U352" s="72" t="s">
        <v>92</v>
      </c>
      <c r="W352" s="72" t="s">
        <v>96</v>
      </c>
      <c r="X352" s="74">
        <f>'Nhập hàng New'!K811</f>
        <v>84</v>
      </c>
      <c r="Y352" s="75" t="s">
        <v>92</v>
      </c>
      <c r="AA352" s="4" t="s">
        <v>122</v>
      </c>
    </row>
    <row r="353">
      <c r="A353" s="4" t="s">
        <v>93</v>
      </c>
      <c r="H353" s="72"/>
      <c r="I353" s="73" t="s">
        <v>96</v>
      </c>
      <c r="M353" s="4" t="s">
        <v>154</v>
      </c>
      <c r="Q353" s="76" t="s">
        <v>96</v>
      </c>
      <c r="R353" s="74"/>
      <c r="S353" s="75"/>
      <c r="T353" s="74"/>
      <c r="U353" s="72" t="s">
        <v>147</v>
      </c>
      <c r="W353" s="74"/>
      <c r="X353" s="74"/>
      <c r="Y353" s="72" t="s">
        <v>134</v>
      </c>
    </row>
    <row r="354">
      <c r="A354" s="4" t="s">
        <v>79</v>
      </c>
      <c r="H354" s="72"/>
      <c r="I354" s="73" t="s">
        <v>154</v>
      </c>
      <c r="M354" s="4" t="s">
        <v>138</v>
      </c>
      <c r="Q354" s="4" t="s">
        <v>147</v>
      </c>
      <c r="R354" s="74"/>
      <c r="S354" s="75"/>
      <c r="T354" s="74"/>
      <c r="U354" s="72"/>
      <c r="W354" s="74"/>
      <c r="X354" s="74"/>
      <c r="Y354" s="72"/>
    </row>
    <row r="355">
      <c r="A355" s="4" t="s">
        <v>102</v>
      </c>
      <c r="H355" s="72">
        <f>'Nhập hàng New'!N683</f>
        <v>105</v>
      </c>
      <c r="I355" s="73" t="s">
        <v>134</v>
      </c>
      <c r="K355" s="4" t="s">
        <v>138</v>
      </c>
      <c r="L355" s="13">
        <f>'Nhập hàng New'!N715</f>
        <v>108</v>
      </c>
      <c r="M355" s="4" t="s">
        <v>134</v>
      </c>
      <c r="O355" s="4" t="s">
        <v>134</v>
      </c>
      <c r="P355" s="13">
        <f>'Nhập hàng New'!N747</f>
        <v>108</v>
      </c>
      <c r="Q355" s="72" t="s">
        <v>134</v>
      </c>
      <c r="R355" s="72"/>
      <c r="S355" s="75" t="s">
        <v>165</v>
      </c>
      <c r="T355" s="74">
        <f>'Nhập hàng New'!M779</f>
        <v>108</v>
      </c>
      <c r="U355" s="72" t="s">
        <v>134</v>
      </c>
      <c r="W355" s="72" t="s">
        <v>92</v>
      </c>
      <c r="X355" s="79">
        <f>'Nhập hàng New'!M811</f>
        <v>104</v>
      </c>
      <c r="Y355" s="75" t="s">
        <v>91</v>
      </c>
      <c r="AA355" s="4" t="s">
        <v>138</v>
      </c>
    </row>
    <row r="356">
      <c r="A356" s="4" t="s">
        <v>105</v>
      </c>
      <c r="H356" s="72">
        <f>'Nhập hàng New'!M683</f>
        <v>80</v>
      </c>
      <c r="I356" s="4" t="s">
        <v>122</v>
      </c>
      <c r="K356" s="4" t="s">
        <v>150</v>
      </c>
      <c r="L356" s="13">
        <f>'Nhập hàng New'!M715</f>
        <v>88</v>
      </c>
      <c r="M356" s="4" t="s">
        <v>122</v>
      </c>
      <c r="O356" s="4" t="s">
        <v>122</v>
      </c>
      <c r="P356" s="13">
        <f>'Nhập hàng New'!M747</f>
        <v>89</v>
      </c>
      <c r="Q356" s="4" t="s">
        <v>138</v>
      </c>
      <c r="R356" s="74"/>
      <c r="S356" s="75"/>
      <c r="T356" s="74">
        <f>'Nhập hàng New'!L779</f>
        <v>94</v>
      </c>
      <c r="U356" s="72" t="s">
        <v>122</v>
      </c>
      <c r="W356" s="72" t="s">
        <v>150</v>
      </c>
      <c r="X356" s="74">
        <f>'Nhập hàng New'!L811</f>
        <v>91</v>
      </c>
      <c r="Y356" s="75" t="s">
        <v>122</v>
      </c>
    </row>
    <row r="357">
      <c r="A357" s="4" t="s">
        <v>128</v>
      </c>
      <c r="I357" s="73" t="s">
        <v>138</v>
      </c>
      <c r="M357" s="4" t="s">
        <v>91</v>
      </c>
      <c r="P357" s="13">
        <f>'Nhập hàng New'!O747</f>
        <v>58</v>
      </c>
      <c r="Q357" s="72" t="s">
        <v>91</v>
      </c>
      <c r="R357" s="74"/>
      <c r="S357" s="75"/>
      <c r="T357" s="74"/>
      <c r="U357" s="4" t="s">
        <v>165</v>
      </c>
      <c r="W357" s="74"/>
      <c r="X357" s="74"/>
      <c r="Y357" s="72" t="s">
        <v>147</v>
      </c>
    </row>
    <row r="358">
      <c r="A358" s="4" t="s">
        <v>157</v>
      </c>
      <c r="H358" s="72"/>
      <c r="I358" s="73"/>
      <c r="M358" s="4" t="s">
        <v>165</v>
      </c>
      <c r="Q358" s="72"/>
      <c r="R358" s="74"/>
      <c r="S358" s="72"/>
      <c r="T358" s="74"/>
      <c r="U358" s="72"/>
      <c r="W358" s="74"/>
      <c r="X358" s="74"/>
      <c r="Y358" s="72"/>
    </row>
    <row r="359">
      <c r="A359" s="4" t="s">
        <v>155</v>
      </c>
      <c r="H359" s="72"/>
      <c r="I359" s="73" t="s">
        <v>159</v>
      </c>
      <c r="L359" s="13">
        <f>'Nhập hàng New'!Q715</f>
        <v>62</v>
      </c>
      <c r="M359" s="4" t="s">
        <v>159</v>
      </c>
      <c r="O359" s="4" t="s">
        <v>165</v>
      </c>
      <c r="P359" s="13">
        <f>'Nhập hàng New'!Q747</f>
        <v>69</v>
      </c>
      <c r="Q359" s="72" t="s">
        <v>165</v>
      </c>
      <c r="R359" s="72"/>
      <c r="S359" s="72"/>
      <c r="T359" s="74">
        <f>'Nhập hàng New'!P779</f>
        <v>61</v>
      </c>
      <c r="U359" s="72" t="s">
        <v>159</v>
      </c>
      <c r="W359" s="72" t="s">
        <v>122</v>
      </c>
      <c r="X359" s="74">
        <f>'Nhập hàng New'!P811</f>
        <v>63</v>
      </c>
      <c r="Y359" s="59" t="s">
        <v>138</v>
      </c>
    </row>
    <row r="360">
      <c r="A360" s="4" t="s">
        <v>169</v>
      </c>
      <c r="S360" s="4" t="s">
        <v>170</v>
      </c>
      <c r="U360" s="4" t="s">
        <v>171</v>
      </c>
      <c r="W360" s="4" t="s">
        <v>134</v>
      </c>
      <c r="X360" s="13">
        <f>'Nhập hàng New'!Q811</f>
        <v>71</v>
      </c>
      <c r="Y360" s="4" t="s">
        <v>154</v>
      </c>
      <c r="AA360" s="59" t="s">
        <v>91</v>
      </c>
      <c r="AB360" s="59"/>
    </row>
    <row r="361">
      <c r="AA361" s="59"/>
      <c r="AB361" s="59"/>
    </row>
    <row r="362">
      <c r="I362" s="26" t="s">
        <v>46</v>
      </c>
      <c r="J362" s="26" t="s">
        <v>47</v>
      </c>
      <c r="K362" s="26" t="s">
        <v>48</v>
      </c>
      <c r="L362" s="26" t="s">
        <v>49</v>
      </c>
      <c r="M362" s="26" t="s">
        <v>50</v>
      </c>
      <c r="O362" s="26" t="s">
        <v>46</v>
      </c>
      <c r="P362" s="26" t="s">
        <v>47</v>
      </c>
      <c r="Q362" s="26" t="s">
        <v>48</v>
      </c>
      <c r="R362" s="26" t="s">
        <v>49</v>
      </c>
      <c r="S362" s="26" t="s">
        <v>50</v>
      </c>
      <c r="V362" s="4">
        <v>50.0</v>
      </c>
      <c r="AA362" s="59"/>
      <c r="AB362" s="2" t="s">
        <v>160</v>
      </c>
    </row>
    <row r="363">
      <c r="I363" s="28">
        <v>46153.0</v>
      </c>
      <c r="J363" s="29">
        <f t="shared" ref="J363:M363" si="41">I363+1</f>
        <v>46154</v>
      </c>
      <c r="K363" s="28">
        <f t="shared" si="41"/>
        <v>46155</v>
      </c>
      <c r="L363" s="29">
        <f t="shared" si="41"/>
        <v>46156</v>
      </c>
      <c r="M363" s="28">
        <f t="shared" si="41"/>
        <v>46157</v>
      </c>
      <c r="O363" s="29">
        <f t="shared" ref="O363:S363" si="42">I363</f>
        <v>46153</v>
      </c>
      <c r="P363" s="29">
        <f t="shared" si="42"/>
        <v>46154</v>
      </c>
      <c r="Q363" s="29">
        <f t="shared" si="42"/>
        <v>46155</v>
      </c>
      <c r="R363" s="29">
        <f t="shared" si="42"/>
        <v>46156</v>
      </c>
      <c r="S363" s="29">
        <f t="shared" si="42"/>
        <v>46157</v>
      </c>
      <c r="Z363" s="2" t="s">
        <v>16</v>
      </c>
      <c r="AB363" s="4">
        <v>200000.0</v>
      </c>
    </row>
    <row r="364">
      <c r="A364" s="38" t="s">
        <v>53</v>
      </c>
      <c r="H364" s="4" t="s">
        <v>107</v>
      </c>
      <c r="I364" s="31"/>
      <c r="J364" s="23"/>
      <c r="K364" s="31">
        <v>1.0</v>
      </c>
      <c r="L364" s="31"/>
      <c r="M364" s="32"/>
      <c r="O364" s="23"/>
      <c r="P364" s="23"/>
      <c r="Q364" s="31">
        <v>70.0</v>
      </c>
      <c r="R364" s="23"/>
      <c r="S364" s="32"/>
      <c r="T364" s="52">
        <f>O364+P364+Q364+R364+S364+O365+P365+Q365+R365+S365</f>
        <v>150</v>
      </c>
      <c r="Z364" s="13">
        <f t="shared" ref="Z364:Z366" si="43">sum(T364:Y364)*1000</f>
        <v>150000</v>
      </c>
      <c r="AA364" s="13">
        <f>Z364+Z365</f>
        <v>150000</v>
      </c>
    </row>
    <row r="365">
      <c r="A365" s="27"/>
      <c r="H365" s="4" t="s">
        <v>88</v>
      </c>
      <c r="I365" s="33"/>
      <c r="J365" s="35">
        <v>1.0</v>
      </c>
      <c r="K365" s="33"/>
      <c r="L365" s="33"/>
      <c r="M365" s="24"/>
      <c r="O365" s="33"/>
      <c r="P365" s="33">
        <v>80.0</v>
      </c>
      <c r="Q365" s="33"/>
      <c r="R365" s="33"/>
      <c r="S365" s="24"/>
      <c r="T365" s="52"/>
      <c r="Z365" s="13">
        <f t="shared" si="43"/>
        <v>0</v>
      </c>
    </row>
    <row r="366">
      <c r="A366" s="38" t="s">
        <v>108</v>
      </c>
      <c r="I366" s="46">
        <v>1.0</v>
      </c>
      <c r="J366" s="46">
        <v>1.0</v>
      </c>
      <c r="K366" s="49">
        <v>1.0</v>
      </c>
      <c r="L366" s="46">
        <v>1.0</v>
      </c>
      <c r="M366" s="46">
        <v>1.0</v>
      </c>
      <c r="O366" s="31">
        <v>80.0</v>
      </c>
      <c r="P366" s="31">
        <v>80.0</v>
      </c>
      <c r="Q366" s="31">
        <v>80.0</v>
      </c>
      <c r="R366" s="31">
        <v>80.0</v>
      </c>
      <c r="S366" s="31">
        <v>80.0</v>
      </c>
      <c r="T366" s="53">
        <f>O366+P366+Q366+R366+S366+O367+P367+Q367+R367+S367</f>
        <v>560</v>
      </c>
      <c r="V366" s="4">
        <v>1.0</v>
      </c>
      <c r="W366" s="4">
        <v>4.0</v>
      </c>
      <c r="X366" s="4">
        <v>10.0</v>
      </c>
      <c r="Z366" s="13">
        <f t="shared" si="43"/>
        <v>575000</v>
      </c>
      <c r="AA366" s="13">
        <f>Z366+Z367+AA321</f>
        <v>714000</v>
      </c>
      <c r="AB366" s="4">
        <v>50000.0</v>
      </c>
    </row>
    <row r="367">
      <c r="A367" s="27"/>
      <c r="I367" s="33"/>
      <c r="J367" s="35">
        <v>1.0</v>
      </c>
      <c r="K367" s="35">
        <v>1.0</v>
      </c>
      <c r="L367" s="33"/>
      <c r="M367" s="33"/>
      <c r="O367" s="24"/>
      <c r="P367" s="33">
        <v>80.0</v>
      </c>
      <c r="Q367" s="33">
        <v>80.0</v>
      </c>
      <c r="R367" s="33"/>
      <c r="S367" s="24"/>
      <c r="T367" s="53"/>
      <c r="U367" s="13">
        <f>(H401-50)*500</f>
        <v>27000</v>
      </c>
      <c r="V367" s="13">
        <f>(L401-90)*500/2</f>
        <v>10500</v>
      </c>
      <c r="W367" s="13">
        <f>(P401-50)*500</f>
        <v>36000</v>
      </c>
      <c r="X367" s="13">
        <f>(T401-50)*500</f>
        <v>33500</v>
      </c>
      <c r="Y367" s="13">
        <f>(X401-50)*500</f>
        <v>32000</v>
      </c>
      <c r="Z367" s="13">
        <f>sum(T367:Y367)</f>
        <v>139000</v>
      </c>
    </row>
    <row r="368">
      <c r="A368" s="38" t="s">
        <v>57</v>
      </c>
      <c r="I368" s="23"/>
      <c r="J368" s="23"/>
      <c r="K368" s="31"/>
      <c r="L368" s="31"/>
      <c r="M368" s="31"/>
      <c r="O368" s="23"/>
      <c r="P368" s="23"/>
      <c r="Q368" s="31"/>
      <c r="R368" s="23"/>
      <c r="S368" s="31"/>
      <c r="T368" s="54">
        <f>O368+P368+Q368+R368+S368+O369+P369+Q369+R369+S369</f>
        <v>0</v>
      </c>
      <c r="Z368" s="13">
        <f>sum(T368:Y368)*1000</f>
        <v>0</v>
      </c>
      <c r="AA368" s="13">
        <f>Z368+Z369</f>
        <v>0</v>
      </c>
    </row>
    <row r="369">
      <c r="A369" s="27"/>
      <c r="I369" s="33"/>
      <c r="J369" s="33"/>
      <c r="K369" s="33"/>
      <c r="L369" s="33"/>
      <c r="M369" s="24"/>
      <c r="O369" s="33"/>
      <c r="P369" s="33"/>
      <c r="Q369" s="33"/>
      <c r="R369" s="33"/>
      <c r="S369" s="24"/>
      <c r="T369" s="54"/>
      <c r="Z369" s="13">
        <f>sum(T369:Y369)</f>
        <v>0</v>
      </c>
    </row>
    <row r="370">
      <c r="A370" s="38" t="s">
        <v>109</v>
      </c>
      <c r="I370" s="31"/>
      <c r="J370" s="46">
        <v>1.0</v>
      </c>
      <c r="K370" s="31"/>
      <c r="L370" s="31"/>
      <c r="M370" s="31"/>
      <c r="N370" s="4" t="s">
        <v>110</v>
      </c>
      <c r="O370" s="23"/>
      <c r="P370" s="31">
        <v>80.0</v>
      </c>
      <c r="Q370" s="31"/>
      <c r="R370" s="31"/>
      <c r="S370" s="31"/>
      <c r="T370" s="13">
        <f>O370+P370+Q370+R370+S370+O371+P371+Q371+R371+S371</f>
        <v>240</v>
      </c>
      <c r="V370" s="4">
        <v>1.0</v>
      </c>
      <c r="Z370" s="13">
        <f>sum(T370:Y370)*1000</f>
        <v>241000</v>
      </c>
      <c r="AA370" s="13">
        <f>Z370+Z371</f>
        <v>251500</v>
      </c>
    </row>
    <row r="371">
      <c r="A371" s="27"/>
      <c r="I371" s="35">
        <v>1.0</v>
      </c>
      <c r="J371" s="35">
        <v>1.0</v>
      </c>
      <c r="K371" s="33"/>
      <c r="L371" s="33"/>
      <c r="M371" s="24"/>
      <c r="O371" s="33">
        <v>80.0</v>
      </c>
      <c r="P371" s="33">
        <v>80.0</v>
      </c>
      <c r="Q371" s="33"/>
      <c r="R371" s="33"/>
      <c r="S371" s="24"/>
      <c r="V371" s="13">
        <f>(L401-90)*500/2</f>
        <v>10500</v>
      </c>
      <c r="Z371" s="13">
        <f>sum(T371:Y371)</f>
        <v>10500</v>
      </c>
    </row>
    <row r="372">
      <c r="A372" s="38" t="s">
        <v>111</v>
      </c>
      <c r="I372" s="46">
        <v>1.0</v>
      </c>
      <c r="J372" s="46">
        <v>1.0</v>
      </c>
      <c r="K372" s="31"/>
      <c r="L372" s="46">
        <v>1.0</v>
      </c>
      <c r="M372" s="46">
        <v>1.0</v>
      </c>
      <c r="O372" s="31">
        <v>80.0</v>
      </c>
      <c r="P372" s="31">
        <v>80.0</v>
      </c>
      <c r="Q372" s="31"/>
      <c r="R372" s="31">
        <v>80.0</v>
      </c>
      <c r="S372" s="31">
        <v>80.0</v>
      </c>
      <c r="T372" s="56">
        <f>O372+P372+Q372+R372+S372+O373+P373+Q373+R373+S373</f>
        <v>560</v>
      </c>
      <c r="V372" s="4">
        <v>10.0</v>
      </c>
      <c r="X372" s="4">
        <v>8.0</v>
      </c>
      <c r="Z372" s="13">
        <f>sum(T372:Y372)*1000</f>
        <v>578000</v>
      </c>
      <c r="AA372" s="13">
        <f>Z372+Z373+AA327</f>
        <v>669000</v>
      </c>
    </row>
    <row r="373">
      <c r="A373" s="27"/>
      <c r="I373" s="33"/>
      <c r="J373" s="35">
        <v>1.0</v>
      </c>
      <c r="K373" s="35">
        <v>1.0</v>
      </c>
      <c r="L373" s="35">
        <v>1.0</v>
      </c>
      <c r="M373" s="33"/>
      <c r="O373" s="33"/>
      <c r="P373" s="33">
        <v>80.0</v>
      </c>
      <c r="Q373" s="33">
        <v>80.0</v>
      </c>
      <c r="R373" s="33">
        <v>80.0</v>
      </c>
      <c r="S373" s="24"/>
      <c r="T373" s="56"/>
      <c r="U373" s="13">
        <f>(H402-$V$225)*500</f>
        <v>18500</v>
      </c>
      <c r="V373" s="13">
        <f>(L402-$V$225)*500</f>
        <v>25500</v>
      </c>
      <c r="X373" s="13">
        <f>(T402-$V$225)*500</f>
        <v>22500</v>
      </c>
      <c r="Y373" s="13">
        <f>(X402-$V$225)*500</f>
        <v>24500</v>
      </c>
      <c r="Z373" s="13">
        <f>sum(T373:Y373)</f>
        <v>91000</v>
      </c>
    </row>
    <row r="374">
      <c r="A374" s="38"/>
      <c r="I374" s="31"/>
      <c r="J374" s="23"/>
      <c r="K374" s="31"/>
      <c r="L374" s="31"/>
      <c r="M374" s="31"/>
      <c r="O374" s="31"/>
      <c r="P374" s="23"/>
      <c r="Q374" s="31"/>
      <c r="R374" s="31"/>
      <c r="S374" s="31"/>
      <c r="T374" s="53">
        <f>O374+P374+Q374+R374+S374+O375+P375+Q375+R375+S375+N375</f>
        <v>0</v>
      </c>
      <c r="Z374" s="13">
        <f>sum(T374:Y374)*1000</f>
        <v>0</v>
      </c>
      <c r="AA374" s="13">
        <f>Z374+Z375</f>
        <v>0</v>
      </c>
    </row>
    <row r="375">
      <c r="A375" s="27"/>
      <c r="I375" s="33"/>
      <c r="J375" s="33"/>
      <c r="K375" s="33"/>
      <c r="L375" s="33"/>
      <c r="M375" s="33"/>
      <c r="O375" s="33"/>
      <c r="P375" s="33"/>
      <c r="Q375" s="33"/>
      <c r="R375" s="33"/>
      <c r="S375" s="33"/>
      <c r="T375" s="53"/>
      <c r="Z375" s="13">
        <f>sum(T375:Y375)</f>
        <v>0</v>
      </c>
    </row>
    <row r="376">
      <c r="A376" s="38" t="s">
        <v>141</v>
      </c>
      <c r="I376" s="31">
        <v>1.0</v>
      </c>
      <c r="J376" s="31"/>
      <c r="K376" s="46">
        <v>1.0</v>
      </c>
      <c r="L376" s="31">
        <v>1.0</v>
      </c>
      <c r="M376" s="46">
        <v>1.0</v>
      </c>
      <c r="N376" s="4" t="s">
        <v>112</v>
      </c>
      <c r="O376" s="31">
        <v>70.0</v>
      </c>
      <c r="P376" s="31"/>
      <c r="Q376" s="31">
        <v>80.0</v>
      </c>
      <c r="R376" s="31">
        <v>70.0</v>
      </c>
      <c r="S376" s="32">
        <v>80.0</v>
      </c>
      <c r="T376" s="13">
        <f>O376+P376+Q376+R376+S376+O377+P377+Q377+R377+S377</f>
        <v>300</v>
      </c>
      <c r="U376" s="4">
        <v>50.0</v>
      </c>
      <c r="V376" s="4">
        <v>50.0</v>
      </c>
      <c r="W376" s="4">
        <v>50.0</v>
      </c>
      <c r="X376" s="4">
        <f>50+5</f>
        <v>55</v>
      </c>
      <c r="Y376" s="4">
        <v>50.0</v>
      </c>
      <c r="Z376" s="13">
        <f>sum(T376:Y376)*1000</f>
        <v>555000</v>
      </c>
      <c r="AA376" s="13">
        <f>Z376+Z377</f>
        <v>555000</v>
      </c>
    </row>
    <row r="377">
      <c r="A377" s="27"/>
      <c r="I377" s="33"/>
      <c r="J377" s="33"/>
      <c r="K377" s="33"/>
      <c r="L377" s="33"/>
      <c r="M377" s="33"/>
      <c r="O377" s="33"/>
      <c r="P377" s="33"/>
      <c r="Q377" s="33"/>
      <c r="R377" s="33"/>
      <c r="S377" s="24"/>
      <c r="W377" s="13">
        <f>(P403-$V$225)*500</f>
        <v>2500</v>
      </c>
    </row>
    <row r="378">
      <c r="A378" s="38" t="s">
        <v>142</v>
      </c>
      <c r="I378" s="46">
        <v>1.0</v>
      </c>
      <c r="J378" s="46">
        <v>1.0</v>
      </c>
      <c r="K378" s="31"/>
      <c r="L378" s="46">
        <v>1.0</v>
      </c>
      <c r="M378" s="46">
        <v>1.0</v>
      </c>
      <c r="O378" s="31">
        <v>80.0</v>
      </c>
      <c r="P378" s="31">
        <v>80.0</v>
      </c>
      <c r="Q378" s="31"/>
      <c r="R378" s="31">
        <v>80.0</v>
      </c>
      <c r="S378" s="31">
        <v>80.0</v>
      </c>
      <c r="T378" s="53">
        <f>O378+P378+Q378+R378+S378+O379+P379+Q379+R379+S379+N379</f>
        <v>480</v>
      </c>
      <c r="U378" s="4">
        <v>50.0</v>
      </c>
      <c r="V378" s="4">
        <v>50.0</v>
      </c>
      <c r="X378" s="4">
        <f>50+5</f>
        <v>55</v>
      </c>
      <c r="Y378" s="4">
        <v>50.0</v>
      </c>
      <c r="Z378" s="13">
        <f>sum(T378:Y378)*1000</f>
        <v>685000</v>
      </c>
      <c r="AA378" s="13">
        <f>Z378+Z379</f>
        <v>767000</v>
      </c>
    </row>
    <row r="379">
      <c r="A379" s="27"/>
      <c r="I379" s="33"/>
      <c r="J379" s="33"/>
      <c r="K379" s="35">
        <v>1.0</v>
      </c>
      <c r="L379" s="33"/>
      <c r="M379" s="35">
        <v>1.0</v>
      </c>
      <c r="O379" s="33"/>
      <c r="P379" s="33"/>
      <c r="Q379" s="33">
        <v>80.0</v>
      </c>
      <c r="R379" s="33"/>
      <c r="S379" s="33">
        <v>80.0</v>
      </c>
      <c r="T379" s="53"/>
      <c r="U379" s="13">
        <f>(H406-$V$225)*500</f>
        <v>10500</v>
      </c>
      <c r="V379" s="13">
        <f>(L406-$V$225)*500</f>
        <v>23500</v>
      </c>
      <c r="X379" s="13">
        <f>(T406-$V$225)*500</f>
        <v>25500</v>
      </c>
      <c r="Y379" s="13">
        <f>(X406-$V$225)*500</f>
        <v>22500</v>
      </c>
      <c r="Z379" s="13">
        <f>sum(T379:Y379)</f>
        <v>82000</v>
      </c>
    </row>
    <row r="380">
      <c r="A380" s="38" t="s">
        <v>130</v>
      </c>
      <c r="I380" s="31">
        <v>1.0</v>
      </c>
      <c r="J380" s="31">
        <v>1.0</v>
      </c>
      <c r="K380" s="46">
        <v>1.0</v>
      </c>
      <c r="L380" s="23"/>
      <c r="M380" s="31">
        <v>1.0</v>
      </c>
      <c r="O380" s="31">
        <v>70.0</v>
      </c>
      <c r="P380" s="31">
        <v>70.0</v>
      </c>
      <c r="Q380" s="31">
        <v>80.0</v>
      </c>
      <c r="R380" s="23"/>
      <c r="S380" s="32">
        <v>70.0</v>
      </c>
      <c r="T380" s="13">
        <f>O380+P380+Q380+R380+S380+O381+P381+Q381+R381+S381</f>
        <v>360</v>
      </c>
      <c r="W380" s="4">
        <v>6.0</v>
      </c>
      <c r="Z380" s="13">
        <f>sum(T380:Y380)*1000</f>
        <v>366000</v>
      </c>
      <c r="AA380" s="13">
        <f>Z380+Z381+AA335</f>
        <v>404500</v>
      </c>
    </row>
    <row r="381">
      <c r="A381" s="27"/>
      <c r="I381" s="33">
        <v>1.0</v>
      </c>
      <c r="J381" s="33"/>
      <c r="K381" s="33"/>
      <c r="L381" s="33"/>
      <c r="M381" s="33"/>
      <c r="O381" s="33">
        <v>70.0</v>
      </c>
      <c r="P381" s="33"/>
      <c r="Q381" s="33"/>
      <c r="R381" s="33"/>
      <c r="S381" s="24"/>
      <c r="U381" s="13">
        <f>(H398-$V$225)*500</f>
        <v>12500</v>
      </c>
      <c r="W381" s="13">
        <f>(P402-$V$225)*500</f>
        <v>18500</v>
      </c>
      <c r="Y381" s="13">
        <f>(X405-$V$225)*500</f>
        <v>7500</v>
      </c>
      <c r="Z381" s="13">
        <f>sum(T381:Y381)</f>
        <v>38500</v>
      </c>
    </row>
    <row r="382">
      <c r="A382" s="50" t="s">
        <v>73</v>
      </c>
      <c r="I382" s="31"/>
      <c r="J382" s="31"/>
      <c r="K382" s="46">
        <v>1.0</v>
      </c>
      <c r="L382" s="31"/>
      <c r="M382" s="46">
        <v>1.0</v>
      </c>
      <c r="O382" s="31"/>
      <c r="P382" s="31"/>
      <c r="Q382" s="31">
        <v>80.0</v>
      </c>
      <c r="R382" s="23"/>
      <c r="S382" s="31">
        <v>80.0</v>
      </c>
      <c r="T382" s="53">
        <f>O382+P382+Q382+R382+S382+O383+P383+Q383+R383+S383+N383</f>
        <v>240</v>
      </c>
      <c r="Z382" s="13">
        <f>sum(T382:Y382)*1000</f>
        <v>240000</v>
      </c>
      <c r="AA382" s="13">
        <f>Z382+Z383</f>
        <v>260000</v>
      </c>
    </row>
    <row r="383">
      <c r="A383" s="27"/>
      <c r="I383" s="35">
        <v>1.0</v>
      </c>
      <c r="J383" s="33"/>
      <c r="K383" s="33"/>
      <c r="L383" s="33"/>
      <c r="M383" s="24"/>
      <c r="O383" s="33">
        <v>80.0</v>
      </c>
      <c r="P383" s="33"/>
      <c r="Q383" s="33"/>
      <c r="R383" s="33"/>
      <c r="S383" s="24"/>
      <c r="T383" s="53"/>
      <c r="W383" s="13">
        <f>(P405-$V$225)*500</f>
        <v>12500</v>
      </c>
      <c r="Y383" s="13">
        <f>(X405-$V$225)*500</f>
        <v>7500</v>
      </c>
      <c r="Z383" s="13">
        <f>sum(T383:Y383)</f>
        <v>20000</v>
      </c>
    </row>
    <row r="384">
      <c r="A384" s="51" t="s">
        <v>82</v>
      </c>
      <c r="I384" s="31"/>
      <c r="J384" s="31">
        <v>1.0</v>
      </c>
      <c r="K384" s="32">
        <v>1.0</v>
      </c>
      <c r="L384" s="31">
        <v>1.0</v>
      </c>
      <c r="M384" s="31">
        <v>1.0</v>
      </c>
      <c r="O384" s="31"/>
      <c r="P384" s="31">
        <v>70.0</v>
      </c>
      <c r="Q384" s="31">
        <v>70.0</v>
      </c>
      <c r="R384" s="31">
        <v>70.0</v>
      </c>
      <c r="S384" s="31">
        <v>70.0</v>
      </c>
      <c r="T384" s="13">
        <f>O384+P384+Q384+R384+S384+O385+P385+Q385+R385+S385</f>
        <v>350</v>
      </c>
      <c r="Z384" s="13">
        <f>sum(T384:Y384)*1000</f>
        <v>350000</v>
      </c>
      <c r="AA384" s="68">
        <f>Z384+Z385</f>
        <v>381000</v>
      </c>
    </row>
    <row r="385">
      <c r="A385" s="27"/>
      <c r="I385" s="33"/>
      <c r="J385" s="33"/>
      <c r="K385" s="33"/>
      <c r="L385" s="33"/>
      <c r="M385" s="33">
        <v>1.0</v>
      </c>
      <c r="O385" s="33"/>
      <c r="P385" s="33"/>
      <c r="Q385" s="33"/>
      <c r="R385" s="33"/>
      <c r="S385" s="33">
        <v>70.0</v>
      </c>
      <c r="V385" s="13">
        <f>(L398-$V$225)*500</f>
        <v>8500</v>
      </c>
      <c r="W385" s="13">
        <f>(P398-$V$225)*500</f>
        <v>5000</v>
      </c>
      <c r="X385" s="13">
        <f>(T398-$V$225)*500</f>
        <v>9000</v>
      </c>
      <c r="Y385" s="13">
        <f>(X398-$V$225)*500</f>
        <v>8500</v>
      </c>
      <c r="Z385" s="13">
        <f>sum(T385:Y385)</f>
        <v>31000</v>
      </c>
    </row>
    <row r="386">
      <c r="A386" s="51" t="s">
        <v>143</v>
      </c>
      <c r="I386" s="31"/>
      <c r="J386" s="31">
        <v>1.0</v>
      </c>
      <c r="K386" s="46">
        <v>1.0</v>
      </c>
      <c r="L386" s="46">
        <v>1.0</v>
      </c>
      <c r="M386" s="31"/>
      <c r="O386" s="31"/>
      <c r="P386" s="31">
        <v>70.0</v>
      </c>
      <c r="Q386" s="31">
        <v>80.0</v>
      </c>
      <c r="R386" s="31">
        <v>80.0</v>
      </c>
      <c r="S386" s="31"/>
      <c r="T386" s="53">
        <f>O386+P386+Q386+R386+S386+O387+P387+Q387+R387+S387+N387</f>
        <v>390</v>
      </c>
      <c r="Z386" s="13">
        <f>sum(T386:Y386)*1000</f>
        <v>390000</v>
      </c>
      <c r="AA386" s="13">
        <f>Z386+Z387</f>
        <v>404500</v>
      </c>
    </row>
    <row r="387">
      <c r="A387" s="27"/>
      <c r="I387" s="35">
        <v>1.0</v>
      </c>
      <c r="J387" s="35">
        <v>1.0</v>
      </c>
      <c r="K387" s="33"/>
      <c r="L387" s="33"/>
      <c r="M387" s="33"/>
      <c r="O387" s="33">
        <v>80.0</v>
      </c>
      <c r="P387" s="33">
        <v>80.0</v>
      </c>
      <c r="Q387" s="33"/>
      <c r="R387" s="33"/>
      <c r="S387" s="33"/>
      <c r="T387" s="53"/>
      <c r="W387" s="13">
        <f>(P404-50)*500</f>
        <v>7000</v>
      </c>
      <c r="X387" s="13">
        <f>(T404-50)*500</f>
        <v>7500</v>
      </c>
      <c r="Z387" s="13">
        <f>sum(T387:Y387)</f>
        <v>14500</v>
      </c>
    </row>
    <row r="388">
      <c r="A388" s="51" t="s">
        <v>86</v>
      </c>
      <c r="I388" s="31"/>
      <c r="J388" s="46">
        <v>1.0</v>
      </c>
      <c r="K388" s="49">
        <v>1.0</v>
      </c>
      <c r="L388" s="46">
        <v>1.0</v>
      </c>
      <c r="M388" s="46">
        <v>1.0</v>
      </c>
      <c r="N388" s="4" t="s">
        <v>80</v>
      </c>
      <c r="O388" s="31"/>
      <c r="P388" s="31">
        <v>80.0</v>
      </c>
      <c r="Q388" s="31">
        <v>80.0</v>
      </c>
      <c r="R388" s="31">
        <v>80.0</v>
      </c>
      <c r="S388" s="31">
        <v>80.0</v>
      </c>
      <c r="T388" s="13">
        <f>O388+P388+Q388+R388+S388+O389+P389+Q389+R389+S389</f>
        <v>560</v>
      </c>
      <c r="Z388" s="13">
        <f>sum(T388:Y388)*1000</f>
        <v>560000</v>
      </c>
      <c r="AA388" s="13">
        <f>Z388+Z389</f>
        <v>590500</v>
      </c>
    </row>
    <row r="389">
      <c r="A389" s="27"/>
      <c r="I389" s="33"/>
      <c r="J389" s="33"/>
      <c r="K389" s="35">
        <v>1.0</v>
      </c>
      <c r="L389" s="35">
        <v>1.0</v>
      </c>
      <c r="M389" s="35">
        <v>1.0</v>
      </c>
      <c r="O389" s="33"/>
      <c r="P389" s="33"/>
      <c r="Q389" s="33">
        <v>80.0</v>
      </c>
      <c r="R389" s="33">
        <v>80.0</v>
      </c>
      <c r="S389" s="33">
        <v>80.0</v>
      </c>
      <c r="W389" s="13">
        <f>(P406-50)*500</f>
        <v>24000</v>
      </c>
      <c r="Y389" s="13">
        <f>(X404-$V$225)*500</f>
        <v>6500</v>
      </c>
      <c r="Z389" s="13">
        <f>sum(T389:Y389)</f>
        <v>30500</v>
      </c>
    </row>
    <row r="390">
      <c r="A390" s="51" t="s">
        <v>144</v>
      </c>
      <c r="I390" s="31"/>
      <c r="J390" s="46">
        <v>1.0</v>
      </c>
      <c r="K390" s="32"/>
      <c r="L390" s="46">
        <v>1.0</v>
      </c>
      <c r="M390" s="31"/>
      <c r="O390" s="31"/>
      <c r="P390" s="31">
        <v>80.0</v>
      </c>
      <c r="Q390" s="32"/>
      <c r="R390" s="31">
        <v>80.0</v>
      </c>
      <c r="S390" s="31"/>
      <c r="T390" s="53">
        <f>O390+P390+Q390+R390+S390+O391+P391+Q391+R391+S391+N391</f>
        <v>240</v>
      </c>
      <c r="X390" s="4">
        <v>9.0</v>
      </c>
      <c r="Z390" s="13">
        <f>sum(T390:Y390)*1000</f>
        <v>249000</v>
      </c>
      <c r="AA390" s="13">
        <f>Z390+Z391</f>
        <v>264500</v>
      </c>
    </row>
    <row r="391">
      <c r="A391" s="27"/>
      <c r="I391" s="33"/>
      <c r="J391" s="35">
        <v>1.0</v>
      </c>
      <c r="K391" s="33"/>
      <c r="L391" s="33"/>
      <c r="M391" s="33"/>
      <c r="O391" s="33"/>
      <c r="P391" s="33">
        <v>80.0</v>
      </c>
      <c r="Q391" s="33"/>
      <c r="R391" s="33"/>
      <c r="S391" s="33"/>
      <c r="T391" s="53"/>
      <c r="V391" s="13">
        <f>(L405-$V$225)*500</f>
        <v>9500</v>
      </c>
      <c r="X391" s="13">
        <f>(T405-$V$225)*500</f>
        <v>6000</v>
      </c>
      <c r="Z391" s="13">
        <f>sum(T391:Y391)</f>
        <v>15500</v>
      </c>
    </row>
    <row r="392">
      <c r="A392" s="51"/>
      <c r="I392" s="31"/>
      <c r="J392" s="31"/>
      <c r="K392" s="32"/>
      <c r="L392" s="31"/>
      <c r="M392" s="32"/>
      <c r="O392" s="31"/>
      <c r="P392" s="31"/>
      <c r="Q392" s="32"/>
      <c r="R392" s="31"/>
      <c r="S392" s="31"/>
      <c r="T392" s="60">
        <f>O392+P392+Q392+R392+S392+O393+P393+Q393+R393+S393+N393</f>
        <v>0</v>
      </c>
      <c r="Z392" s="13">
        <f>sum(T392:Y392)*1000</f>
        <v>0</v>
      </c>
      <c r="AA392" s="13">
        <f>Z392+Z393</f>
        <v>0</v>
      </c>
    </row>
    <row r="393">
      <c r="A393" s="27"/>
      <c r="I393" s="33"/>
      <c r="J393" s="33"/>
      <c r="K393" s="33"/>
      <c r="L393" s="33"/>
      <c r="M393" s="33"/>
      <c r="O393" s="33"/>
      <c r="P393" s="33"/>
      <c r="Q393" s="33"/>
      <c r="R393" s="33"/>
      <c r="S393" s="33"/>
      <c r="T393" s="60"/>
      <c r="Z393" s="13">
        <f>sum(T393:Y393)</f>
        <v>0</v>
      </c>
    </row>
    <row r="394">
      <c r="H394" s="4" t="s">
        <v>113</v>
      </c>
      <c r="I394" s="13">
        <f t="shared" ref="I394:M394" si="44">I364+I366+I368+I370+I372+I374+I376+I378+I380+I382+I384+I386+I388+I390+I392</f>
        <v>5</v>
      </c>
      <c r="J394" s="13">
        <f t="shared" si="44"/>
        <v>9</v>
      </c>
      <c r="K394" s="13">
        <f t="shared" si="44"/>
        <v>8</v>
      </c>
      <c r="L394" s="13">
        <f t="shared" si="44"/>
        <v>8</v>
      </c>
      <c r="M394" s="13">
        <f t="shared" si="44"/>
        <v>8</v>
      </c>
    </row>
    <row r="395">
      <c r="H395" s="4" t="s">
        <v>114</v>
      </c>
      <c r="I395" s="13">
        <f t="shared" ref="I395:M395" si="45">I365+I367+I369+I371+I373+I375+I377+I379+I381+I383+I385+I387+I389+I391+I393</f>
        <v>4</v>
      </c>
      <c r="J395" s="13">
        <f t="shared" si="45"/>
        <v>6</v>
      </c>
      <c r="K395" s="13">
        <f t="shared" si="45"/>
        <v>4</v>
      </c>
      <c r="L395" s="13">
        <f t="shared" si="45"/>
        <v>2</v>
      </c>
      <c r="M395" s="13">
        <f t="shared" si="45"/>
        <v>3</v>
      </c>
    </row>
    <row r="396">
      <c r="H396" s="61" t="s">
        <v>46</v>
      </c>
      <c r="L396" s="62" t="s">
        <v>47</v>
      </c>
      <c r="P396" s="63" t="s">
        <v>48</v>
      </c>
      <c r="T396" s="64" t="s">
        <v>49</v>
      </c>
      <c r="X396" s="65" t="s">
        <v>50</v>
      </c>
      <c r="AB396" s="65"/>
    </row>
    <row r="397">
      <c r="H397" s="2" t="s">
        <v>54</v>
      </c>
      <c r="J397" s="2" t="s">
        <v>55</v>
      </c>
      <c r="L397" s="2" t="s">
        <v>54</v>
      </c>
      <c r="N397" s="2" t="s">
        <v>55</v>
      </c>
      <c r="P397" s="2" t="s">
        <v>54</v>
      </c>
      <c r="R397" s="2" t="s">
        <v>55</v>
      </c>
      <c r="T397" s="2" t="s">
        <v>54</v>
      </c>
      <c r="V397" s="2" t="s">
        <v>55</v>
      </c>
      <c r="X397" s="2" t="s">
        <v>54</v>
      </c>
      <c r="Z397" s="2" t="s">
        <v>55</v>
      </c>
      <c r="AB397" s="2"/>
    </row>
    <row r="398">
      <c r="A398" s="4" t="s">
        <v>89</v>
      </c>
      <c r="H398" s="13">
        <f>'Nhập hàng New'!K844</f>
        <v>75</v>
      </c>
      <c r="I398" s="72" t="s">
        <v>138</v>
      </c>
      <c r="K398" s="4" t="s">
        <v>138</v>
      </c>
      <c r="L398" s="4">
        <f>'Nhập hàng New'!K876</f>
        <v>67</v>
      </c>
      <c r="M398" s="4" t="s">
        <v>92</v>
      </c>
      <c r="O398" s="4" t="s">
        <v>96</v>
      </c>
      <c r="P398" s="13">
        <f>'Nhập hàng New'!K907</f>
        <v>60</v>
      </c>
      <c r="Q398" s="59" t="s">
        <v>92</v>
      </c>
      <c r="R398" s="72"/>
      <c r="S398" s="75"/>
      <c r="T398" s="74">
        <f>'Nhập hàng New'!K938</f>
        <v>68</v>
      </c>
      <c r="U398" s="72" t="s">
        <v>92</v>
      </c>
      <c r="W398" s="72" t="s">
        <v>172</v>
      </c>
      <c r="X398" s="74">
        <f>'Nhập hàng New'!K969</f>
        <v>67</v>
      </c>
      <c r="Y398" s="75" t="s">
        <v>168</v>
      </c>
      <c r="AA398" s="4" t="s">
        <v>92</v>
      </c>
    </row>
    <row r="399">
      <c r="A399" s="4" t="s">
        <v>93</v>
      </c>
      <c r="I399" s="72" t="s">
        <v>147</v>
      </c>
      <c r="M399" s="4" t="s">
        <v>165</v>
      </c>
      <c r="Q399" s="80" t="s">
        <v>96</v>
      </c>
      <c r="R399" s="74"/>
      <c r="S399" s="75"/>
      <c r="T399" s="74"/>
      <c r="U399" s="72" t="s">
        <v>173</v>
      </c>
      <c r="W399" s="74"/>
      <c r="X399" s="74"/>
      <c r="Y399" s="72" t="s">
        <v>138</v>
      </c>
    </row>
    <row r="400">
      <c r="A400" s="4" t="s">
        <v>79</v>
      </c>
      <c r="I400" s="72"/>
      <c r="M400" s="4" t="s">
        <v>138</v>
      </c>
      <c r="R400" s="74"/>
      <c r="S400" s="75"/>
      <c r="T400" s="74"/>
      <c r="U400" s="72"/>
      <c r="W400" s="74"/>
      <c r="X400" s="74"/>
      <c r="Y400" s="72"/>
    </row>
    <row r="401">
      <c r="A401" s="4" t="s">
        <v>102</v>
      </c>
      <c r="H401" s="13">
        <f>'Nhập hàng New'!M844</f>
        <v>104</v>
      </c>
      <c r="I401" s="72" t="s">
        <v>134</v>
      </c>
      <c r="K401" s="4" t="s">
        <v>124</v>
      </c>
      <c r="L401" s="4">
        <f>'Nhập hàng New'!M876</f>
        <v>132</v>
      </c>
      <c r="M401" s="4" t="s">
        <v>174</v>
      </c>
      <c r="O401" s="4" t="s">
        <v>110</v>
      </c>
      <c r="P401" s="13">
        <f>'Nhập hàng New'!M907</f>
        <v>122</v>
      </c>
      <c r="Q401" s="72" t="s">
        <v>134</v>
      </c>
      <c r="R401" s="72"/>
      <c r="S401" s="75" t="s">
        <v>175</v>
      </c>
      <c r="T401" s="74">
        <f>'Nhập hàng New'!M938</f>
        <v>117</v>
      </c>
      <c r="U401" s="72" t="s">
        <v>176</v>
      </c>
      <c r="W401" s="72"/>
      <c r="X401" s="74">
        <f>'Nhập hàng New'!M969</f>
        <v>114</v>
      </c>
      <c r="Y401" s="75" t="s">
        <v>134</v>
      </c>
    </row>
    <row r="402">
      <c r="A402" s="4" t="s">
        <v>105</v>
      </c>
      <c r="H402" s="13">
        <f>'Nhập hàng New'!L844</f>
        <v>87</v>
      </c>
      <c r="I402" s="72" t="s">
        <v>167</v>
      </c>
      <c r="L402" s="4">
        <f>'Nhập hàng New'!L876</f>
        <v>101</v>
      </c>
      <c r="M402" s="4" t="s">
        <v>177</v>
      </c>
      <c r="P402" s="13">
        <f>'Nhập hàng New'!L907</f>
        <v>87</v>
      </c>
      <c r="Q402" s="4" t="s">
        <v>178</v>
      </c>
      <c r="R402" s="74"/>
      <c r="S402" s="75" t="s">
        <v>122</v>
      </c>
      <c r="T402" s="74">
        <f>'Nhập hàng New'!L938</f>
        <v>95</v>
      </c>
      <c r="U402" s="72" t="s">
        <v>179</v>
      </c>
      <c r="W402" s="72"/>
      <c r="X402" s="74">
        <f>'Nhập hàng New'!L969</f>
        <v>99</v>
      </c>
      <c r="Y402" s="75" t="s">
        <v>122</v>
      </c>
    </row>
    <row r="403">
      <c r="A403" s="4" t="s">
        <v>128</v>
      </c>
      <c r="L403" s="13">
        <f>'Nhập hàng New'!N876</f>
        <v>37</v>
      </c>
      <c r="M403" s="4" t="s">
        <v>91</v>
      </c>
      <c r="P403" s="13">
        <f>'Nhập hàng New'!N907</f>
        <v>55</v>
      </c>
      <c r="Q403" s="4" t="s">
        <v>147</v>
      </c>
      <c r="R403" s="74"/>
      <c r="S403" s="75"/>
      <c r="T403" s="74">
        <f>'Nhập hàng New'!N938</f>
        <v>36</v>
      </c>
      <c r="U403" s="4" t="s">
        <v>91</v>
      </c>
      <c r="W403" s="74"/>
      <c r="X403" s="74">
        <f>'Nhập hàng New'!N969</f>
        <v>41</v>
      </c>
      <c r="Y403" s="72" t="s">
        <v>147</v>
      </c>
    </row>
    <row r="404">
      <c r="A404" s="4" t="s">
        <v>180</v>
      </c>
      <c r="I404" s="72"/>
      <c r="O404" s="4" t="s">
        <v>181</v>
      </c>
      <c r="P404" s="13">
        <f>'Nhập hàng New'!O907</f>
        <v>64</v>
      </c>
      <c r="Q404" s="75" t="s">
        <v>165</v>
      </c>
      <c r="R404" s="74"/>
      <c r="S404" s="72" t="s">
        <v>91</v>
      </c>
      <c r="T404" s="74">
        <f>'Nhập hàng New'!O938</f>
        <v>65</v>
      </c>
      <c r="U404" s="4" t="s">
        <v>165</v>
      </c>
      <c r="W404" s="72" t="s">
        <v>91</v>
      </c>
      <c r="X404" s="74">
        <f>'Nhập hàng New'!O969</f>
        <v>63</v>
      </c>
      <c r="Y404" s="72" t="s">
        <v>91</v>
      </c>
      <c r="AA404" s="4" t="s">
        <v>91</v>
      </c>
    </row>
    <row r="405">
      <c r="A405" s="4" t="s">
        <v>155</v>
      </c>
      <c r="I405" s="72" t="s">
        <v>104</v>
      </c>
      <c r="K405" s="4" t="s">
        <v>110</v>
      </c>
      <c r="L405" s="4">
        <f>'Nhập hàng New'!P876</f>
        <v>69</v>
      </c>
      <c r="M405" s="4" t="s">
        <v>159</v>
      </c>
      <c r="O405" s="4" t="s">
        <v>122</v>
      </c>
      <c r="P405" s="13">
        <f>'Nhập hàng New'!P907</f>
        <v>75</v>
      </c>
      <c r="Q405" s="72" t="s">
        <v>182</v>
      </c>
      <c r="R405" s="72"/>
      <c r="S405" s="72"/>
      <c r="T405" s="74">
        <f>'Nhập hàng New'!P938</f>
        <v>62</v>
      </c>
      <c r="U405" s="72" t="s">
        <v>183</v>
      </c>
      <c r="W405" s="72"/>
      <c r="X405" s="74">
        <f>'Nhập hàng New'!P969</f>
        <v>65</v>
      </c>
      <c r="Y405" s="59" t="s">
        <v>124</v>
      </c>
    </row>
    <row r="406">
      <c r="A406" s="4" t="s">
        <v>169</v>
      </c>
      <c r="H406" s="13">
        <f>'Nhập hàng New'!Q844</f>
        <v>71</v>
      </c>
      <c r="I406" s="4" t="s">
        <v>154</v>
      </c>
      <c r="K406" s="4" t="s">
        <v>165</v>
      </c>
      <c r="L406" s="13">
        <f>'Nhập hàng New'!Q876</f>
        <v>97</v>
      </c>
      <c r="M406" s="4" t="s">
        <v>154</v>
      </c>
      <c r="O406" s="4" t="s">
        <v>165</v>
      </c>
      <c r="P406" s="13">
        <f>'Nhập hàng New'!Q907</f>
        <v>98</v>
      </c>
      <c r="Q406" s="75" t="s">
        <v>91</v>
      </c>
      <c r="S406" s="4" t="s">
        <v>154</v>
      </c>
      <c r="T406" s="13">
        <f>'Nhập hàng New'!Q938</f>
        <v>101</v>
      </c>
      <c r="U406" s="4" t="s">
        <v>184</v>
      </c>
      <c r="W406" s="4" t="s">
        <v>185</v>
      </c>
      <c r="X406" s="13">
        <f>'Nhập hàng New'!Q969</f>
        <v>95</v>
      </c>
      <c r="Y406" s="4" t="s">
        <v>154</v>
      </c>
      <c r="AA406" s="59" t="s">
        <v>154</v>
      </c>
      <c r="AB406" s="59"/>
    </row>
    <row r="408">
      <c r="I408" s="26" t="s">
        <v>46</v>
      </c>
      <c r="J408" s="26" t="s">
        <v>47</v>
      </c>
      <c r="K408" s="26" t="s">
        <v>48</v>
      </c>
      <c r="L408" s="26" t="s">
        <v>49</v>
      </c>
      <c r="M408" s="26" t="s">
        <v>50</v>
      </c>
      <c r="O408" s="26" t="s">
        <v>46</v>
      </c>
      <c r="P408" s="26" t="s">
        <v>47</v>
      </c>
      <c r="Q408" s="26" t="s">
        <v>48</v>
      </c>
      <c r="R408" s="26" t="s">
        <v>49</v>
      </c>
      <c r="S408" s="26" t="s">
        <v>50</v>
      </c>
      <c r="W408" s="4">
        <v>50.0</v>
      </c>
      <c r="AA408" s="59"/>
      <c r="AB408" s="2" t="s">
        <v>160</v>
      </c>
    </row>
    <row r="409">
      <c r="I409" s="28">
        <v>46160.0</v>
      </c>
      <c r="J409" s="29">
        <f t="shared" ref="J409:M409" si="46">I409+1</f>
        <v>46161</v>
      </c>
      <c r="K409" s="28">
        <f t="shared" si="46"/>
        <v>46162</v>
      </c>
      <c r="L409" s="29">
        <f t="shared" si="46"/>
        <v>46163</v>
      </c>
      <c r="M409" s="28">
        <f t="shared" si="46"/>
        <v>46164</v>
      </c>
      <c r="O409" s="29">
        <f t="shared" ref="O409:S409" si="47">I409</f>
        <v>46160</v>
      </c>
      <c r="P409" s="29">
        <f t="shared" si="47"/>
        <v>46161</v>
      </c>
      <c r="Q409" s="29">
        <f t="shared" si="47"/>
        <v>46162</v>
      </c>
      <c r="R409" s="29">
        <f t="shared" si="47"/>
        <v>46163</v>
      </c>
      <c r="S409" s="29">
        <f t="shared" si="47"/>
        <v>46164</v>
      </c>
      <c r="Z409" s="2" t="s">
        <v>16</v>
      </c>
      <c r="AB409" s="4">
        <v>200000.0</v>
      </c>
    </row>
    <row r="410">
      <c r="A410" s="38" t="s">
        <v>53</v>
      </c>
      <c r="I410" s="31"/>
      <c r="J410" s="23"/>
      <c r="K410" s="31"/>
      <c r="L410" s="31"/>
      <c r="M410" s="32"/>
      <c r="O410" s="23"/>
      <c r="P410" s="23"/>
      <c r="Q410" s="31"/>
      <c r="R410" s="23"/>
      <c r="S410" s="32"/>
      <c r="T410" s="52">
        <f>O410+P410+Q410+R410+S410+O411+P411+Q411+R411+S411</f>
        <v>0</v>
      </c>
      <c r="Z410" s="13">
        <f t="shared" ref="Z410:Z412" si="48">sum(T410:Y410)*1000</f>
        <v>0</v>
      </c>
      <c r="AA410" s="13">
        <f>Z410+Z411</f>
        <v>0</v>
      </c>
    </row>
    <row r="411">
      <c r="A411" s="27"/>
      <c r="I411" s="33"/>
      <c r="J411" s="33"/>
      <c r="K411" s="33"/>
      <c r="L411" s="33"/>
      <c r="M411" s="24"/>
      <c r="O411" s="33"/>
      <c r="P411" s="33"/>
      <c r="Q411" s="33"/>
      <c r="R411" s="33"/>
      <c r="S411" s="24"/>
      <c r="T411" s="52"/>
      <c r="Z411" s="13">
        <f t="shared" si="48"/>
        <v>0</v>
      </c>
    </row>
    <row r="412">
      <c r="A412" s="38" t="s">
        <v>108</v>
      </c>
      <c r="I412" s="31"/>
      <c r="J412" s="31"/>
      <c r="K412" s="32"/>
      <c r="L412" s="31"/>
      <c r="M412" s="31"/>
      <c r="O412" s="23"/>
      <c r="P412" s="31"/>
      <c r="Q412" s="31"/>
      <c r="R412" s="23"/>
      <c r="S412" s="31"/>
      <c r="T412" s="53">
        <f>O412+P412+Q412+R412+S412+O413+P413+Q413+R413+S413</f>
        <v>0</v>
      </c>
      <c r="U412" s="4">
        <v>50.0</v>
      </c>
      <c r="Z412" s="13">
        <f t="shared" si="48"/>
        <v>50000</v>
      </c>
      <c r="AA412" s="13">
        <f>Z412+Z413+AA367</f>
        <v>50000</v>
      </c>
    </row>
    <row r="413">
      <c r="A413" s="27"/>
      <c r="I413" s="33"/>
      <c r="J413" s="33"/>
      <c r="K413" s="33"/>
      <c r="L413" s="33"/>
      <c r="M413" s="33"/>
      <c r="O413" s="24"/>
      <c r="P413" s="33"/>
      <c r="Q413" s="33"/>
      <c r="R413" s="33"/>
      <c r="S413" s="24"/>
      <c r="T413" s="53"/>
      <c r="Z413" s="13">
        <f>sum(T413:Y413)</f>
        <v>0</v>
      </c>
    </row>
    <row r="414">
      <c r="A414" s="38" t="s">
        <v>57</v>
      </c>
      <c r="I414" s="23"/>
      <c r="J414" s="23"/>
      <c r="K414" s="31"/>
      <c r="L414" s="31"/>
      <c r="M414" s="31"/>
      <c r="O414" s="23"/>
      <c r="P414" s="23"/>
      <c r="Q414" s="31"/>
      <c r="R414" s="23"/>
      <c r="S414" s="31"/>
      <c r="T414" s="54">
        <f>O414+P414+Q414+R414+S414+O415+P415+Q415+R415+S415</f>
        <v>0</v>
      </c>
      <c r="Z414" s="13">
        <f>sum(T414:Y414)*1000</f>
        <v>0</v>
      </c>
      <c r="AA414" s="13">
        <f>Z414+Z415</f>
        <v>0</v>
      </c>
    </row>
    <row r="415">
      <c r="A415" s="27"/>
      <c r="I415" s="33"/>
      <c r="J415" s="33"/>
      <c r="K415" s="33"/>
      <c r="L415" s="33"/>
      <c r="M415" s="24"/>
      <c r="O415" s="33"/>
      <c r="P415" s="33"/>
      <c r="Q415" s="33"/>
      <c r="R415" s="33"/>
      <c r="S415" s="24"/>
      <c r="T415" s="54"/>
      <c r="Z415" s="13">
        <f>sum(T415:Y415)</f>
        <v>0</v>
      </c>
    </row>
    <row r="416">
      <c r="A416" s="38" t="s">
        <v>109</v>
      </c>
      <c r="I416" s="31"/>
      <c r="J416" s="31"/>
      <c r="K416" s="31"/>
      <c r="L416" s="31"/>
      <c r="M416" s="31"/>
      <c r="O416" s="23"/>
      <c r="P416" s="31"/>
      <c r="Q416" s="31"/>
      <c r="R416" s="31"/>
      <c r="S416" s="31"/>
      <c r="T416" s="13">
        <f>O416+P416+Q416+R416+S416+O417+P417+Q417+R417+S417</f>
        <v>0</v>
      </c>
      <c r="Z416" s="13">
        <f>sum(T416:Y416)*1000</f>
        <v>0</v>
      </c>
      <c r="AA416" s="13">
        <f>Z416+Z417</f>
        <v>0</v>
      </c>
    </row>
    <row r="417">
      <c r="A417" s="27"/>
      <c r="I417" s="33"/>
      <c r="J417" s="33"/>
      <c r="K417" s="33"/>
      <c r="L417" s="33"/>
      <c r="M417" s="24"/>
      <c r="O417" s="24"/>
      <c r="P417" s="33"/>
      <c r="Q417" s="33"/>
      <c r="R417" s="33"/>
      <c r="S417" s="24"/>
      <c r="Z417" s="13">
        <f>sum(T417:Y417)</f>
        <v>0</v>
      </c>
    </row>
    <row r="418">
      <c r="A418" s="38" t="s">
        <v>111</v>
      </c>
      <c r="I418" s="46">
        <v>1.0</v>
      </c>
      <c r="J418" s="46">
        <v>1.0</v>
      </c>
      <c r="K418" s="31"/>
      <c r="L418" s="46">
        <v>1.0</v>
      </c>
      <c r="M418" s="46">
        <v>1.0</v>
      </c>
      <c r="O418" s="31">
        <v>80.0</v>
      </c>
      <c r="P418" s="31">
        <v>80.0</v>
      </c>
      <c r="Q418" s="31"/>
      <c r="R418" s="31">
        <v>80.0</v>
      </c>
      <c r="S418" s="31">
        <v>80.0</v>
      </c>
      <c r="T418" s="56">
        <f>O418+P418+Q418+R418+S418+O419+P419+Q419+R419+S419</f>
        <v>640</v>
      </c>
      <c r="U418" s="4">
        <v>7.0</v>
      </c>
      <c r="V418" s="4">
        <v>6.0</v>
      </c>
      <c r="X418" s="4">
        <v>8.0</v>
      </c>
      <c r="Y418" s="4">
        <v>7.0</v>
      </c>
      <c r="Z418" s="13">
        <f>sum(T418:Y418)*1000</f>
        <v>668000</v>
      </c>
      <c r="AA418" s="13">
        <f>Z418+Z419+AA373</f>
        <v>751000</v>
      </c>
    </row>
    <row r="419">
      <c r="A419" s="27"/>
      <c r="I419" s="35">
        <v>1.0</v>
      </c>
      <c r="J419" s="35">
        <v>1.0</v>
      </c>
      <c r="K419" s="35">
        <v>1.0</v>
      </c>
      <c r="L419" s="35">
        <v>1.0</v>
      </c>
      <c r="M419" s="33"/>
      <c r="O419" s="33">
        <v>80.0</v>
      </c>
      <c r="P419" s="33">
        <v>80.0</v>
      </c>
      <c r="Q419" s="33">
        <v>80.0</v>
      </c>
      <c r="R419" s="33">
        <v>80.0</v>
      </c>
      <c r="S419" s="24"/>
      <c r="T419" s="56"/>
      <c r="U419" s="13">
        <f>(H448-$W$408)*500</f>
        <v>11500</v>
      </c>
      <c r="V419" s="13">
        <f>(L448-W408)*500</f>
        <v>21500</v>
      </c>
      <c r="X419" s="13">
        <f>(T448-W408)*500</f>
        <v>23500</v>
      </c>
      <c r="Y419" s="13">
        <f>(X448-$V$225)*500</f>
        <v>26500</v>
      </c>
      <c r="Z419" s="13">
        <f>sum(T419:Y419)</f>
        <v>83000</v>
      </c>
    </row>
    <row r="420">
      <c r="A420" s="38"/>
      <c r="I420" s="31"/>
      <c r="J420" s="23"/>
      <c r="K420" s="31"/>
      <c r="L420" s="31"/>
      <c r="M420" s="31"/>
      <c r="O420" s="31"/>
      <c r="P420" s="23"/>
      <c r="Q420" s="31"/>
      <c r="R420" s="31"/>
      <c r="S420" s="31"/>
      <c r="T420" s="53">
        <f>O420+P420+Q420+R420+S420+O421+P421+Q421+R421+S421+N421</f>
        <v>0</v>
      </c>
      <c r="Z420" s="13">
        <f>sum(T420:Y420)*1000</f>
        <v>0</v>
      </c>
      <c r="AA420" s="13">
        <f>Z420+Z421</f>
        <v>0</v>
      </c>
    </row>
    <row r="421">
      <c r="A421" s="27"/>
      <c r="I421" s="33"/>
      <c r="J421" s="33"/>
      <c r="K421" s="33"/>
      <c r="L421" s="33"/>
      <c r="M421" s="33"/>
      <c r="O421" s="33"/>
      <c r="P421" s="33"/>
      <c r="Q421" s="33"/>
      <c r="R421" s="33"/>
      <c r="S421" s="33"/>
      <c r="T421" s="53"/>
      <c r="Z421" s="13">
        <f>sum(T421:Y421)</f>
        <v>0</v>
      </c>
    </row>
    <row r="422">
      <c r="A422" s="38" t="s">
        <v>141</v>
      </c>
      <c r="I422" s="46">
        <v>1.0</v>
      </c>
      <c r="J422" s="46">
        <v>1.0</v>
      </c>
      <c r="K422" s="46">
        <v>1.0</v>
      </c>
      <c r="L422" s="31">
        <v>1.0</v>
      </c>
      <c r="M422" s="46">
        <v>1.0</v>
      </c>
      <c r="O422" s="31">
        <v>80.0</v>
      </c>
      <c r="P422" s="31">
        <v>80.0</v>
      </c>
      <c r="Q422" s="31">
        <v>100.0</v>
      </c>
      <c r="R422" s="31">
        <v>70.0</v>
      </c>
      <c r="S422" s="31">
        <v>80.0</v>
      </c>
      <c r="T422" s="13">
        <f>O422+P422+Q422+R422+S422+O423+P423+Q423+R423+S423</f>
        <v>640</v>
      </c>
      <c r="U422" s="4">
        <f>50+7</f>
        <v>57</v>
      </c>
      <c r="V422" s="4">
        <v>50.0</v>
      </c>
      <c r="W422" s="4">
        <v>50.0</v>
      </c>
      <c r="X422" s="4">
        <v>50.0</v>
      </c>
      <c r="Y422" s="4">
        <v>50.0</v>
      </c>
      <c r="Z422" s="13">
        <f>sum(T422:Y422)*1000</f>
        <v>897000</v>
      </c>
      <c r="AA422" s="13">
        <f>Z422+Z423</f>
        <v>897000</v>
      </c>
      <c r="AB422" s="4">
        <v>50000.0</v>
      </c>
    </row>
    <row r="423">
      <c r="A423" s="27"/>
      <c r="I423" s="35">
        <v>1.0</v>
      </c>
      <c r="J423" s="35">
        <v>1.0</v>
      </c>
      <c r="K423" s="33"/>
      <c r="L423" s="33">
        <v>1.0</v>
      </c>
      <c r="M423" s="33"/>
      <c r="O423" s="33">
        <v>80.0</v>
      </c>
      <c r="P423" s="33">
        <v>80.0</v>
      </c>
      <c r="Q423" s="33"/>
      <c r="R423" s="33">
        <v>70.0</v>
      </c>
      <c r="S423" s="24"/>
      <c r="X423" s="13">
        <f>(T444-$V$225)*500</f>
        <v>11000</v>
      </c>
    </row>
    <row r="424">
      <c r="A424" s="38" t="s">
        <v>142</v>
      </c>
      <c r="I424" s="46">
        <v>1.0</v>
      </c>
      <c r="J424" s="46">
        <v>1.0</v>
      </c>
      <c r="K424" s="46">
        <v>1.0</v>
      </c>
      <c r="L424" s="46">
        <v>1.0</v>
      </c>
      <c r="M424" s="46">
        <v>1.0</v>
      </c>
      <c r="O424" s="31">
        <v>80.0</v>
      </c>
      <c r="P424" s="31">
        <v>80.0</v>
      </c>
      <c r="Q424" s="31">
        <v>100.0</v>
      </c>
      <c r="R424" s="31">
        <v>80.0</v>
      </c>
      <c r="S424" s="31">
        <v>80.0</v>
      </c>
      <c r="T424" s="53">
        <f>O424+P424+Q424+R424+S424+O425+P425+Q425+R425+S425+N425</f>
        <v>580</v>
      </c>
      <c r="U424" s="4">
        <v>50.0</v>
      </c>
      <c r="V424" s="4">
        <v>50.0</v>
      </c>
      <c r="W424" s="4">
        <f>50+8</f>
        <v>58</v>
      </c>
      <c r="X424" s="4">
        <v>50.0</v>
      </c>
      <c r="Y424" s="4">
        <v>25.0</v>
      </c>
      <c r="Z424" s="13">
        <f>sum(T424:Y424)*1000</f>
        <v>813000</v>
      </c>
      <c r="AA424" s="13">
        <f>Z424+Z425</f>
        <v>913000</v>
      </c>
      <c r="AB424" s="4">
        <v>50000.0</v>
      </c>
    </row>
    <row r="425">
      <c r="A425" s="27"/>
      <c r="I425" s="33"/>
      <c r="J425" s="33"/>
      <c r="K425" s="35">
        <v>1.0</v>
      </c>
      <c r="L425" s="33"/>
      <c r="M425" s="35">
        <v>1.0</v>
      </c>
      <c r="O425" s="33"/>
      <c r="P425" s="33"/>
      <c r="Q425" s="33">
        <v>80.0</v>
      </c>
      <c r="R425" s="33"/>
      <c r="S425" s="33">
        <v>80.0</v>
      </c>
      <c r="T425" s="53"/>
      <c r="U425" s="13">
        <f>(H452-$V$225)*500</f>
        <v>18000</v>
      </c>
      <c r="V425" s="13">
        <f>(L452-$V$225)*500</f>
        <v>25500</v>
      </c>
      <c r="W425" s="13">
        <f>(P452-$V$225)*500</f>
        <v>9000</v>
      </c>
      <c r="X425" s="13">
        <f>(T452-$V$225)*500</f>
        <v>22500</v>
      </c>
      <c r="Y425" s="13">
        <f>(X452-$V$225)*500</f>
        <v>25000</v>
      </c>
      <c r="Z425" s="13">
        <f>sum(T425:Y425)</f>
        <v>100000</v>
      </c>
    </row>
    <row r="426">
      <c r="A426" s="38" t="s">
        <v>130</v>
      </c>
      <c r="I426" s="46">
        <v>1.0</v>
      </c>
      <c r="J426" s="46">
        <v>1.0</v>
      </c>
      <c r="K426" s="46">
        <v>1.0</v>
      </c>
      <c r="L426" s="23"/>
      <c r="M426" s="31">
        <v>1.0</v>
      </c>
      <c r="O426" s="31">
        <v>80.0</v>
      </c>
      <c r="P426" s="31">
        <v>80.0</v>
      </c>
      <c r="Q426" s="31">
        <v>100.0</v>
      </c>
      <c r="R426" s="23"/>
      <c r="S426" s="32">
        <v>70.0</v>
      </c>
      <c r="T426" s="13">
        <f>O426+P426+Q426+R426+S426+O427+P427+Q427+R427+S427</f>
        <v>330</v>
      </c>
      <c r="U426" s="4">
        <v>5.0</v>
      </c>
      <c r="V426" s="4">
        <v>4.0</v>
      </c>
      <c r="Z426" s="13">
        <f>sum(T426:Y426)*1000</f>
        <v>339000</v>
      </c>
      <c r="AA426" s="13">
        <f>Z426+Z427+AA381</f>
        <v>404000</v>
      </c>
    </row>
    <row r="427">
      <c r="A427" s="27"/>
      <c r="I427" s="33">
        <v>1.0</v>
      </c>
      <c r="J427" s="33"/>
      <c r="K427" s="33"/>
      <c r="L427" s="33"/>
      <c r="M427" s="33"/>
      <c r="O427" s="24"/>
      <c r="P427" s="33"/>
      <c r="Q427" s="33"/>
      <c r="R427" s="33"/>
      <c r="S427" s="24"/>
      <c r="U427" s="13">
        <f>(H447-$V$225)*500</f>
        <v>27500</v>
      </c>
      <c r="V427" s="13">
        <f>(L447-90)/2*500</f>
        <v>4000</v>
      </c>
      <c r="W427" s="13">
        <f>(P448-$V$225)*500</f>
        <v>19500</v>
      </c>
      <c r="Y427" s="13">
        <f>(X444-$V$225)*500</f>
        <v>14000</v>
      </c>
      <c r="Z427" s="13">
        <f>sum(T427:Y427)</f>
        <v>65000</v>
      </c>
    </row>
    <row r="428">
      <c r="A428" s="50" t="s">
        <v>73</v>
      </c>
      <c r="I428" s="31"/>
      <c r="J428" s="46">
        <v>1.0</v>
      </c>
      <c r="K428" s="46">
        <v>1.0</v>
      </c>
      <c r="L428" s="31"/>
      <c r="M428" s="31"/>
      <c r="O428" s="31"/>
      <c r="P428" s="31">
        <v>80.0</v>
      </c>
      <c r="Q428" s="31">
        <v>100.0</v>
      </c>
      <c r="R428" s="23"/>
      <c r="S428" s="31"/>
      <c r="T428" s="53">
        <f>O428+P428+Q428+R428+S428+O429+P429+Q429+R429+S429+N429</f>
        <v>260</v>
      </c>
      <c r="V428" s="59"/>
      <c r="Z428" s="13">
        <f>sum(T428:Y428)*1000</f>
        <v>260000</v>
      </c>
      <c r="AA428" s="13">
        <f>Z428+Z429</f>
        <v>290500</v>
      </c>
    </row>
    <row r="429">
      <c r="A429" s="27"/>
      <c r="I429" s="35">
        <v>1.0</v>
      </c>
      <c r="J429" s="33"/>
      <c r="K429" s="33"/>
      <c r="L429" s="33"/>
      <c r="M429" s="24"/>
      <c r="O429" s="33">
        <v>80.0</v>
      </c>
      <c r="P429" s="33"/>
      <c r="Q429" s="33"/>
      <c r="R429" s="33"/>
      <c r="S429" s="24"/>
      <c r="T429" s="53"/>
      <c r="V429" s="13">
        <f>(L451-$V$225)*500</f>
        <v>5000</v>
      </c>
      <c r="W429" s="13">
        <f>(P447-$V$225)*500</f>
        <v>25500</v>
      </c>
      <c r="Z429" s="13">
        <f>sum(T429:Y429)</f>
        <v>30500</v>
      </c>
    </row>
    <row r="430">
      <c r="A430" s="51" t="s">
        <v>82</v>
      </c>
      <c r="I430" s="31">
        <v>1.0</v>
      </c>
      <c r="J430" s="31">
        <v>1.0</v>
      </c>
      <c r="K430" s="32">
        <v>1.0</v>
      </c>
      <c r="L430" s="46">
        <v>1.0</v>
      </c>
      <c r="M430" s="46">
        <v>1.0</v>
      </c>
      <c r="O430" s="31">
        <v>70.0</v>
      </c>
      <c r="P430" s="31">
        <v>70.0</v>
      </c>
      <c r="Q430" s="31">
        <v>100.0</v>
      </c>
      <c r="R430" s="31">
        <v>80.0</v>
      </c>
      <c r="S430" s="31">
        <v>80.0</v>
      </c>
      <c r="T430" s="13">
        <f>O430+P430+Q430+R430+S430+O431+P431+Q431+R431+S431</f>
        <v>550</v>
      </c>
      <c r="W430" s="59">
        <v>4.0</v>
      </c>
      <c r="Y430" s="4">
        <v>4.0</v>
      </c>
      <c r="Z430" s="13">
        <f>sum(T430:Y430)*1000</f>
        <v>558000</v>
      </c>
      <c r="AA430" s="68">
        <f>Z430+Z431</f>
        <v>605500</v>
      </c>
      <c r="AB430" s="4">
        <v>50000.0</v>
      </c>
    </row>
    <row r="431">
      <c r="A431" s="27"/>
      <c r="I431" s="33"/>
      <c r="J431" s="33"/>
      <c r="K431" s="33">
        <v>1.0</v>
      </c>
      <c r="L431" s="35">
        <v>1.0</v>
      </c>
      <c r="M431" s="33"/>
      <c r="O431" s="33"/>
      <c r="P431" s="33"/>
      <c r="Q431" s="33">
        <v>70.0</v>
      </c>
      <c r="R431" s="33">
        <v>80.0</v>
      </c>
      <c r="S431" s="33"/>
      <c r="U431" s="13">
        <f>(H444-$V$225)*500</f>
        <v>9000</v>
      </c>
      <c r="V431" s="13">
        <f>(L444-$V$225)*500</f>
        <v>8000</v>
      </c>
      <c r="W431" s="13">
        <f>(P444-$V$225)*500</f>
        <v>5500</v>
      </c>
      <c r="X431" s="13">
        <f>(T444-$V$225)*500</f>
        <v>11000</v>
      </c>
      <c r="Y431" s="13">
        <f>(X444-$V$225)*500</f>
        <v>14000</v>
      </c>
      <c r="Z431" s="13">
        <f>sum(T431:Y431)</f>
        <v>47500</v>
      </c>
    </row>
    <row r="432">
      <c r="A432" s="51" t="s">
        <v>143</v>
      </c>
      <c r="I432" s="31"/>
      <c r="J432" s="31">
        <v>1.0</v>
      </c>
      <c r="K432" s="46">
        <v>1.0</v>
      </c>
      <c r="L432" s="31"/>
      <c r="M432" s="31"/>
      <c r="O432" s="31"/>
      <c r="P432" s="31">
        <v>70.0</v>
      </c>
      <c r="Q432" s="31">
        <v>100.0</v>
      </c>
      <c r="R432" s="31"/>
      <c r="S432" s="31"/>
      <c r="T432" s="53">
        <f>O432+P432+Q432+R432+S432+O433+P433+Q433+R433+S433+N433</f>
        <v>330</v>
      </c>
      <c r="V432" s="4">
        <v>1.0</v>
      </c>
      <c r="Z432" s="13">
        <f>sum(T432:Y432)*1000</f>
        <v>331000</v>
      </c>
      <c r="AA432" s="13">
        <f>Z432+Z433</f>
        <v>346500</v>
      </c>
    </row>
    <row r="433">
      <c r="A433" s="27"/>
      <c r="I433" s="35">
        <v>1.0</v>
      </c>
      <c r="J433" s="35">
        <v>1.0</v>
      </c>
      <c r="K433" s="33"/>
      <c r="L433" s="33"/>
      <c r="M433" s="33"/>
      <c r="O433" s="33">
        <v>80.0</v>
      </c>
      <c r="P433" s="33">
        <v>80.0</v>
      </c>
      <c r="Q433" s="33"/>
      <c r="R433" s="33"/>
      <c r="S433" s="33"/>
      <c r="T433" s="53"/>
      <c r="W433" s="13">
        <f>(P450-50)*500</f>
        <v>15500</v>
      </c>
      <c r="Z433" s="13">
        <f>sum(T433:Y433)</f>
        <v>15500</v>
      </c>
    </row>
    <row r="434">
      <c r="A434" s="51" t="s">
        <v>86</v>
      </c>
      <c r="I434" s="31"/>
      <c r="J434" s="46">
        <v>1.0</v>
      </c>
      <c r="K434" s="49">
        <v>1.0</v>
      </c>
      <c r="L434" s="46">
        <v>1.0</v>
      </c>
      <c r="M434" s="46">
        <v>1.0</v>
      </c>
      <c r="O434" s="31"/>
      <c r="P434" s="31">
        <v>80.0</v>
      </c>
      <c r="Q434" s="31">
        <v>100.0</v>
      </c>
      <c r="R434" s="31">
        <v>80.0</v>
      </c>
      <c r="S434" s="31">
        <v>80.0</v>
      </c>
      <c r="T434" s="13">
        <f>O434+P434+Q434+R434+S434+O435+P435+Q435+R435+S435</f>
        <v>500</v>
      </c>
      <c r="V434" s="4">
        <v>4.0</v>
      </c>
      <c r="X434" s="4">
        <v>5.0</v>
      </c>
      <c r="Y434" s="4">
        <v>8.0</v>
      </c>
      <c r="Z434" s="13">
        <f>sum(T434:Y434)*1000</f>
        <v>517000</v>
      </c>
      <c r="AA434" s="13">
        <f>Z434+Z435</f>
        <v>591000</v>
      </c>
    </row>
    <row r="435">
      <c r="A435" s="27"/>
      <c r="I435" s="33"/>
      <c r="J435" s="33"/>
      <c r="K435" s="33"/>
      <c r="L435" s="35">
        <v>1.0</v>
      </c>
      <c r="M435" s="35">
        <v>1.0</v>
      </c>
      <c r="O435" s="33"/>
      <c r="P435" s="33"/>
      <c r="Q435" s="33"/>
      <c r="R435" s="33">
        <v>80.0</v>
      </c>
      <c r="S435" s="33">
        <v>80.0</v>
      </c>
      <c r="V435" s="13">
        <f>V427</f>
        <v>4000</v>
      </c>
      <c r="W435" s="13">
        <f>(P451-50)*500</f>
        <v>4000</v>
      </c>
      <c r="X435" s="13">
        <f>(T447-50)*500</f>
        <v>30500</v>
      </c>
      <c r="Y435" s="13">
        <f>(X447-$V$225)*500</f>
        <v>35500</v>
      </c>
      <c r="Z435" s="13">
        <f>sum(T435:Y435)</f>
        <v>74000</v>
      </c>
    </row>
    <row r="436">
      <c r="A436" s="51" t="s">
        <v>144</v>
      </c>
      <c r="I436" s="46">
        <v>1.0</v>
      </c>
      <c r="J436" s="46">
        <v>1.0</v>
      </c>
      <c r="K436" s="32"/>
      <c r="L436" s="46">
        <v>1.0</v>
      </c>
      <c r="M436" s="31"/>
      <c r="O436" s="31">
        <v>80.0</v>
      </c>
      <c r="P436" s="31">
        <v>80.0</v>
      </c>
      <c r="Q436" s="32"/>
      <c r="R436" s="31">
        <v>80.0</v>
      </c>
      <c r="S436" s="31"/>
      <c r="T436" s="53">
        <f>O436+P436+Q436+R436+S436+O437+P437+Q437+R437+S437+N437</f>
        <v>320</v>
      </c>
      <c r="V436" s="4">
        <v>8.0</v>
      </c>
      <c r="W436" s="4">
        <v>8.0</v>
      </c>
      <c r="Z436" s="13">
        <f>sum(T436:Y436)*1000</f>
        <v>336000</v>
      </c>
      <c r="AA436" s="13">
        <f>Z436+Z437</f>
        <v>374000</v>
      </c>
    </row>
    <row r="437">
      <c r="A437" s="27"/>
      <c r="I437" s="33"/>
      <c r="J437" s="33"/>
      <c r="K437" s="35">
        <v>1.0</v>
      </c>
      <c r="L437" s="33"/>
      <c r="M437" s="33"/>
      <c r="O437" s="33"/>
      <c r="P437" s="33"/>
      <c r="Q437" s="33">
        <v>80.0</v>
      </c>
      <c r="R437" s="33"/>
      <c r="S437" s="33"/>
      <c r="T437" s="53"/>
      <c r="U437" s="13">
        <f>(H450-$V$225)*500</f>
        <v>8000</v>
      </c>
      <c r="V437" s="13">
        <f>(L450-$V$225)*500</f>
        <v>14000</v>
      </c>
      <c r="X437" s="13">
        <f>(T450-$V$225)*500</f>
        <v>16000</v>
      </c>
      <c r="Z437" s="13">
        <f>sum(T437:Y437)</f>
        <v>38000</v>
      </c>
    </row>
    <row r="438">
      <c r="A438" s="51"/>
      <c r="I438" s="31"/>
      <c r="J438" s="31"/>
      <c r="K438" s="32"/>
      <c r="L438" s="31"/>
      <c r="M438" s="32"/>
      <c r="O438" s="31"/>
      <c r="P438" s="31"/>
      <c r="Q438" s="32"/>
      <c r="R438" s="31"/>
      <c r="S438" s="31"/>
      <c r="T438" s="60">
        <f>O438+P438+Q438+R438+S438+O439+P439+Q439+R439+S439+N439</f>
        <v>0</v>
      </c>
      <c r="Z438" s="13">
        <f>sum(T438:Y438)*1000</f>
        <v>0</v>
      </c>
      <c r="AA438" s="13">
        <f>Z438+Z439</f>
        <v>0</v>
      </c>
    </row>
    <row r="439">
      <c r="A439" s="27"/>
      <c r="I439" s="33"/>
      <c r="J439" s="33"/>
      <c r="K439" s="33"/>
      <c r="L439" s="33"/>
      <c r="M439" s="33"/>
      <c r="O439" s="33"/>
      <c r="P439" s="33"/>
      <c r="Q439" s="33"/>
      <c r="R439" s="33"/>
      <c r="S439" s="33"/>
      <c r="T439" s="60"/>
      <c r="Z439" s="13">
        <f>sum(T439:Y439)</f>
        <v>0</v>
      </c>
    </row>
    <row r="440">
      <c r="H440" s="4" t="s">
        <v>113</v>
      </c>
      <c r="I440" s="13">
        <f t="shared" ref="I440:M440" si="49">I410+I412+I414+I416+I418+I420+I422+I424+I426+I428+I430+I432+I434+I436+I438</f>
        <v>6</v>
      </c>
      <c r="J440" s="13">
        <f t="shared" si="49"/>
        <v>9</v>
      </c>
      <c r="K440" s="13">
        <f t="shared" si="49"/>
        <v>7</v>
      </c>
      <c r="L440" s="13">
        <f t="shared" si="49"/>
        <v>6</v>
      </c>
      <c r="M440" s="13">
        <f t="shared" si="49"/>
        <v>6</v>
      </c>
    </row>
    <row r="441">
      <c r="H441" s="4" t="s">
        <v>114</v>
      </c>
      <c r="I441" s="13">
        <f t="shared" ref="I441:M441" si="50">I411+I413+I415+I417+I419+I421+I423+I425+I427+I429+I431+I433+I435+I437+I439</f>
        <v>5</v>
      </c>
      <c r="J441" s="13">
        <f t="shared" si="50"/>
        <v>3</v>
      </c>
      <c r="K441" s="13">
        <f t="shared" si="50"/>
        <v>4</v>
      </c>
      <c r="L441" s="13">
        <f t="shared" si="50"/>
        <v>4</v>
      </c>
      <c r="M441" s="13">
        <f t="shared" si="50"/>
        <v>2</v>
      </c>
    </row>
    <row r="442">
      <c r="H442" s="61" t="s">
        <v>46</v>
      </c>
      <c r="L442" s="62" t="s">
        <v>47</v>
      </c>
      <c r="P442" s="63" t="s">
        <v>48</v>
      </c>
      <c r="T442" s="64" t="s">
        <v>49</v>
      </c>
      <c r="X442" s="65" t="s">
        <v>50</v>
      </c>
      <c r="AB442" s="65"/>
    </row>
    <row r="443">
      <c r="H443" s="2" t="s">
        <v>54</v>
      </c>
      <c r="J443" s="2" t="s">
        <v>55</v>
      </c>
      <c r="L443" s="2" t="s">
        <v>54</v>
      </c>
      <c r="N443" s="2" t="s">
        <v>55</v>
      </c>
      <c r="P443" s="2" t="s">
        <v>54</v>
      </c>
      <c r="R443" s="2" t="s">
        <v>55</v>
      </c>
      <c r="T443" s="2" t="s">
        <v>54</v>
      </c>
      <c r="V443" s="2" t="s">
        <v>55</v>
      </c>
      <c r="X443" s="2" t="s">
        <v>54</v>
      </c>
      <c r="Z443" s="2" t="s">
        <v>55</v>
      </c>
      <c r="AB443" s="2"/>
    </row>
    <row r="444">
      <c r="A444" s="4" t="s">
        <v>89</v>
      </c>
      <c r="H444" s="13">
        <f>'Nhập hàng New'!K1002</f>
        <v>68</v>
      </c>
      <c r="I444" s="72" t="s">
        <v>92</v>
      </c>
      <c r="K444" s="4" t="s">
        <v>186</v>
      </c>
      <c r="L444" s="13">
        <f>'Nhập hàng New'!K1033</f>
        <v>66</v>
      </c>
      <c r="M444" s="4" t="s">
        <v>92</v>
      </c>
      <c r="P444" s="13">
        <f>'Nhập hàng New'!K1064</f>
        <v>61</v>
      </c>
      <c r="Q444" s="59" t="s">
        <v>92</v>
      </c>
      <c r="R444" s="72"/>
      <c r="S444" s="75" t="s">
        <v>187</v>
      </c>
      <c r="T444" s="74">
        <f>'Nhập hàng New'!K1096</f>
        <v>72</v>
      </c>
      <c r="U444" s="72" t="s">
        <v>147</v>
      </c>
      <c r="W444" s="72" t="s">
        <v>147</v>
      </c>
      <c r="X444" s="72">
        <f>'Nhập hàng New'!K1128</f>
        <v>78</v>
      </c>
      <c r="Y444" s="72" t="s">
        <v>138</v>
      </c>
    </row>
    <row r="445">
      <c r="A445" s="4" t="s">
        <v>93</v>
      </c>
      <c r="I445" s="72"/>
      <c r="M445" s="4" t="s">
        <v>188</v>
      </c>
      <c r="Q445" s="80"/>
      <c r="R445" s="74"/>
      <c r="S445" s="75"/>
      <c r="T445" s="72"/>
      <c r="W445" s="74"/>
      <c r="X445" s="74"/>
      <c r="Y445" s="4" t="s">
        <v>172</v>
      </c>
    </row>
    <row r="446">
      <c r="A446" s="4" t="s">
        <v>79</v>
      </c>
      <c r="I446" s="72"/>
      <c r="R446" s="74"/>
      <c r="S446" s="75"/>
      <c r="T446" s="74"/>
      <c r="U446" s="72"/>
      <c r="W446" s="74"/>
      <c r="X446" s="74"/>
      <c r="Y446" s="72"/>
    </row>
    <row r="447">
      <c r="A447" s="4" t="s">
        <v>102</v>
      </c>
      <c r="H447" s="13">
        <f>'Nhập hàng New'!M1002</f>
        <v>105</v>
      </c>
      <c r="I447" s="72" t="s">
        <v>138</v>
      </c>
      <c r="K447" s="4" t="s">
        <v>124</v>
      </c>
      <c r="L447" s="13">
        <f>'Nhập hàng New'!M1033</f>
        <v>106</v>
      </c>
      <c r="M447" s="4" t="s">
        <v>189</v>
      </c>
      <c r="O447" s="4" t="s">
        <v>122</v>
      </c>
      <c r="P447" s="13">
        <f>'Nhập hàng New'!M1064</f>
        <v>101</v>
      </c>
      <c r="Q447" s="72" t="s">
        <v>124</v>
      </c>
      <c r="R447" s="72"/>
      <c r="S447" s="75" t="s">
        <v>190</v>
      </c>
      <c r="T447" s="72">
        <f>'Nhập hàng New'!M1096</f>
        <v>111</v>
      </c>
      <c r="U447" s="72" t="s">
        <v>191</v>
      </c>
      <c r="W447" s="72" t="s">
        <v>122</v>
      </c>
      <c r="X447" s="72">
        <f>'Nhập hàng New'!M1128</f>
        <v>121</v>
      </c>
      <c r="Y447" s="72" t="s">
        <v>192</v>
      </c>
    </row>
    <row r="448">
      <c r="A448" s="4" t="s">
        <v>105</v>
      </c>
      <c r="H448" s="13">
        <f>'Nhập hàng New'!L1002</f>
        <v>73</v>
      </c>
      <c r="I448" s="72" t="s">
        <v>167</v>
      </c>
      <c r="L448" s="13">
        <f>'Nhập hàng New'!L1033</f>
        <v>93</v>
      </c>
      <c r="M448" s="4" t="s">
        <v>193</v>
      </c>
      <c r="P448" s="13">
        <f>'Nhập hàng New'!L1064</f>
        <v>89</v>
      </c>
      <c r="Q448" s="4" t="s">
        <v>136</v>
      </c>
      <c r="R448" s="74"/>
      <c r="T448" s="72">
        <f>'Nhập hàng New'!L1096</f>
        <v>97</v>
      </c>
      <c r="U448" s="72" t="s">
        <v>194</v>
      </c>
      <c r="W448" s="72"/>
      <c r="X448" s="72">
        <f>'Nhập hàng New'!L1128</f>
        <v>103</v>
      </c>
      <c r="Y448" s="75" t="s">
        <v>195</v>
      </c>
    </row>
    <row r="449">
      <c r="A449" s="4" t="s">
        <v>128</v>
      </c>
      <c r="H449" s="13">
        <f>'Nhập hàng New'!N1002</f>
        <v>45</v>
      </c>
      <c r="I449" s="4" t="s">
        <v>147</v>
      </c>
      <c r="M449" s="4" t="s">
        <v>147</v>
      </c>
      <c r="Q449" s="4" t="s">
        <v>147</v>
      </c>
      <c r="R449" s="74"/>
      <c r="S449" s="75"/>
      <c r="T449" s="74"/>
      <c r="X449" s="74"/>
    </row>
    <row r="450">
      <c r="A450" s="4" t="s">
        <v>180</v>
      </c>
      <c r="H450" s="13">
        <f>'Nhập hàng New'!O1002</f>
        <v>66</v>
      </c>
      <c r="I450" s="72" t="s">
        <v>159</v>
      </c>
      <c r="K450" s="4" t="s">
        <v>165</v>
      </c>
      <c r="L450" s="13">
        <f>'Nhập hàng New'!O1033</f>
        <v>78</v>
      </c>
      <c r="M450" s="4" t="s">
        <v>196</v>
      </c>
      <c r="O450" s="4" t="s">
        <v>165</v>
      </c>
      <c r="P450" s="13">
        <f>'Nhập hàng New'!O1064</f>
        <v>81</v>
      </c>
      <c r="Q450" s="75" t="s">
        <v>165</v>
      </c>
      <c r="R450" s="74"/>
      <c r="S450" s="72" t="s">
        <v>196</v>
      </c>
      <c r="T450" s="72">
        <f>'Nhập hàng New'!O1096</f>
        <v>82</v>
      </c>
      <c r="U450" s="72" t="s">
        <v>159</v>
      </c>
      <c r="W450" s="4" t="s">
        <v>92</v>
      </c>
      <c r="X450" s="72">
        <f>'Nhập hàng New'!O1128</f>
        <v>91</v>
      </c>
      <c r="Y450" s="75" t="s">
        <v>197</v>
      </c>
      <c r="AA450" s="4" t="s">
        <v>91</v>
      </c>
    </row>
    <row r="451">
      <c r="A451" s="4" t="s">
        <v>155</v>
      </c>
      <c r="H451" s="13">
        <f>'Nhập hàng New'!P1002</f>
        <v>66</v>
      </c>
      <c r="I451" s="4" t="s">
        <v>104</v>
      </c>
      <c r="K451" s="4" t="s">
        <v>198</v>
      </c>
      <c r="L451" s="13">
        <f>'Nhập hàng New'!P1033</f>
        <v>60</v>
      </c>
      <c r="M451" s="4" t="s">
        <v>124</v>
      </c>
      <c r="P451" s="13">
        <f>'Nhập hàng New'!P1064</f>
        <v>58</v>
      </c>
      <c r="Q451" s="72" t="s">
        <v>91</v>
      </c>
      <c r="R451" s="72"/>
      <c r="S451" s="72"/>
      <c r="T451" s="72">
        <f>'Nhập hàng New'!P1096</f>
        <v>68</v>
      </c>
      <c r="U451" s="4" t="s">
        <v>92</v>
      </c>
      <c r="W451" s="72"/>
      <c r="X451" s="72">
        <f>'Nhập hàng New'!P1128</f>
        <v>69</v>
      </c>
      <c r="Y451" s="72" t="s">
        <v>147</v>
      </c>
    </row>
    <row r="452">
      <c r="A452" s="4" t="s">
        <v>169</v>
      </c>
      <c r="H452" s="13">
        <f>'Nhập hàng New'!Q1002</f>
        <v>86</v>
      </c>
      <c r="I452" s="4" t="s">
        <v>154</v>
      </c>
      <c r="K452" s="4" t="s">
        <v>199</v>
      </c>
      <c r="L452" s="4">
        <f>'Nhập hàng New'!Q1033</f>
        <v>101</v>
      </c>
      <c r="M452" s="4" t="s">
        <v>154</v>
      </c>
      <c r="O452" s="4" t="s">
        <v>147</v>
      </c>
      <c r="P452" s="13">
        <f>'Nhập hàng New'!Q1064</f>
        <v>68</v>
      </c>
      <c r="Q452" s="75" t="s">
        <v>154</v>
      </c>
      <c r="S452" s="4" t="s">
        <v>200</v>
      </c>
      <c r="T452" s="13">
        <f>'Nhập hàng New'!Q1096</f>
        <v>95</v>
      </c>
      <c r="U452" s="4" t="s">
        <v>201</v>
      </c>
      <c r="W452" s="72" t="s">
        <v>91</v>
      </c>
      <c r="X452" s="13">
        <f>'Nhập hàng New'!Q1128</f>
        <v>100</v>
      </c>
      <c r="Y452" s="4" t="s">
        <v>154</v>
      </c>
      <c r="AA452" s="59" t="s">
        <v>154</v>
      </c>
      <c r="AB452" s="59"/>
    </row>
    <row r="453">
      <c r="Q453" s="4">
        <v>100.0</v>
      </c>
    </row>
    <row r="454">
      <c r="I454" s="26" t="s">
        <v>46</v>
      </c>
      <c r="J454" s="26" t="s">
        <v>47</v>
      </c>
      <c r="K454" s="26" t="s">
        <v>48</v>
      </c>
      <c r="L454" s="26" t="s">
        <v>49</v>
      </c>
      <c r="M454" s="26" t="s">
        <v>50</v>
      </c>
      <c r="O454" s="26" t="s">
        <v>46</v>
      </c>
      <c r="P454" s="26" t="s">
        <v>47</v>
      </c>
      <c r="Q454" s="26" t="s">
        <v>48</v>
      </c>
      <c r="R454" s="26" t="s">
        <v>49</v>
      </c>
      <c r="S454" s="26" t="s">
        <v>50</v>
      </c>
      <c r="W454" s="13">
        <f>97-50</f>
        <v>47</v>
      </c>
      <c r="AA454" s="59"/>
      <c r="AB454" s="2" t="s">
        <v>160</v>
      </c>
    </row>
    <row r="455">
      <c r="I455" s="28">
        <v>46167.0</v>
      </c>
      <c r="J455" s="29">
        <f t="shared" ref="J455:M455" si="51">I455+1</f>
        <v>46168</v>
      </c>
      <c r="K455" s="28">
        <f t="shared" si="51"/>
        <v>46169</v>
      </c>
      <c r="L455" s="29">
        <f t="shared" si="51"/>
        <v>46170</v>
      </c>
      <c r="M455" s="28">
        <f t="shared" si="51"/>
        <v>46171</v>
      </c>
      <c r="O455" s="29">
        <f t="shared" ref="O455:S455" si="52">I455</f>
        <v>46167</v>
      </c>
      <c r="P455" s="29">
        <f t="shared" si="52"/>
        <v>46168</v>
      </c>
      <c r="Q455" s="29">
        <f t="shared" si="52"/>
        <v>46169</v>
      </c>
      <c r="R455" s="29">
        <f t="shared" si="52"/>
        <v>46170</v>
      </c>
      <c r="S455" s="29">
        <f t="shared" si="52"/>
        <v>46171</v>
      </c>
      <c r="Z455" s="2" t="s">
        <v>16</v>
      </c>
      <c r="AB455" s="4">
        <v>200000.0</v>
      </c>
    </row>
    <row r="456">
      <c r="A456" s="38" t="s">
        <v>53</v>
      </c>
      <c r="I456" s="31"/>
      <c r="J456" s="23"/>
      <c r="K456" s="31"/>
      <c r="L456" s="31"/>
      <c r="M456" s="32"/>
      <c r="O456" s="23"/>
      <c r="P456" s="23"/>
      <c r="Q456" s="31"/>
      <c r="R456" s="23"/>
      <c r="S456" s="32"/>
      <c r="T456" s="52">
        <f>O456+P456+Q456+R456+S456+O457+P457+Q457+R457+S457</f>
        <v>0</v>
      </c>
      <c r="Z456" s="13">
        <f t="shared" ref="Z456:Z458" si="53">sum(T456:Y456)*1000</f>
        <v>0</v>
      </c>
      <c r="AA456" s="13">
        <f>Z456+Z457+AB457+AA410</f>
        <v>0</v>
      </c>
    </row>
    <row r="457">
      <c r="A457" s="27"/>
      <c r="I457" s="33"/>
      <c r="J457" s="33"/>
      <c r="K457" s="33"/>
      <c r="L457" s="33"/>
      <c r="M457" s="24"/>
      <c r="O457" s="33"/>
      <c r="P457" s="33"/>
      <c r="Q457" s="33"/>
      <c r="R457" s="33"/>
      <c r="S457" s="24"/>
      <c r="T457" s="52"/>
      <c r="Z457" s="13">
        <f t="shared" si="53"/>
        <v>0</v>
      </c>
      <c r="AB457" s="13">
        <f>AB364+AB410+AB456</f>
        <v>0</v>
      </c>
    </row>
    <row r="458">
      <c r="A458" s="38" t="s">
        <v>108</v>
      </c>
      <c r="I458" s="31"/>
      <c r="J458" s="31"/>
      <c r="K458" s="32"/>
      <c r="L458" s="31"/>
      <c r="M458" s="31"/>
      <c r="O458" s="23"/>
      <c r="P458" s="31"/>
      <c r="Q458" s="31"/>
      <c r="R458" s="23"/>
      <c r="S458" s="31"/>
      <c r="T458" s="53">
        <f>O458+P458+Q458+R458+S458+O459+P459+Q459+R459+S459</f>
        <v>0</v>
      </c>
      <c r="U458" s="4">
        <v>50.0</v>
      </c>
      <c r="Z458" s="13">
        <f t="shared" si="53"/>
        <v>50000</v>
      </c>
      <c r="AA458" s="81">
        <f>Z458+Z459+AB459+AA412</f>
        <v>150000</v>
      </c>
    </row>
    <row r="459">
      <c r="A459" s="27"/>
      <c r="I459" s="33"/>
      <c r="J459" s="33"/>
      <c r="K459" s="33"/>
      <c r="L459" s="33"/>
      <c r="M459" s="33"/>
      <c r="O459" s="24"/>
      <c r="P459" s="33"/>
      <c r="Q459" s="33"/>
      <c r="R459" s="33"/>
      <c r="S459" s="24"/>
      <c r="T459" s="53"/>
      <c r="Z459" s="13">
        <f>sum(T459:Y459)</f>
        <v>0</v>
      </c>
      <c r="AB459" s="13">
        <f>AB366+AB412+AB458</f>
        <v>50000</v>
      </c>
    </row>
    <row r="460">
      <c r="A460" s="38" t="s">
        <v>57</v>
      </c>
      <c r="I460" s="23"/>
      <c r="J460" s="23"/>
      <c r="K460" s="31"/>
      <c r="L460" s="31"/>
      <c r="M460" s="31"/>
      <c r="O460" s="23"/>
      <c r="P460" s="23"/>
      <c r="Q460" s="31"/>
      <c r="R460" s="23"/>
      <c r="S460" s="31"/>
      <c r="T460" s="54">
        <f>O460+P460+Q460+R460+S460+O461+P461+Q461+R461+S461</f>
        <v>0</v>
      </c>
      <c r="Z460" s="13">
        <f>sum(T460:Y460)*1000</f>
        <v>0</v>
      </c>
      <c r="AA460" s="81">
        <f>Z460+Z461+AB461+AA414</f>
        <v>0</v>
      </c>
    </row>
    <row r="461">
      <c r="A461" s="27"/>
      <c r="I461" s="33"/>
      <c r="J461" s="33"/>
      <c r="K461" s="33"/>
      <c r="L461" s="33"/>
      <c r="M461" s="24"/>
      <c r="O461" s="33"/>
      <c r="P461" s="33"/>
      <c r="Q461" s="33"/>
      <c r="R461" s="33"/>
      <c r="S461" s="24"/>
      <c r="T461" s="54"/>
      <c r="Z461" s="13">
        <f>sum(T461:Y461)</f>
        <v>0</v>
      </c>
      <c r="AB461" s="13">
        <f>AB368+AB414+AB460</f>
        <v>0</v>
      </c>
    </row>
    <row r="462">
      <c r="A462" s="38" t="s">
        <v>109</v>
      </c>
      <c r="I462" s="31"/>
      <c r="J462" s="31"/>
      <c r="K462" s="31"/>
      <c r="L462" s="31"/>
      <c r="M462" s="31"/>
      <c r="O462" s="23"/>
      <c r="P462" s="31"/>
      <c r="Q462" s="31"/>
      <c r="R462" s="31"/>
      <c r="S462" s="31"/>
      <c r="T462" s="13">
        <f>O462+P462+Q462+R462+S462+O463+P463+Q463+R463+S463</f>
        <v>0</v>
      </c>
      <c r="Z462" s="13">
        <f>sum(T462:Y462)*1000</f>
        <v>0</v>
      </c>
      <c r="AA462" s="81">
        <f>Z462+Z463+AB463+AA416</f>
        <v>0</v>
      </c>
    </row>
    <row r="463">
      <c r="A463" s="27"/>
      <c r="I463" s="33"/>
      <c r="J463" s="33"/>
      <c r="K463" s="33"/>
      <c r="L463" s="33"/>
      <c r="M463" s="24"/>
      <c r="O463" s="24"/>
      <c r="P463" s="33"/>
      <c r="Q463" s="33"/>
      <c r="R463" s="33"/>
      <c r="S463" s="24"/>
      <c r="Z463" s="13">
        <f>sum(T463:Y463)</f>
        <v>0</v>
      </c>
      <c r="AB463" s="13">
        <f>AB370+AB416+AB462</f>
        <v>0</v>
      </c>
    </row>
    <row r="464">
      <c r="A464" s="38" t="s">
        <v>111</v>
      </c>
      <c r="I464" s="46">
        <v>1.0</v>
      </c>
      <c r="J464" s="46">
        <v>1.0</v>
      </c>
      <c r="K464" s="31"/>
      <c r="L464" s="31"/>
      <c r="M464" s="31"/>
      <c r="O464" s="31">
        <v>80.0</v>
      </c>
      <c r="P464" s="31">
        <v>80.0</v>
      </c>
      <c r="Q464" s="31"/>
      <c r="R464" s="31"/>
      <c r="S464" s="31"/>
      <c r="T464" s="56">
        <f>O464+P464+Q464+R464+S464+O465+P465+Q465+R465+S465</f>
        <v>160</v>
      </c>
      <c r="U464" s="4">
        <v>50.0</v>
      </c>
      <c r="V464" s="4">
        <v>8.0</v>
      </c>
      <c r="Z464" s="13">
        <f>sum(T464:Y464)*1000</f>
        <v>218000</v>
      </c>
      <c r="AA464" s="81">
        <f>Z464+Z465+AB465+AA418</f>
        <v>1001500</v>
      </c>
    </row>
    <row r="465">
      <c r="A465" s="27"/>
      <c r="I465" s="33"/>
      <c r="J465" s="33"/>
      <c r="K465" s="33"/>
      <c r="L465" s="33"/>
      <c r="M465" s="33"/>
      <c r="O465" s="33"/>
      <c r="P465" s="33"/>
      <c r="Q465" s="33"/>
      <c r="R465" s="33"/>
      <c r="S465" s="24"/>
      <c r="T465" s="56"/>
      <c r="U465" s="13">
        <f>(H494-$W$408)*500</f>
        <v>18000</v>
      </c>
      <c r="V465" s="13">
        <f>(L494-W454)*500</f>
        <v>14500</v>
      </c>
      <c r="Z465" s="13">
        <f>sum(T465:Y465)</f>
        <v>32500</v>
      </c>
      <c r="AB465" s="13">
        <f>AB372+AB418+AB464</f>
        <v>0</v>
      </c>
    </row>
    <row r="466">
      <c r="A466" s="38"/>
      <c r="I466" s="31"/>
      <c r="J466" s="23"/>
      <c r="K466" s="31"/>
      <c r="L466" s="31"/>
      <c r="M466" s="31"/>
      <c r="O466" s="31"/>
      <c r="P466" s="23"/>
      <c r="Q466" s="31"/>
      <c r="R466" s="31"/>
      <c r="S466" s="31"/>
      <c r="T466" s="53">
        <f>O466+P466+Q466+R466+S466+O467+P467+Q467+R467+S467+N467</f>
        <v>0</v>
      </c>
      <c r="Z466" s="13">
        <f>sum(T466:Y466)*1000</f>
        <v>0</v>
      </c>
      <c r="AA466" s="81">
        <f>Z466+Z467+AB467+AA420</f>
        <v>0</v>
      </c>
    </row>
    <row r="467">
      <c r="A467" s="27"/>
      <c r="I467" s="33"/>
      <c r="J467" s="33"/>
      <c r="K467" s="33"/>
      <c r="L467" s="33"/>
      <c r="M467" s="33"/>
      <c r="O467" s="33"/>
      <c r="P467" s="33"/>
      <c r="Q467" s="33"/>
      <c r="R467" s="33"/>
      <c r="S467" s="33"/>
      <c r="T467" s="53"/>
      <c r="Z467" s="13">
        <f>sum(T467:Y467)</f>
        <v>0</v>
      </c>
      <c r="AB467" s="13">
        <f>AB374+AB420+AB466</f>
        <v>0</v>
      </c>
    </row>
    <row r="468">
      <c r="A468" s="38" t="s">
        <v>141</v>
      </c>
      <c r="I468" s="46">
        <v>1.0</v>
      </c>
      <c r="J468" s="46">
        <v>1.0</v>
      </c>
      <c r="K468" s="31"/>
      <c r="L468" s="31"/>
      <c r="M468" s="31"/>
      <c r="O468" s="31">
        <v>80.0</v>
      </c>
      <c r="P468" s="31">
        <v>80.0</v>
      </c>
      <c r="Q468" s="31"/>
      <c r="R468" s="31"/>
      <c r="S468" s="32"/>
      <c r="T468" s="13">
        <f>O468+P468+Q468+R468+S468+O469+P469+Q469+R469+S469</f>
        <v>160</v>
      </c>
      <c r="V468" s="4">
        <v>50.0</v>
      </c>
      <c r="Z468" s="13">
        <f>sum(T468:Y468)*1000</f>
        <v>210000</v>
      </c>
      <c r="AA468" s="81">
        <f>Z468+Z469+AB469+AA422</f>
        <v>1207000</v>
      </c>
      <c r="AB468" s="4">
        <v>50000.0</v>
      </c>
    </row>
    <row r="469">
      <c r="A469" s="27"/>
      <c r="I469" s="33"/>
      <c r="J469" s="33"/>
      <c r="K469" s="33"/>
      <c r="L469" s="33"/>
      <c r="M469" s="33"/>
      <c r="O469" s="33"/>
      <c r="P469" s="33"/>
      <c r="Q469" s="33"/>
      <c r="R469" s="33"/>
      <c r="S469" s="24"/>
      <c r="AB469" s="13">
        <f>AB376+AB422+AB468</f>
        <v>100000</v>
      </c>
    </row>
    <row r="470">
      <c r="A470" s="38" t="s">
        <v>142</v>
      </c>
      <c r="I470" s="46">
        <v>1.0</v>
      </c>
      <c r="J470" s="46">
        <v>1.0</v>
      </c>
      <c r="K470" s="46">
        <v>1.0</v>
      </c>
      <c r="L470" s="31"/>
      <c r="M470" s="31"/>
      <c r="O470" s="31">
        <v>80.0</v>
      </c>
      <c r="P470" s="31">
        <v>80.0</v>
      </c>
      <c r="Q470" s="31">
        <v>80.0</v>
      </c>
      <c r="R470" s="23"/>
      <c r="S470" s="31"/>
      <c r="T470" s="53">
        <f>O470+P470+Q470+R470+S470+O471+P471+Q471+R471+S471+N471</f>
        <v>240</v>
      </c>
      <c r="V470" s="4">
        <v>50.0</v>
      </c>
      <c r="Z470" s="13">
        <f>sum(T470:Y470)*1000</f>
        <v>290000</v>
      </c>
      <c r="AA470" s="81">
        <f>Z470+Z471+AB471+AA424</f>
        <v>1353000</v>
      </c>
      <c r="AB470" s="4">
        <v>50000.0</v>
      </c>
    </row>
    <row r="471">
      <c r="A471" s="27"/>
      <c r="I471" s="33"/>
      <c r="J471" s="33"/>
      <c r="K471" s="33"/>
      <c r="L471" s="33"/>
      <c r="M471" s="33"/>
      <c r="O471" s="33"/>
      <c r="P471" s="33"/>
      <c r="Q471" s="33"/>
      <c r="R471" s="33"/>
      <c r="S471" s="24"/>
      <c r="T471" s="53"/>
      <c r="U471" s="13">
        <f>(H498-$V$225)*500</f>
        <v>7000</v>
      </c>
      <c r="V471" s="13">
        <f>(L498-$V$225)*500</f>
        <v>22500</v>
      </c>
      <c r="W471" s="13">
        <f>(P498-$V$225)*500</f>
        <v>20500</v>
      </c>
      <c r="Z471" s="13">
        <f>sum(T471:Y471)</f>
        <v>50000</v>
      </c>
      <c r="AB471" s="13">
        <f>AB378+AB424+AB470</f>
        <v>100000</v>
      </c>
    </row>
    <row r="472">
      <c r="A472" s="38" t="s">
        <v>130</v>
      </c>
      <c r="I472" s="46">
        <v>1.0</v>
      </c>
      <c r="J472" s="46">
        <v>1.0</v>
      </c>
      <c r="K472" s="46">
        <v>1.0</v>
      </c>
      <c r="L472" s="23"/>
      <c r="M472" s="31"/>
      <c r="O472" s="31">
        <v>80.0</v>
      </c>
      <c r="P472" s="31">
        <v>80.0</v>
      </c>
      <c r="Q472" s="31">
        <v>80.0</v>
      </c>
      <c r="R472" s="23"/>
      <c r="S472" s="32"/>
      <c r="T472" s="13">
        <f>O472+P472+Q472+R472+S472+O473+P473+Q473+R473+S473</f>
        <v>240</v>
      </c>
      <c r="V472" s="4">
        <v>10.0</v>
      </c>
      <c r="Z472" s="13">
        <f>sum(T472:Y472)*1000</f>
        <v>250000</v>
      </c>
      <c r="AA472" s="81">
        <f>Z472+Z473+AB473+AA426</f>
        <v>679500</v>
      </c>
    </row>
    <row r="473">
      <c r="A473" s="27"/>
      <c r="I473" s="33"/>
      <c r="J473" s="33"/>
      <c r="K473" s="33"/>
      <c r="L473" s="33"/>
      <c r="M473" s="33"/>
      <c r="O473" s="24"/>
      <c r="P473" s="33"/>
      <c r="Q473" s="33"/>
      <c r="R473" s="33"/>
      <c r="S473" s="24"/>
      <c r="U473" s="13">
        <f>(H497-$V$225)*500</f>
        <v>7500</v>
      </c>
      <c r="V473" s="13">
        <f>(L497-50)*500</f>
        <v>9500</v>
      </c>
      <c r="W473" s="13">
        <f>(P494-$V$225)*500</f>
        <v>8500</v>
      </c>
      <c r="Z473" s="13">
        <f>sum(T473:Y473)</f>
        <v>25500</v>
      </c>
      <c r="AB473" s="13">
        <f>AB380+AB426+AB472</f>
        <v>0</v>
      </c>
    </row>
    <row r="474">
      <c r="A474" s="50" t="s">
        <v>73</v>
      </c>
      <c r="I474" s="31"/>
      <c r="J474" s="31"/>
      <c r="K474" s="31"/>
      <c r="L474" s="31"/>
      <c r="M474" s="31"/>
      <c r="O474" s="31"/>
      <c r="P474" s="31"/>
      <c r="Q474" s="31"/>
      <c r="R474" s="23"/>
      <c r="S474" s="31"/>
      <c r="T474" s="53">
        <f>O474+P474+Q474+R474+S474+O475+P475+Q475+R475+S475+N475</f>
        <v>0</v>
      </c>
      <c r="V474" s="59"/>
      <c r="Z474" s="13">
        <f>sum(T474:Y474)*1000</f>
        <v>0</v>
      </c>
      <c r="AA474" s="81">
        <f>Z474+Z475+AB475+AA428</f>
        <v>290500</v>
      </c>
    </row>
    <row r="475">
      <c r="A475" s="27"/>
      <c r="I475" s="33"/>
      <c r="J475" s="33"/>
      <c r="K475" s="33"/>
      <c r="L475" s="33"/>
      <c r="M475" s="24"/>
      <c r="O475" s="33"/>
      <c r="P475" s="33"/>
      <c r="Q475" s="33"/>
      <c r="R475" s="33"/>
      <c r="S475" s="24"/>
      <c r="T475" s="53"/>
      <c r="V475" s="59"/>
      <c r="W475" s="59"/>
      <c r="Z475" s="13">
        <f>sum(T475:Y475)</f>
        <v>0</v>
      </c>
      <c r="AB475" s="13">
        <f>AB382+AB428+AB474</f>
        <v>0</v>
      </c>
    </row>
    <row r="476">
      <c r="A476" s="51" t="s">
        <v>82</v>
      </c>
      <c r="I476" s="31">
        <v>1.0</v>
      </c>
      <c r="J476" s="31">
        <v>1.0</v>
      </c>
      <c r="K476" s="32">
        <v>1.0</v>
      </c>
      <c r="L476" s="31"/>
      <c r="M476" s="31"/>
      <c r="O476" s="31">
        <v>70.0</v>
      </c>
      <c r="P476" s="31">
        <v>70.0</v>
      </c>
      <c r="Q476" s="31">
        <v>70.0</v>
      </c>
      <c r="R476" s="31"/>
      <c r="S476" s="31"/>
      <c r="T476" s="13">
        <f>O476+P476+Q476+R476+S476+O477+P477+Q477+R477+S477</f>
        <v>210</v>
      </c>
      <c r="V476" s="4">
        <v>9.0</v>
      </c>
      <c r="W476" s="59"/>
      <c r="Z476" s="13">
        <f>sum(T476:Y476)*1000</f>
        <v>219000</v>
      </c>
      <c r="AA476" s="81">
        <f>Z476+Z477+AB477+AA430</f>
        <v>942500</v>
      </c>
      <c r="AB476" s="4">
        <v>50000.0</v>
      </c>
    </row>
    <row r="477">
      <c r="A477" s="27"/>
      <c r="I477" s="33"/>
      <c r="J477" s="33"/>
      <c r="K477" s="33"/>
      <c r="L477" s="33"/>
      <c r="M477" s="33"/>
      <c r="O477" s="33"/>
      <c r="P477" s="33"/>
      <c r="Q477" s="33"/>
      <c r="R477" s="33"/>
      <c r="S477" s="33"/>
      <c r="U477" s="13">
        <f>(H490-$V$225)*500</f>
        <v>10000</v>
      </c>
      <c r="V477" s="13">
        <f>(L490-$V$225)*500</f>
        <v>1000</v>
      </c>
      <c r="W477" s="13">
        <f>(P490-$V$225)*500</f>
        <v>7000</v>
      </c>
      <c r="Z477" s="13">
        <f>sum(T477:Y477)</f>
        <v>18000</v>
      </c>
      <c r="AB477" s="13">
        <f>AB384+AB430+AB476</f>
        <v>100000</v>
      </c>
    </row>
    <row r="478">
      <c r="A478" s="51" t="s">
        <v>143</v>
      </c>
      <c r="I478" s="31"/>
      <c r="J478" s="46">
        <v>1.0</v>
      </c>
      <c r="K478" s="46">
        <v>1.0</v>
      </c>
      <c r="L478" s="31"/>
      <c r="M478" s="31"/>
      <c r="O478" s="31"/>
      <c r="P478" s="31">
        <v>80.0</v>
      </c>
      <c r="Q478" s="31">
        <v>80.0</v>
      </c>
      <c r="R478" s="31"/>
      <c r="S478" s="31"/>
      <c r="T478" s="53">
        <f>O478+P478+Q478+R478+S478+O479+P479+Q479+R479+S479+N479</f>
        <v>160</v>
      </c>
      <c r="Z478" s="13">
        <f>sum(T478:Y478)*1000</f>
        <v>160000</v>
      </c>
      <c r="AA478" s="81">
        <f>Z478+Z479+AB479+AA432</f>
        <v>526000</v>
      </c>
    </row>
    <row r="479">
      <c r="A479" s="27"/>
      <c r="I479" s="33"/>
      <c r="J479" s="33"/>
      <c r="K479" s="33"/>
      <c r="L479" s="33"/>
      <c r="M479" s="33"/>
      <c r="O479" s="33"/>
      <c r="P479" s="33"/>
      <c r="Q479" s="33"/>
      <c r="R479" s="33"/>
      <c r="S479" s="33"/>
      <c r="T479" s="53"/>
      <c r="V479" s="13">
        <f>(L496-50)*500</f>
        <v>9500</v>
      </c>
      <c r="W479" s="13">
        <f>(P496-50)*500</f>
        <v>10000</v>
      </c>
      <c r="Z479" s="13">
        <f>sum(T479:Y479)</f>
        <v>19500</v>
      </c>
      <c r="AB479" s="13">
        <f>AB386+AB432+AB478</f>
        <v>0</v>
      </c>
    </row>
    <row r="480">
      <c r="A480" s="51" t="s">
        <v>86</v>
      </c>
      <c r="I480" s="46">
        <v>1.0</v>
      </c>
      <c r="J480" s="46">
        <v>1.0</v>
      </c>
      <c r="K480" s="46">
        <v>1.0</v>
      </c>
      <c r="L480" s="31"/>
      <c r="M480" s="31"/>
      <c r="O480" s="31">
        <v>80.0</v>
      </c>
      <c r="P480" s="31">
        <v>80.0</v>
      </c>
      <c r="Q480" s="31">
        <v>80.0</v>
      </c>
      <c r="R480" s="31"/>
      <c r="S480" s="31"/>
      <c r="T480" s="13">
        <f>O480+P480+Q480+R480+S480+O481+P481+Q481+R481+S481</f>
        <v>240</v>
      </c>
      <c r="Z480" s="13">
        <f>sum(T480:Y480)*1000</f>
        <v>240000</v>
      </c>
      <c r="AA480" s="81">
        <f>Z480+Z481+AB481+AA434</f>
        <v>900500</v>
      </c>
    </row>
    <row r="481">
      <c r="A481" s="27"/>
      <c r="I481" s="33"/>
      <c r="J481" s="33"/>
      <c r="K481" s="33"/>
      <c r="L481" s="33"/>
      <c r="M481" s="33"/>
      <c r="O481" s="33"/>
      <c r="P481" s="33"/>
      <c r="Q481" s="33"/>
      <c r="R481" s="33"/>
      <c r="S481" s="33"/>
      <c r="U481" s="13">
        <f>(H493-$V$225)*500</f>
        <v>27500</v>
      </c>
      <c r="V481" s="13">
        <f>(L493-50)*500</f>
        <v>30500</v>
      </c>
      <c r="W481" s="13">
        <f>(P493-$V$225)*500</f>
        <v>11500</v>
      </c>
      <c r="Z481" s="13">
        <f>sum(T481:Y481)</f>
        <v>69500</v>
      </c>
      <c r="AB481" s="13">
        <f>AB388+AB434+AB480</f>
        <v>0</v>
      </c>
    </row>
    <row r="482">
      <c r="A482" s="51" t="s">
        <v>144</v>
      </c>
      <c r="I482" s="46">
        <v>1.0</v>
      </c>
      <c r="J482" s="31"/>
      <c r="K482" s="32"/>
      <c r="L482" s="31"/>
      <c r="M482" s="31"/>
      <c r="O482" s="31">
        <v>80.0</v>
      </c>
      <c r="P482" s="31"/>
      <c r="Q482" s="32"/>
      <c r="R482" s="31"/>
      <c r="S482" s="31"/>
      <c r="T482" s="53">
        <f>O482+P482+Q482+R482+S482+O483+P483+Q483+R483+S483+N483</f>
        <v>80</v>
      </c>
      <c r="Z482" s="13">
        <f>sum(T482:Y482)*1000</f>
        <v>80000</v>
      </c>
      <c r="AA482" s="81">
        <f>Z482+Z483+AB483+AA436</f>
        <v>469000</v>
      </c>
    </row>
    <row r="483">
      <c r="A483" s="27"/>
      <c r="I483" s="33"/>
      <c r="J483" s="33"/>
      <c r="K483" s="33"/>
      <c r="L483" s="33"/>
      <c r="M483" s="33"/>
      <c r="O483" s="33"/>
      <c r="P483" s="33"/>
      <c r="Q483" s="33"/>
      <c r="R483" s="33"/>
      <c r="S483" s="33"/>
      <c r="T483" s="53"/>
      <c r="U483" s="13">
        <f>(H496-$V$225)*500</f>
        <v>15000</v>
      </c>
      <c r="Z483" s="13">
        <f>sum(T483:Y483)</f>
        <v>15000</v>
      </c>
      <c r="AB483" s="13">
        <f>AB390+AB436+AB482</f>
        <v>0</v>
      </c>
    </row>
    <row r="484">
      <c r="A484" s="51"/>
      <c r="I484" s="31"/>
      <c r="J484" s="31"/>
      <c r="K484" s="32"/>
      <c r="L484" s="31"/>
      <c r="M484" s="32"/>
      <c r="O484" s="31"/>
      <c r="P484" s="31"/>
      <c r="Q484" s="32"/>
      <c r="R484" s="31"/>
      <c r="S484" s="31"/>
      <c r="T484" s="60">
        <f>O484+P484+Q484+R484+S484+O485+P485+Q485+R485+S485+N485</f>
        <v>0</v>
      </c>
      <c r="Z484" s="13">
        <f>sum(T484:Y484)*1000</f>
        <v>0</v>
      </c>
      <c r="AA484" s="81">
        <f>Z484+Z485</f>
        <v>0</v>
      </c>
    </row>
    <row r="485">
      <c r="A485" s="27"/>
      <c r="I485" s="33"/>
      <c r="J485" s="33"/>
      <c r="K485" s="33"/>
      <c r="L485" s="33"/>
      <c r="M485" s="33"/>
      <c r="O485" s="33"/>
      <c r="P485" s="33"/>
      <c r="Q485" s="33"/>
      <c r="R485" s="33"/>
      <c r="S485" s="33"/>
      <c r="T485" s="60"/>
      <c r="Z485" s="13">
        <f>sum(T485:Y485)</f>
        <v>0</v>
      </c>
    </row>
    <row r="486">
      <c r="H486" s="4" t="s">
        <v>113</v>
      </c>
      <c r="I486" s="13">
        <f t="shared" ref="I486:M486" si="54">I456+I458+I460+I462+I464+I466+I468+I470+I472+I474+I476+I478+I480+I482+I484</f>
        <v>7</v>
      </c>
      <c r="J486" s="13">
        <f t="shared" si="54"/>
        <v>7</v>
      </c>
      <c r="K486" s="13">
        <f t="shared" si="54"/>
        <v>5</v>
      </c>
      <c r="L486" s="13">
        <f t="shared" si="54"/>
        <v>0</v>
      </c>
      <c r="M486" s="13">
        <f t="shared" si="54"/>
        <v>0</v>
      </c>
    </row>
    <row r="487">
      <c r="H487" s="4" t="s">
        <v>114</v>
      </c>
      <c r="I487" s="13">
        <f t="shared" ref="I487:M487" si="55">I457+I459+I461+I463+I465+I467+I469+I471+I473+I475+I477+I479+I481+I483+I485</f>
        <v>0</v>
      </c>
      <c r="J487" s="13">
        <f t="shared" si="55"/>
        <v>0</v>
      </c>
      <c r="K487" s="13">
        <f t="shared" si="55"/>
        <v>0</v>
      </c>
      <c r="L487" s="13">
        <f t="shared" si="55"/>
        <v>0</v>
      </c>
      <c r="M487" s="13">
        <f t="shared" si="55"/>
        <v>0</v>
      </c>
    </row>
    <row r="488">
      <c r="H488" s="61" t="s">
        <v>46</v>
      </c>
      <c r="L488" s="62" t="s">
        <v>47</v>
      </c>
      <c r="P488" s="63" t="s">
        <v>48</v>
      </c>
      <c r="T488" s="64" t="s">
        <v>49</v>
      </c>
      <c r="X488" s="65" t="s">
        <v>50</v>
      </c>
      <c r="AB488" s="65"/>
    </row>
    <row r="489">
      <c r="H489" s="2" t="s">
        <v>54</v>
      </c>
      <c r="J489" s="2" t="s">
        <v>55</v>
      </c>
      <c r="L489" s="2" t="s">
        <v>54</v>
      </c>
      <c r="N489" s="2" t="s">
        <v>55</v>
      </c>
      <c r="P489" s="2" t="s">
        <v>54</v>
      </c>
      <c r="R489" s="2" t="s">
        <v>55</v>
      </c>
      <c r="T489" s="2" t="s">
        <v>54</v>
      </c>
      <c r="V489" s="2" t="s">
        <v>55</v>
      </c>
      <c r="X489" s="2" t="s">
        <v>54</v>
      </c>
      <c r="Z489" s="2" t="s">
        <v>55</v>
      </c>
      <c r="AB489" s="2"/>
    </row>
    <row r="490">
      <c r="A490" s="4" t="s">
        <v>89</v>
      </c>
      <c r="H490" s="13">
        <f>'Nhập hàng New'!K1161</f>
        <v>70</v>
      </c>
      <c r="I490" s="72" t="s">
        <v>92</v>
      </c>
      <c r="L490" s="4">
        <f>'Nhập hàng New'!K1191</f>
        <v>52</v>
      </c>
      <c r="M490" s="4" t="s">
        <v>202</v>
      </c>
      <c r="P490" s="4">
        <f>'Nhập hàng New'!K1207</f>
        <v>64</v>
      </c>
      <c r="Q490" s="59" t="s">
        <v>92</v>
      </c>
      <c r="R490" s="72"/>
      <c r="S490" s="75"/>
      <c r="T490" s="74"/>
      <c r="U490" s="72"/>
      <c r="W490" s="72"/>
      <c r="X490" s="72"/>
      <c r="Y490" s="72"/>
    </row>
    <row r="491">
      <c r="A491" s="4" t="s">
        <v>93</v>
      </c>
      <c r="I491" s="72" t="s">
        <v>104</v>
      </c>
      <c r="Q491" s="80"/>
      <c r="R491" s="74"/>
      <c r="S491" s="75"/>
      <c r="T491" s="72"/>
      <c r="W491" s="74"/>
      <c r="X491" s="74"/>
    </row>
    <row r="492">
      <c r="A492" s="4" t="s">
        <v>79</v>
      </c>
      <c r="I492" s="72"/>
      <c r="R492" s="74"/>
      <c r="S492" s="75"/>
      <c r="T492" s="74"/>
      <c r="U492" s="72"/>
      <c r="W492" s="74"/>
      <c r="X492" s="74"/>
      <c r="Y492" s="72"/>
    </row>
    <row r="493">
      <c r="A493" s="4" t="s">
        <v>102</v>
      </c>
      <c r="H493" s="13">
        <f>'Nhập hàng New'!M1161</f>
        <v>105</v>
      </c>
      <c r="I493" s="72" t="s">
        <v>91</v>
      </c>
      <c r="L493" s="13">
        <f>'Nhập hàng New'!M1191</f>
        <v>111</v>
      </c>
      <c r="M493" s="4" t="s">
        <v>203</v>
      </c>
      <c r="P493" s="13">
        <f>'Nhập hàng New'!M1207</f>
        <v>73</v>
      </c>
      <c r="Q493" s="72" t="s">
        <v>91</v>
      </c>
      <c r="R493" s="72"/>
      <c r="S493" s="75"/>
      <c r="T493" s="72"/>
      <c r="U493" s="72"/>
      <c r="W493" s="72"/>
      <c r="X493" s="72"/>
      <c r="Y493" s="72"/>
    </row>
    <row r="494">
      <c r="A494" s="4" t="s">
        <v>105</v>
      </c>
      <c r="H494" s="13">
        <f>'Nhập hàng New'!L1161</f>
        <v>86</v>
      </c>
      <c r="I494" s="72" t="s">
        <v>167</v>
      </c>
      <c r="L494" s="13">
        <f>'Nhập hàng New'!L1191</f>
        <v>76</v>
      </c>
      <c r="M494" s="4" t="s">
        <v>204</v>
      </c>
      <c r="P494" s="13">
        <f>'Nhập hàng New'!L1207</f>
        <v>67</v>
      </c>
      <c r="Q494" s="4" t="s">
        <v>136</v>
      </c>
      <c r="R494" s="74"/>
      <c r="T494" s="72"/>
      <c r="U494" s="72"/>
      <c r="W494" s="72"/>
      <c r="X494" s="72"/>
      <c r="Y494" s="75"/>
    </row>
    <row r="495">
      <c r="A495" s="4" t="s">
        <v>128</v>
      </c>
      <c r="I495" s="4" t="s">
        <v>147</v>
      </c>
      <c r="M495" s="4" t="s">
        <v>147</v>
      </c>
      <c r="R495" s="74"/>
      <c r="S495" s="75"/>
      <c r="T495" s="74"/>
      <c r="X495" s="74"/>
    </row>
    <row r="496">
      <c r="A496" s="4" t="s">
        <v>180</v>
      </c>
      <c r="H496" s="13">
        <f>'Nhập hàng New'!O1161</f>
        <v>80</v>
      </c>
      <c r="I496" s="72" t="s">
        <v>159</v>
      </c>
      <c r="L496" s="13">
        <f>'Nhập hàng New'!O1191</f>
        <v>69</v>
      </c>
      <c r="M496" s="4" t="s">
        <v>165</v>
      </c>
      <c r="P496" s="13">
        <f>'Nhập hàng New'!O1207</f>
        <v>70</v>
      </c>
      <c r="Q496" s="75" t="s">
        <v>165</v>
      </c>
      <c r="R496" s="74"/>
      <c r="S496" s="72"/>
      <c r="T496" s="72"/>
      <c r="U496" s="72"/>
      <c r="X496" s="72"/>
      <c r="Y496" s="75"/>
    </row>
    <row r="497">
      <c r="A497" s="4" t="s">
        <v>155</v>
      </c>
      <c r="H497" s="13">
        <f>'Nhập hàng New'!P1161</f>
        <v>65</v>
      </c>
      <c r="I497" s="4" t="s">
        <v>138</v>
      </c>
      <c r="L497" s="13">
        <f>'Nhập hàng New'!P1191</f>
        <v>69</v>
      </c>
      <c r="M497" s="4" t="s">
        <v>138</v>
      </c>
      <c r="Q497" s="4" t="s">
        <v>104</v>
      </c>
      <c r="R497" s="72"/>
      <c r="S497" s="72"/>
      <c r="T497" s="72"/>
      <c r="W497" s="72"/>
      <c r="X497" s="72"/>
      <c r="Y497" s="72"/>
    </row>
    <row r="498">
      <c r="A498" s="4" t="s">
        <v>169</v>
      </c>
      <c r="H498" s="13">
        <f>'Nhập hàng New'!Q1161</f>
        <v>64</v>
      </c>
      <c r="I498" s="4" t="s">
        <v>154</v>
      </c>
      <c r="L498" s="4">
        <f>'Nhập hàng New'!Q1191</f>
        <v>95</v>
      </c>
      <c r="M498" s="4" t="s">
        <v>154</v>
      </c>
      <c r="P498" s="13">
        <f>'Nhập hàng New'!Q1207</f>
        <v>91</v>
      </c>
      <c r="Q498" s="75" t="s">
        <v>154</v>
      </c>
      <c r="W498" s="72"/>
      <c r="AA498" s="59"/>
      <c r="AB498" s="59"/>
    </row>
  </sheetData>
  <mergeCells count="438">
    <mergeCell ref="A318:A319"/>
    <mergeCell ref="A320:A321"/>
    <mergeCell ref="A322:A323"/>
    <mergeCell ref="A324:A325"/>
    <mergeCell ref="A326:A327"/>
    <mergeCell ref="A328:A329"/>
    <mergeCell ref="A330:A331"/>
    <mergeCell ref="A332:A333"/>
    <mergeCell ref="A334:A335"/>
    <mergeCell ref="A336:A337"/>
    <mergeCell ref="A338:A339"/>
    <mergeCell ref="A340:A341"/>
    <mergeCell ref="A342:A343"/>
    <mergeCell ref="A344:A345"/>
    <mergeCell ref="A255:A256"/>
    <mergeCell ref="H259:K259"/>
    <mergeCell ref="L259:O259"/>
    <mergeCell ref="P259:S259"/>
    <mergeCell ref="H260:I260"/>
    <mergeCell ref="J260:K260"/>
    <mergeCell ref="L260:M260"/>
    <mergeCell ref="R260:S260"/>
    <mergeCell ref="N260:O260"/>
    <mergeCell ref="P260:Q260"/>
    <mergeCell ref="A273:A274"/>
    <mergeCell ref="A275:A276"/>
    <mergeCell ref="A277:A278"/>
    <mergeCell ref="A279:A280"/>
    <mergeCell ref="A281:A282"/>
    <mergeCell ref="J306:K306"/>
    <mergeCell ref="L306:M306"/>
    <mergeCell ref="N306:O306"/>
    <mergeCell ref="P306:Q306"/>
    <mergeCell ref="A297:A298"/>
    <mergeCell ref="A299:A300"/>
    <mergeCell ref="A301:A302"/>
    <mergeCell ref="H305:K305"/>
    <mergeCell ref="L305:O305"/>
    <mergeCell ref="P305:S305"/>
    <mergeCell ref="H306:I306"/>
    <mergeCell ref="R306:S306"/>
    <mergeCell ref="A283:A284"/>
    <mergeCell ref="A285:A286"/>
    <mergeCell ref="A287:A288"/>
    <mergeCell ref="A289:A290"/>
    <mergeCell ref="A291:A292"/>
    <mergeCell ref="A293:A294"/>
    <mergeCell ref="A295:A296"/>
    <mergeCell ref="N351:O351"/>
    <mergeCell ref="P351:Q351"/>
    <mergeCell ref="A346:A347"/>
    <mergeCell ref="H350:K350"/>
    <mergeCell ref="L350:O350"/>
    <mergeCell ref="P350:S350"/>
    <mergeCell ref="H351:I351"/>
    <mergeCell ref="J351:K351"/>
    <mergeCell ref="L351:M351"/>
    <mergeCell ref="R351:S351"/>
    <mergeCell ref="AA376:AA377"/>
    <mergeCell ref="AA378:AA379"/>
    <mergeCell ref="Z363:AA363"/>
    <mergeCell ref="AA364:AA365"/>
    <mergeCell ref="AA366:AA367"/>
    <mergeCell ref="AA368:AA369"/>
    <mergeCell ref="AA370:AA371"/>
    <mergeCell ref="AA372:AA373"/>
    <mergeCell ref="AA374:AA375"/>
    <mergeCell ref="AA299:AA300"/>
    <mergeCell ref="AA301:AA302"/>
    <mergeCell ref="T305:W305"/>
    <mergeCell ref="X305:AA305"/>
    <mergeCell ref="T306:U306"/>
    <mergeCell ref="V306:W306"/>
    <mergeCell ref="X306:Y306"/>
    <mergeCell ref="Z306:AA306"/>
    <mergeCell ref="AA285:AA286"/>
    <mergeCell ref="AA287:AA288"/>
    <mergeCell ref="AA289:AA290"/>
    <mergeCell ref="AA291:AA292"/>
    <mergeCell ref="AA293:AA294"/>
    <mergeCell ref="AA295:AA296"/>
    <mergeCell ref="AA297:AA298"/>
    <mergeCell ref="Z317:AA317"/>
    <mergeCell ref="AA318:AA319"/>
    <mergeCell ref="AA320:AA321"/>
    <mergeCell ref="AA322:AA323"/>
    <mergeCell ref="AA324:AA325"/>
    <mergeCell ref="AA326:AA327"/>
    <mergeCell ref="AA328:AA329"/>
    <mergeCell ref="AA344:AA345"/>
    <mergeCell ref="AA346:AA347"/>
    <mergeCell ref="T350:W350"/>
    <mergeCell ref="X350:AA350"/>
    <mergeCell ref="V351:W351"/>
    <mergeCell ref="X351:Y351"/>
    <mergeCell ref="Z351:AA351"/>
    <mergeCell ref="T351:U351"/>
    <mergeCell ref="A364:A365"/>
    <mergeCell ref="A366:A367"/>
    <mergeCell ref="A368:A369"/>
    <mergeCell ref="A370:A371"/>
    <mergeCell ref="A372:A373"/>
    <mergeCell ref="A374:A375"/>
    <mergeCell ref="AA380:AA381"/>
    <mergeCell ref="AA382:AA383"/>
    <mergeCell ref="AA384:AA385"/>
    <mergeCell ref="AA386:AA387"/>
    <mergeCell ref="AA388:AA389"/>
    <mergeCell ref="AA390:AA391"/>
    <mergeCell ref="AA330:AA331"/>
    <mergeCell ref="AA332:AA333"/>
    <mergeCell ref="AA334:AA335"/>
    <mergeCell ref="AA336:AA337"/>
    <mergeCell ref="AA338:AA339"/>
    <mergeCell ref="AA340:AA341"/>
    <mergeCell ref="AA342:AA343"/>
    <mergeCell ref="A390:A391"/>
    <mergeCell ref="A392:A393"/>
    <mergeCell ref="H396:K396"/>
    <mergeCell ref="L396:O396"/>
    <mergeCell ref="P396:S396"/>
    <mergeCell ref="T396:W396"/>
    <mergeCell ref="X396:AA396"/>
    <mergeCell ref="H397:I397"/>
    <mergeCell ref="J397:K397"/>
    <mergeCell ref="L397:M397"/>
    <mergeCell ref="N397:O397"/>
    <mergeCell ref="P397:Q397"/>
    <mergeCell ref="R397:S397"/>
    <mergeCell ref="T397:U397"/>
    <mergeCell ref="A376:A377"/>
    <mergeCell ref="A378:A379"/>
    <mergeCell ref="A380:A381"/>
    <mergeCell ref="A382:A383"/>
    <mergeCell ref="A384:A385"/>
    <mergeCell ref="A386:A387"/>
    <mergeCell ref="A388:A389"/>
    <mergeCell ref="V397:W397"/>
    <mergeCell ref="X397:Y397"/>
    <mergeCell ref="Z397:AA397"/>
    <mergeCell ref="AA410:AA411"/>
    <mergeCell ref="AA412:AA413"/>
    <mergeCell ref="AB412:AB413"/>
    <mergeCell ref="AA414:AA415"/>
    <mergeCell ref="AA430:AA431"/>
    <mergeCell ref="AA432:AA433"/>
    <mergeCell ref="AA434:AA435"/>
    <mergeCell ref="AA436:AA437"/>
    <mergeCell ref="AA438:AA439"/>
    <mergeCell ref="AA416:AA417"/>
    <mergeCell ref="AA418:AA419"/>
    <mergeCell ref="AA420:AA421"/>
    <mergeCell ref="AA422:AA423"/>
    <mergeCell ref="AA424:AA425"/>
    <mergeCell ref="AA426:AA427"/>
    <mergeCell ref="AA428:AA429"/>
    <mergeCell ref="J443:K443"/>
    <mergeCell ref="L443:M443"/>
    <mergeCell ref="A480:A481"/>
    <mergeCell ref="A482:A483"/>
    <mergeCell ref="A484:A485"/>
    <mergeCell ref="L488:O488"/>
    <mergeCell ref="P488:S488"/>
    <mergeCell ref="T488:W488"/>
    <mergeCell ref="X488:AA488"/>
    <mergeCell ref="T489:U489"/>
    <mergeCell ref="V489:W489"/>
    <mergeCell ref="X489:Y489"/>
    <mergeCell ref="Z489:AA489"/>
    <mergeCell ref="H488:K488"/>
    <mergeCell ref="H489:I489"/>
    <mergeCell ref="J489:K489"/>
    <mergeCell ref="L489:M489"/>
    <mergeCell ref="N489:O489"/>
    <mergeCell ref="P489:Q489"/>
    <mergeCell ref="R489:S489"/>
    <mergeCell ref="R443:S443"/>
    <mergeCell ref="T443:U443"/>
    <mergeCell ref="A438:A439"/>
    <mergeCell ref="H442:K442"/>
    <mergeCell ref="L442:O442"/>
    <mergeCell ref="P442:S442"/>
    <mergeCell ref="T442:W442"/>
    <mergeCell ref="X442:AA442"/>
    <mergeCell ref="H443:I443"/>
    <mergeCell ref="Z443:AA443"/>
    <mergeCell ref="V443:W443"/>
    <mergeCell ref="X443:Y443"/>
    <mergeCell ref="Z455:AA455"/>
    <mergeCell ref="AA456:AA457"/>
    <mergeCell ref="AA458:AA459"/>
    <mergeCell ref="AA460:AA461"/>
    <mergeCell ref="AA462:AA463"/>
    <mergeCell ref="N443:O443"/>
    <mergeCell ref="P443:Q443"/>
    <mergeCell ref="A456:A457"/>
    <mergeCell ref="A458:A459"/>
    <mergeCell ref="A460:A461"/>
    <mergeCell ref="A462:A463"/>
    <mergeCell ref="A464:A465"/>
    <mergeCell ref="AA478:AA479"/>
    <mergeCell ref="AA480:AA481"/>
    <mergeCell ref="AA482:AA483"/>
    <mergeCell ref="AA484:AA485"/>
    <mergeCell ref="AA464:AA465"/>
    <mergeCell ref="AA466:AA467"/>
    <mergeCell ref="AA468:AA469"/>
    <mergeCell ref="AA470:AA471"/>
    <mergeCell ref="AA472:AA473"/>
    <mergeCell ref="AA474:AA475"/>
    <mergeCell ref="AA476:AA477"/>
    <mergeCell ref="A466:A467"/>
    <mergeCell ref="A468:A469"/>
    <mergeCell ref="A470:A471"/>
    <mergeCell ref="A472:A473"/>
    <mergeCell ref="A474:A475"/>
    <mergeCell ref="A476:A477"/>
    <mergeCell ref="A478:A479"/>
    <mergeCell ref="H9:H10"/>
    <mergeCell ref="H11:H12"/>
    <mergeCell ref="H7:H8"/>
    <mergeCell ref="H13:H14"/>
    <mergeCell ref="H5:H6"/>
    <mergeCell ref="H15:H16"/>
    <mergeCell ref="H19:H20"/>
    <mergeCell ref="H21:H22"/>
    <mergeCell ref="C2:H2"/>
    <mergeCell ref="A5:A6"/>
    <mergeCell ref="A7:A8"/>
    <mergeCell ref="A9:A10"/>
    <mergeCell ref="A11:A12"/>
    <mergeCell ref="A13:A14"/>
    <mergeCell ref="A15:A16"/>
    <mergeCell ref="A17:A18"/>
    <mergeCell ref="H17:H18"/>
    <mergeCell ref="A29:A30"/>
    <mergeCell ref="B29:B30"/>
    <mergeCell ref="A31:A32"/>
    <mergeCell ref="A33:A34"/>
    <mergeCell ref="A35:A36"/>
    <mergeCell ref="A37:A38"/>
    <mergeCell ref="A39:A40"/>
    <mergeCell ref="A41:A42"/>
    <mergeCell ref="A43:A44"/>
    <mergeCell ref="A45:A46"/>
    <mergeCell ref="A47:A48"/>
    <mergeCell ref="A49:A50"/>
    <mergeCell ref="A55:A56"/>
    <mergeCell ref="A57:A58"/>
    <mergeCell ref="A59:A60"/>
    <mergeCell ref="A61:A62"/>
    <mergeCell ref="A63:A64"/>
    <mergeCell ref="A65:A66"/>
    <mergeCell ref="A67:A68"/>
    <mergeCell ref="A152:A153"/>
    <mergeCell ref="A154:A155"/>
    <mergeCell ref="Y154:Y155"/>
    <mergeCell ref="Y156:Y157"/>
    <mergeCell ref="Y158:Y159"/>
    <mergeCell ref="H167:K167"/>
    <mergeCell ref="L167:O167"/>
    <mergeCell ref="V168:W168"/>
    <mergeCell ref="X168:Y168"/>
    <mergeCell ref="P167:S167"/>
    <mergeCell ref="T167:W167"/>
    <mergeCell ref="H168:I168"/>
    <mergeCell ref="J168:K168"/>
    <mergeCell ref="L168:M168"/>
    <mergeCell ref="N168:O168"/>
    <mergeCell ref="P168:Q168"/>
    <mergeCell ref="J85:K85"/>
    <mergeCell ref="L85:O85"/>
    <mergeCell ref="P85:Q85"/>
    <mergeCell ref="L86:M86"/>
    <mergeCell ref="N86:O86"/>
    <mergeCell ref="P86:Q86"/>
    <mergeCell ref="R86:S86"/>
    <mergeCell ref="A69:A70"/>
    <mergeCell ref="A71:A72"/>
    <mergeCell ref="A73:A74"/>
    <mergeCell ref="A75:A76"/>
    <mergeCell ref="A77:A78"/>
    <mergeCell ref="A79:A80"/>
    <mergeCell ref="H85:I85"/>
    <mergeCell ref="A111:A112"/>
    <mergeCell ref="A113:A114"/>
    <mergeCell ref="A115:A116"/>
    <mergeCell ref="A117:A118"/>
    <mergeCell ref="A119:A120"/>
    <mergeCell ref="A121:A122"/>
    <mergeCell ref="H125:I125"/>
    <mergeCell ref="P126:Q126"/>
    <mergeCell ref="R126:S126"/>
    <mergeCell ref="J125:M125"/>
    <mergeCell ref="N125:Q125"/>
    <mergeCell ref="R125:U125"/>
    <mergeCell ref="V125:Y125"/>
    <mergeCell ref="J126:K126"/>
    <mergeCell ref="L126:M126"/>
    <mergeCell ref="N126:O126"/>
    <mergeCell ref="X126:Y126"/>
    <mergeCell ref="A97:A98"/>
    <mergeCell ref="A99:A100"/>
    <mergeCell ref="A101:A102"/>
    <mergeCell ref="A103:A104"/>
    <mergeCell ref="A105:A106"/>
    <mergeCell ref="A107:A108"/>
    <mergeCell ref="A109:A110"/>
    <mergeCell ref="R168:S168"/>
    <mergeCell ref="T168:U168"/>
    <mergeCell ref="A138:A139"/>
    <mergeCell ref="A140:A141"/>
    <mergeCell ref="A142:A143"/>
    <mergeCell ref="A144:A145"/>
    <mergeCell ref="A146:A147"/>
    <mergeCell ref="A148:A149"/>
    <mergeCell ref="A150:A151"/>
    <mergeCell ref="A156:A157"/>
    <mergeCell ref="A158:A159"/>
    <mergeCell ref="A160:A161"/>
    <mergeCell ref="A162:A163"/>
    <mergeCell ref="A179:A180"/>
    <mergeCell ref="A181:A182"/>
    <mergeCell ref="A183:A184"/>
    <mergeCell ref="H211:K211"/>
    <mergeCell ref="H212:I212"/>
    <mergeCell ref="J212:K212"/>
    <mergeCell ref="L212:M212"/>
    <mergeCell ref="N212:O212"/>
    <mergeCell ref="P212:Q212"/>
    <mergeCell ref="R212:S212"/>
    <mergeCell ref="A199:A200"/>
    <mergeCell ref="A201:A202"/>
    <mergeCell ref="A203:A204"/>
    <mergeCell ref="A205:A206"/>
    <mergeCell ref="A207:A208"/>
    <mergeCell ref="L211:O211"/>
    <mergeCell ref="P211:S211"/>
    <mergeCell ref="A185:A186"/>
    <mergeCell ref="A187:A188"/>
    <mergeCell ref="A189:A190"/>
    <mergeCell ref="A191:A192"/>
    <mergeCell ref="A193:A194"/>
    <mergeCell ref="A195:A196"/>
    <mergeCell ref="A197:A198"/>
    <mergeCell ref="A227:A228"/>
    <mergeCell ref="A229:A230"/>
    <mergeCell ref="A231:A232"/>
    <mergeCell ref="A233:A234"/>
    <mergeCell ref="A235:A236"/>
    <mergeCell ref="A237:A238"/>
    <mergeCell ref="A239:A240"/>
    <mergeCell ref="A241:A242"/>
    <mergeCell ref="A243:A244"/>
    <mergeCell ref="A245:A246"/>
    <mergeCell ref="A247:A248"/>
    <mergeCell ref="A249:A250"/>
    <mergeCell ref="A251:A252"/>
    <mergeCell ref="A253:A254"/>
    <mergeCell ref="Z226:AA226"/>
    <mergeCell ref="AA227:AA228"/>
    <mergeCell ref="AA229:AA230"/>
    <mergeCell ref="AA231:AA232"/>
    <mergeCell ref="AA233:AA234"/>
    <mergeCell ref="AA235:AA236"/>
    <mergeCell ref="AA237:AA238"/>
    <mergeCell ref="AA392:AA393"/>
    <mergeCell ref="Z409:AA409"/>
    <mergeCell ref="AA239:AA240"/>
    <mergeCell ref="AA241:AA242"/>
    <mergeCell ref="AA243:AA244"/>
    <mergeCell ref="AA245:AA246"/>
    <mergeCell ref="AA247:AA248"/>
    <mergeCell ref="AA249:AA250"/>
    <mergeCell ref="AA251:AA252"/>
    <mergeCell ref="T126:U126"/>
    <mergeCell ref="V126:W126"/>
    <mergeCell ref="X137:Y137"/>
    <mergeCell ref="Y138:Y139"/>
    <mergeCell ref="Y140:Y141"/>
    <mergeCell ref="Y142:Y143"/>
    <mergeCell ref="Y144:Y145"/>
    <mergeCell ref="Y146:Y147"/>
    <mergeCell ref="Y148:Y149"/>
    <mergeCell ref="Y162:Y163"/>
    <mergeCell ref="X167:AA167"/>
    <mergeCell ref="Z168:AA168"/>
    <mergeCell ref="Z178:AA178"/>
    <mergeCell ref="AA179:AA180"/>
    <mergeCell ref="AA181:AA182"/>
    <mergeCell ref="AA183:AA184"/>
    <mergeCell ref="AA185:AA186"/>
    <mergeCell ref="AA187:AA188"/>
    <mergeCell ref="AA189:AA190"/>
    <mergeCell ref="AA191:AA192"/>
    <mergeCell ref="AA193:AA194"/>
    <mergeCell ref="T211:W211"/>
    <mergeCell ref="X211:AA211"/>
    <mergeCell ref="T212:U212"/>
    <mergeCell ref="V212:W212"/>
    <mergeCell ref="X212:Y212"/>
    <mergeCell ref="Z212:AA212"/>
    <mergeCell ref="AA195:AA196"/>
    <mergeCell ref="AA197:AA198"/>
    <mergeCell ref="AA199:AA200"/>
    <mergeCell ref="AA201:AA202"/>
    <mergeCell ref="AA203:AA204"/>
    <mergeCell ref="AA205:AA206"/>
    <mergeCell ref="AA207:AA208"/>
    <mergeCell ref="AA253:AA254"/>
    <mergeCell ref="AA255:AA256"/>
    <mergeCell ref="T259:W259"/>
    <mergeCell ref="X259:AA259"/>
    <mergeCell ref="T260:U260"/>
    <mergeCell ref="V260:W260"/>
    <mergeCell ref="X260:Y260"/>
    <mergeCell ref="Z260:AA260"/>
    <mergeCell ref="Z272:AA272"/>
    <mergeCell ref="AA273:AA274"/>
    <mergeCell ref="AA275:AA276"/>
    <mergeCell ref="AA277:AA278"/>
    <mergeCell ref="AA279:AA280"/>
    <mergeCell ref="AA281:AA282"/>
    <mergeCell ref="AA283:AA284"/>
    <mergeCell ref="A410:A411"/>
    <mergeCell ref="A412:A413"/>
    <mergeCell ref="A414:A415"/>
    <mergeCell ref="A416:A417"/>
    <mergeCell ref="A418:A419"/>
    <mergeCell ref="A420:A421"/>
    <mergeCell ref="A422:A423"/>
    <mergeCell ref="A424:A425"/>
    <mergeCell ref="A426:A427"/>
    <mergeCell ref="A428:A429"/>
    <mergeCell ref="A430:A431"/>
    <mergeCell ref="A432:A433"/>
    <mergeCell ref="A434:A435"/>
    <mergeCell ref="A436:A43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9" max="9" width="14.5"/>
    <col customWidth="1" min="11" max="11" width="17.88"/>
    <col customWidth="1" min="18" max="18" width="22.88"/>
    <col customWidth="1" min="24" max="24" width="20.75"/>
    <col customWidth="1" min="25" max="25" width="16.88"/>
    <col customWidth="1" min="26" max="27" width="15.63"/>
    <col customWidth="1" min="29" max="29" width="17.25"/>
  </cols>
  <sheetData>
    <row r="1">
      <c r="A1" s="4" t="s">
        <v>205</v>
      </c>
      <c r="B1" s="4" t="s">
        <v>206</v>
      </c>
      <c r="C1" s="4" t="s">
        <v>207</v>
      </c>
      <c r="D1" s="82" t="s">
        <v>208</v>
      </c>
      <c r="E1" s="4" t="s">
        <v>21</v>
      </c>
      <c r="F1" s="4"/>
      <c r="G1" s="4" t="s">
        <v>2</v>
      </c>
      <c r="I1" s="4" t="s">
        <v>209</v>
      </c>
      <c r="J1" s="4" t="s">
        <v>210</v>
      </c>
      <c r="K1" s="4" t="s">
        <v>211</v>
      </c>
      <c r="L1" s="4" t="s">
        <v>212</v>
      </c>
      <c r="M1" s="4" t="s">
        <v>213</v>
      </c>
    </row>
    <row r="2">
      <c r="A2" s="10">
        <v>46103.0</v>
      </c>
      <c r="B2" s="13" t="str">
        <f>'Giá NhậpXuất'!B4</f>
        <v>Thanh cua trứng Mayo</v>
      </c>
      <c r="C2" s="5">
        <v>35.0</v>
      </c>
      <c r="D2" s="6">
        <f>C2*'Giá NhậpXuất'!$C$4</f>
        <v>455000</v>
      </c>
      <c r="E2" s="13">
        <f t="shared" ref="E2:E13" si="1">D2/C2</f>
        <v>13000</v>
      </c>
      <c r="I2" s="13" t="s">
        <v>4</v>
      </c>
      <c r="J2" s="13">
        <f t="array" ref="J2:J13">IF(I2:I13="",, SUMIF(B:B, I2:I13, C:C))</f>
        <v>1889</v>
      </c>
      <c r="K2" s="13">
        <f t="array" ref="K2:K13">IF(I2:I13="",, SUMIF('Nhật ký bán hàng T3'!F:F, I2:I13, 'Nhật ký bán hàng T3'!H:H))</f>
        <v>253</v>
      </c>
      <c r="L2" s="13">
        <f t="array" ref="L2:L13">IF(I2:I13="",, J2:J13 - K2:K13)</f>
        <v>1636</v>
      </c>
      <c r="M2" s="13" t="str">
        <f t="array" ref="M2:M13">IF(L2:L13="",, IF(L2:L13&lt;10, "🚨 NHẬP GẤP!", IF(L2:L13&lt;15, "⚠️ SẮP HẾT", "✅ AN TOÀN")))</f>
        <v>✅ AN TOÀN</v>
      </c>
    </row>
    <row r="3">
      <c r="A3" s="10">
        <v>46103.0</v>
      </c>
      <c r="B3" s="13" t="str">
        <f>'Giá NhậpXuất'!B5</f>
        <v>🧀Pate phô mai kéo sợi </v>
      </c>
      <c r="C3" s="5">
        <v>15.0</v>
      </c>
      <c r="D3" s="6">
        <f>C3*'Giá NhậpXuất'!C5</f>
        <v>195000</v>
      </c>
      <c r="E3" s="13">
        <f t="shared" si="1"/>
        <v>13000</v>
      </c>
      <c r="I3" s="13" t="s">
        <v>5</v>
      </c>
      <c r="J3" s="13">
        <v>1077.0</v>
      </c>
      <c r="K3" s="13">
        <v>132.0</v>
      </c>
      <c r="L3" s="13">
        <v>945.0</v>
      </c>
      <c r="M3" s="13" t="s">
        <v>214</v>
      </c>
    </row>
    <row r="4">
      <c r="A4" s="10">
        <v>46103.0</v>
      </c>
      <c r="B4" s="13" t="str">
        <f>'Giá NhậpXuất'!B6</f>
        <v>🐷Heo cao bồi xúc xích</v>
      </c>
      <c r="C4" s="5">
        <v>15.0</v>
      </c>
      <c r="D4" s="6">
        <f>C4*'Giá NhậpXuất'!C6</f>
        <v>195000</v>
      </c>
      <c r="E4" s="13">
        <f t="shared" si="1"/>
        <v>13000</v>
      </c>
      <c r="I4" s="13" t="s">
        <v>6</v>
      </c>
      <c r="J4" s="13">
        <v>955.0</v>
      </c>
      <c r="K4" s="13">
        <v>109.0</v>
      </c>
      <c r="L4" s="13">
        <v>846.0</v>
      </c>
      <c r="M4" s="13" t="s">
        <v>214</v>
      </c>
      <c r="O4" s="4" t="s">
        <v>215</v>
      </c>
      <c r="P4" s="4"/>
      <c r="Q4" s="4"/>
      <c r="R4" s="4" t="s">
        <v>216</v>
      </c>
      <c r="S4" s="4" t="s">
        <v>216</v>
      </c>
    </row>
    <row r="5">
      <c r="A5" s="10">
        <v>46103.0</v>
      </c>
      <c r="B5" s="13" t="str">
        <f>'Giá NhậpXuất'!B7</f>
        <v>🐔Gà tomyum </v>
      </c>
      <c r="C5" s="5">
        <v>20.0</v>
      </c>
      <c r="D5" s="6">
        <f>C5*'Giá NhậpXuất'!C7</f>
        <v>260000</v>
      </c>
      <c r="E5" s="13">
        <f t="shared" si="1"/>
        <v>13000</v>
      </c>
      <c r="I5" s="13" t="s">
        <v>7</v>
      </c>
      <c r="J5" s="13">
        <v>952.0</v>
      </c>
      <c r="K5" s="13">
        <v>111.0</v>
      </c>
      <c r="L5" s="13">
        <v>841.0</v>
      </c>
      <c r="M5" s="13" t="s">
        <v>214</v>
      </c>
      <c r="O5" s="4" t="s">
        <v>217</v>
      </c>
      <c r="P5" s="4"/>
      <c r="Q5" s="4"/>
      <c r="R5" s="4" t="s">
        <v>218</v>
      </c>
      <c r="S5" s="4" t="s">
        <v>219</v>
      </c>
    </row>
    <row r="6">
      <c r="A6" s="10">
        <v>46103.0</v>
      </c>
      <c r="B6" s="13" t="str">
        <f>'Giá NhậpXuất'!B8</f>
        <v>🐔 Gà teriyaki </v>
      </c>
      <c r="C6" s="5">
        <v>25.0</v>
      </c>
      <c r="D6" s="6">
        <f>C6*'Giá NhậpXuất'!C8</f>
        <v>325000</v>
      </c>
      <c r="E6" s="13">
        <f t="shared" si="1"/>
        <v>13000</v>
      </c>
      <c r="I6" s="13" t="s">
        <v>8</v>
      </c>
      <c r="J6" s="13">
        <v>1589.0</v>
      </c>
      <c r="K6" s="13">
        <v>179.0</v>
      </c>
      <c r="L6" s="13">
        <v>1410.0</v>
      </c>
      <c r="M6" s="13" t="s">
        <v>214</v>
      </c>
    </row>
    <row r="7">
      <c r="A7" s="10">
        <v>46103.0</v>
      </c>
      <c r="B7" s="13" t="str">
        <f>'Giá NhậpXuất'!B9</f>
        <v>🐮Bò BBQ </v>
      </c>
      <c r="C7" s="5">
        <v>40.0</v>
      </c>
      <c r="D7" s="6">
        <f>C7*'Giá NhậpXuất'!C9</f>
        <v>520000</v>
      </c>
      <c r="E7" s="13">
        <f t="shared" si="1"/>
        <v>13000</v>
      </c>
      <c r="I7" s="13" t="s">
        <v>9</v>
      </c>
      <c r="J7" s="13">
        <v>1833.0</v>
      </c>
      <c r="K7" s="13">
        <v>217.0</v>
      </c>
      <c r="L7" s="13">
        <v>1616.0</v>
      </c>
      <c r="M7" s="13" t="s">
        <v>214</v>
      </c>
    </row>
    <row r="8">
      <c r="A8" s="10">
        <v>46103.0</v>
      </c>
      <c r="B8" s="13" t="str">
        <f>'Giá NhậpXuất'!B10</f>
        <v>🦐Tôm đút lò </v>
      </c>
      <c r="C8" s="5">
        <v>22.0</v>
      </c>
      <c r="D8" s="6">
        <f>C8*'Giá NhậpXuất'!C10</f>
        <v>286000</v>
      </c>
      <c r="E8" s="13">
        <f t="shared" si="1"/>
        <v>13000</v>
      </c>
      <c r="I8" s="13" t="s">
        <v>10</v>
      </c>
      <c r="J8" s="13">
        <v>1084.0</v>
      </c>
      <c r="K8" s="13">
        <v>121.0</v>
      </c>
      <c r="L8" s="13">
        <v>963.0</v>
      </c>
      <c r="M8" s="13" t="s">
        <v>214</v>
      </c>
    </row>
    <row r="9">
      <c r="A9" s="10">
        <v>46103.0</v>
      </c>
      <c r="B9" s="13" t="str">
        <f>'Giá NhậpXuất'!B11</f>
        <v>🎏Cá ngừ </v>
      </c>
      <c r="C9" s="5">
        <v>10.0</v>
      </c>
      <c r="D9" s="6">
        <f>C9*'Giá NhậpXuất'!C11</f>
        <v>130000</v>
      </c>
      <c r="E9" s="13">
        <f t="shared" si="1"/>
        <v>13000</v>
      </c>
      <c r="I9" s="13" t="s">
        <v>11</v>
      </c>
      <c r="J9" s="13">
        <v>863.0</v>
      </c>
      <c r="K9" s="13">
        <v>68.0</v>
      </c>
      <c r="L9" s="13">
        <v>795.0</v>
      </c>
      <c r="M9" s="13" t="s">
        <v>214</v>
      </c>
    </row>
    <row r="10">
      <c r="A10" s="10">
        <v>46103.0</v>
      </c>
      <c r="B10" s="13" t="str">
        <f>'Giá NhậpXuất'!B12</f>
        <v>🥘Chả cá xốt cay </v>
      </c>
      <c r="C10" s="5">
        <v>10.0</v>
      </c>
      <c r="D10" s="6">
        <f>C10*'Giá NhậpXuất'!C12</f>
        <v>130000</v>
      </c>
      <c r="E10" s="13">
        <f t="shared" si="1"/>
        <v>13000</v>
      </c>
      <c r="I10" s="13" t="s">
        <v>12</v>
      </c>
      <c r="J10" s="13">
        <v>928.0</v>
      </c>
      <c r="K10" s="13">
        <v>80.0</v>
      </c>
      <c r="L10" s="13">
        <v>848.0</v>
      </c>
      <c r="M10" s="13" t="s">
        <v>214</v>
      </c>
    </row>
    <row r="11">
      <c r="A11" s="10">
        <v>46103.0</v>
      </c>
      <c r="B11" s="13" t="str">
        <f>'Giá NhậpXuất'!B13</f>
        <v>🌮 Trứng xúc xích mayo </v>
      </c>
      <c r="C11" s="5">
        <v>20.0</v>
      </c>
      <c r="D11" s="6">
        <f>C11*'Giá NhậpXuất'!C13</f>
        <v>260000</v>
      </c>
      <c r="E11" s="13">
        <f t="shared" si="1"/>
        <v>13000</v>
      </c>
      <c r="I11" s="13" t="s">
        <v>13</v>
      </c>
      <c r="J11" s="13">
        <v>1302.0</v>
      </c>
      <c r="K11" s="13">
        <v>125.0</v>
      </c>
      <c r="L11" s="13">
        <v>1177.0</v>
      </c>
      <c r="M11" s="13" t="s">
        <v>214</v>
      </c>
    </row>
    <row r="12">
      <c r="A12" s="10">
        <v>46103.0</v>
      </c>
      <c r="B12" s="13" t="str">
        <f>'Giá NhậpXuất'!B14</f>
        <v>🍣Cá hồi mayo </v>
      </c>
      <c r="C12" s="5">
        <v>10.0</v>
      </c>
      <c r="D12" s="6">
        <f>C12*'Giá NhậpXuất'!C14</f>
        <v>160000</v>
      </c>
      <c r="E12" s="13">
        <f t="shared" si="1"/>
        <v>16000</v>
      </c>
      <c r="I12" s="13" t="s">
        <v>14</v>
      </c>
      <c r="J12" s="13">
        <v>940.0</v>
      </c>
      <c r="K12" s="13">
        <v>85.0</v>
      </c>
      <c r="L12" s="13">
        <v>855.0</v>
      </c>
      <c r="M12" s="13" t="s">
        <v>214</v>
      </c>
    </row>
    <row r="13">
      <c r="A13" s="10">
        <v>46103.0</v>
      </c>
      <c r="B13" s="13" t="str">
        <f>'Giá NhậpXuất'!B15</f>
        <v>🌭 Xúc xích siêu phomai</v>
      </c>
      <c r="C13" s="5">
        <v>180.0</v>
      </c>
      <c r="D13" s="6">
        <f>C13*'Giá NhậpXuất'!C15</f>
        <v>2340000</v>
      </c>
      <c r="E13" s="13">
        <f t="shared" si="1"/>
        <v>13000</v>
      </c>
      <c r="I13" s="13" t="s">
        <v>15</v>
      </c>
      <c r="J13" s="13">
        <v>10202.0</v>
      </c>
      <c r="K13" s="13">
        <v>1113.0</v>
      </c>
      <c r="L13" s="13">
        <v>9089.0</v>
      </c>
      <c r="M13" s="13" t="s">
        <v>214</v>
      </c>
    </row>
    <row r="14">
      <c r="C14" s="13">
        <f t="shared" ref="C14:D14" si="2">sum(C2:C13)</f>
        <v>402</v>
      </c>
      <c r="D14" s="6">
        <f t="shared" si="2"/>
        <v>5256000</v>
      </c>
      <c r="F14" s="83"/>
      <c r="G14" s="83"/>
    </row>
    <row r="15">
      <c r="A15" s="84">
        <f t="shared" ref="A15:A26" si="3">A2+1</f>
        <v>46104</v>
      </c>
      <c r="B15" s="53" t="s">
        <v>4</v>
      </c>
      <c r="C15" s="85">
        <v>35.0</v>
      </c>
      <c r="D15" s="86">
        <f>C15*'Giá NhậpXuất'!$C4</f>
        <v>455000</v>
      </c>
      <c r="E15" s="13">
        <f t="shared" ref="E15:E26" si="4">D15/C15</f>
        <v>13000</v>
      </c>
      <c r="F15" s="83"/>
      <c r="G15" s="83"/>
    </row>
    <row r="16">
      <c r="A16" s="84">
        <f t="shared" si="3"/>
        <v>46104</v>
      </c>
      <c r="B16" s="53" t="s">
        <v>5</v>
      </c>
      <c r="C16" s="85">
        <v>20.0</v>
      </c>
      <c r="D16" s="86">
        <f>C16*'Giá NhậpXuất'!$C5</f>
        <v>260000</v>
      </c>
      <c r="E16" s="13">
        <f t="shared" si="4"/>
        <v>13000</v>
      </c>
      <c r="F16" s="83"/>
      <c r="G16" s="83"/>
    </row>
    <row r="17">
      <c r="A17" s="87">
        <f t="shared" si="3"/>
        <v>46104</v>
      </c>
      <c r="B17" s="53" t="s">
        <v>6</v>
      </c>
      <c r="C17" s="85">
        <v>15.0</v>
      </c>
      <c r="D17" s="86">
        <f>C17*'Giá NhậpXuất'!$C6</f>
        <v>195000</v>
      </c>
      <c r="E17" s="13">
        <f t="shared" si="4"/>
        <v>13000</v>
      </c>
      <c r="F17" s="83"/>
      <c r="G17" s="83"/>
    </row>
    <row r="18">
      <c r="A18" s="87">
        <f t="shared" si="3"/>
        <v>46104</v>
      </c>
      <c r="B18" s="53" t="s">
        <v>7</v>
      </c>
      <c r="C18" s="85">
        <v>20.0</v>
      </c>
      <c r="D18" s="86">
        <f>C18*'Giá NhậpXuất'!$C7</f>
        <v>260000</v>
      </c>
      <c r="E18" s="13">
        <f t="shared" si="4"/>
        <v>13000</v>
      </c>
      <c r="F18" s="83"/>
      <c r="G18" s="83"/>
    </row>
    <row r="19">
      <c r="A19" s="87">
        <f t="shared" si="3"/>
        <v>46104</v>
      </c>
      <c r="B19" s="53" t="s">
        <v>8</v>
      </c>
      <c r="C19" s="85">
        <v>25.0</v>
      </c>
      <c r="D19" s="86">
        <f>C19*'Giá NhậpXuất'!$C8</f>
        <v>325000</v>
      </c>
      <c r="E19" s="13">
        <f t="shared" si="4"/>
        <v>13000</v>
      </c>
      <c r="F19" s="83"/>
      <c r="G19" s="83"/>
    </row>
    <row r="20">
      <c r="A20" s="87">
        <f t="shared" si="3"/>
        <v>46104</v>
      </c>
      <c r="B20" s="53" t="s">
        <v>9</v>
      </c>
      <c r="C20" s="85">
        <v>35.0</v>
      </c>
      <c r="D20" s="86">
        <f>C20*'Giá NhậpXuất'!$C9</f>
        <v>455000</v>
      </c>
      <c r="E20" s="13">
        <f t="shared" si="4"/>
        <v>13000</v>
      </c>
      <c r="F20" s="83"/>
      <c r="G20" s="83"/>
    </row>
    <row r="21">
      <c r="A21" s="87">
        <f t="shared" si="3"/>
        <v>46104</v>
      </c>
      <c r="B21" s="53" t="s">
        <v>10</v>
      </c>
      <c r="C21" s="85">
        <v>25.0</v>
      </c>
      <c r="D21" s="86">
        <f>C21*'Giá NhậpXuất'!$C10</f>
        <v>325000</v>
      </c>
      <c r="E21" s="13">
        <f t="shared" si="4"/>
        <v>13000</v>
      </c>
      <c r="F21" s="83"/>
      <c r="G21" s="83"/>
    </row>
    <row r="22">
      <c r="A22" s="87">
        <f t="shared" si="3"/>
        <v>46104</v>
      </c>
      <c r="B22" s="53" t="s">
        <v>11</v>
      </c>
      <c r="C22" s="85">
        <v>10.0</v>
      </c>
      <c r="D22" s="86">
        <f>C22*'Giá NhậpXuất'!$C11</f>
        <v>130000</v>
      </c>
      <c r="E22" s="13">
        <f t="shared" si="4"/>
        <v>13000</v>
      </c>
      <c r="F22" s="83"/>
      <c r="G22" s="83"/>
    </row>
    <row r="23">
      <c r="A23" s="87">
        <f t="shared" si="3"/>
        <v>46104</v>
      </c>
      <c r="B23" s="53" t="s">
        <v>12</v>
      </c>
      <c r="C23" s="85">
        <v>10.0</v>
      </c>
      <c r="D23" s="86">
        <f>C23*'Giá NhậpXuất'!$C12</f>
        <v>130000</v>
      </c>
      <c r="E23" s="13">
        <f t="shared" si="4"/>
        <v>13000</v>
      </c>
      <c r="F23" s="83"/>
      <c r="G23" s="83"/>
    </row>
    <row r="24">
      <c r="A24" s="87">
        <f t="shared" si="3"/>
        <v>46104</v>
      </c>
      <c r="B24" s="53" t="s">
        <v>13</v>
      </c>
      <c r="C24" s="85">
        <v>20.0</v>
      </c>
      <c r="D24" s="86">
        <f>C24*'Giá NhậpXuất'!$C13</f>
        <v>260000</v>
      </c>
      <c r="E24" s="13">
        <f t="shared" si="4"/>
        <v>13000</v>
      </c>
      <c r="F24" s="83"/>
      <c r="G24" s="83"/>
      <c r="I24" s="4" t="s">
        <v>220</v>
      </c>
      <c r="J24" s="4">
        <v>10.0</v>
      </c>
    </row>
    <row r="25">
      <c r="A25" s="87">
        <f t="shared" si="3"/>
        <v>46104</v>
      </c>
      <c r="B25" s="53" t="s">
        <v>14</v>
      </c>
      <c r="C25" s="85">
        <v>15.0</v>
      </c>
      <c r="D25" s="86">
        <f>C25*'Giá NhậpXuất'!$C14</f>
        <v>240000</v>
      </c>
      <c r="E25" s="13">
        <f t="shared" si="4"/>
        <v>16000</v>
      </c>
      <c r="F25" s="83"/>
      <c r="G25" s="83"/>
      <c r="I25" s="4" t="s">
        <v>221</v>
      </c>
      <c r="J25" s="4">
        <v>6.0</v>
      </c>
    </row>
    <row r="26">
      <c r="A26" s="87">
        <f t="shared" si="3"/>
        <v>46104</v>
      </c>
      <c r="B26" s="53" t="s">
        <v>15</v>
      </c>
      <c r="C26" s="85">
        <v>170.0</v>
      </c>
      <c r="D26" s="86">
        <f>C26*'Giá NhậpXuất'!$C15</f>
        <v>2210000</v>
      </c>
      <c r="E26" s="13">
        <f t="shared" si="4"/>
        <v>13000</v>
      </c>
      <c r="I26" s="4" t="s">
        <v>222</v>
      </c>
      <c r="J26" s="4">
        <v>4.0</v>
      </c>
    </row>
    <row r="27">
      <c r="C27" s="13">
        <f t="shared" ref="C27:D27" si="5">sum(C15:C26)</f>
        <v>400</v>
      </c>
      <c r="D27" s="6">
        <f t="shared" si="5"/>
        <v>5245000</v>
      </c>
      <c r="I27" s="4" t="s">
        <v>223</v>
      </c>
      <c r="J27" s="4">
        <v>1.0</v>
      </c>
    </row>
    <row r="28">
      <c r="A28" s="88">
        <v>46105.0</v>
      </c>
      <c r="B28" s="13" t="s">
        <v>4</v>
      </c>
      <c r="C28" s="4">
        <v>40.0</v>
      </c>
      <c r="D28" s="89">
        <f>C28*'Giá NhậpXuất'!$C$4</f>
        <v>520000</v>
      </c>
      <c r="E28" s="13">
        <f t="shared" ref="E28:E39" si="6">D28/C28</f>
        <v>13000</v>
      </c>
      <c r="I28" s="4" t="s">
        <v>224</v>
      </c>
      <c r="J28" s="4">
        <v>1.0</v>
      </c>
    </row>
    <row r="29">
      <c r="A29" s="88">
        <v>46105.0</v>
      </c>
      <c r="B29" s="13" t="s">
        <v>5</v>
      </c>
      <c r="C29" s="4">
        <v>25.0</v>
      </c>
      <c r="D29" s="89">
        <f>C29*'Giá NhậpXuất'!$C$5</f>
        <v>325000</v>
      </c>
      <c r="E29" s="13">
        <f t="shared" si="6"/>
        <v>13000</v>
      </c>
      <c r="I29" s="4" t="s">
        <v>225</v>
      </c>
      <c r="J29" s="4">
        <v>3.0</v>
      </c>
    </row>
    <row r="30">
      <c r="A30" s="88">
        <v>46105.0</v>
      </c>
      <c r="B30" s="13" t="s">
        <v>6</v>
      </c>
      <c r="C30" s="4">
        <v>20.0</v>
      </c>
      <c r="D30" s="89">
        <f>C30*'Giá NhậpXuất'!$C$6</f>
        <v>260000</v>
      </c>
      <c r="E30" s="13">
        <f t="shared" si="6"/>
        <v>13000</v>
      </c>
    </row>
    <row r="31">
      <c r="A31" s="88">
        <v>46105.0</v>
      </c>
      <c r="B31" s="13" t="s">
        <v>7</v>
      </c>
      <c r="C31" s="4">
        <v>25.0</v>
      </c>
      <c r="D31" s="89">
        <f>C31*'Giá NhậpXuất'!$C$7</f>
        <v>325000</v>
      </c>
      <c r="E31" s="13">
        <f t="shared" si="6"/>
        <v>13000</v>
      </c>
    </row>
    <row r="32">
      <c r="A32" s="88">
        <v>46105.0</v>
      </c>
      <c r="B32" s="13" t="s">
        <v>8</v>
      </c>
      <c r="C32" s="4">
        <v>32.0</v>
      </c>
      <c r="D32" s="89">
        <f>C32*'Giá NhậpXuất'!$C$8</f>
        <v>416000</v>
      </c>
      <c r="E32" s="13">
        <f t="shared" si="6"/>
        <v>13000</v>
      </c>
    </row>
    <row r="33">
      <c r="A33" s="88">
        <v>46105.0</v>
      </c>
      <c r="B33" s="13" t="s">
        <v>9</v>
      </c>
      <c r="C33" s="4">
        <v>45.0</v>
      </c>
      <c r="D33" s="89">
        <f>C33*'Giá NhậpXuất'!$C$9</f>
        <v>585000</v>
      </c>
      <c r="E33" s="13">
        <f t="shared" si="6"/>
        <v>13000</v>
      </c>
    </row>
    <row r="34">
      <c r="A34" s="88">
        <v>46105.0</v>
      </c>
      <c r="B34" s="13" t="s">
        <v>10</v>
      </c>
      <c r="C34" s="4">
        <v>30.0</v>
      </c>
      <c r="D34" s="89">
        <f>C34*'Giá NhậpXuất'!$C$10</f>
        <v>390000</v>
      </c>
      <c r="E34" s="13">
        <f t="shared" si="6"/>
        <v>13000</v>
      </c>
    </row>
    <row r="35">
      <c r="A35" s="88">
        <v>46105.0</v>
      </c>
      <c r="B35" s="13" t="s">
        <v>11</v>
      </c>
      <c r="C35" s="4">
        <v>12.0</v>
      </c>
      <c r="D35" s="89">
        <f>C35*'Giá NhậpXuất'!$C$11</f>
        <v>156000</v>
      </c>
      <c r="E35" s="13">
        <f t="shared" si="6"/>
        <v>13000</v>
      </c>
    </row>
    <row r="36">
      <c r="A36" s="88">
        <v>46105.0</v>
      </c>
      <c r="B36" s="13" t="s">
        <v>12</v>
      </c>
      <c r="C36" s="4">
        <v>12.0</v>
      </c>
      <c r="D36" s="89">
        <f>C36*'Giá NhậpXuất'!$C$12</f>
        <v>156000</v>
      </c>
      <c r="E36" s="13">
        <f t="shared" si="6"/>
        <v>13000</v>
      </c>
    </row>
    <row r="37">
      <c r="A37" s="88">
        <v>46105.0</v>
      </c>
      <c r="B37" s="13" t="s">
        <v>13</v>
      </c>
      <c r="C37" s="4">
        <v>25.0</v>
      </c>
      <c r="D37" s="89">
        <f>C37*'Giá NhậpXuất'!$C$13</f>
        <v>325000</v>
      </c>
      <c r="E37" s="13">
        <f t="shared" si="6"/>
        <v>13000</v>
      </c>
      <c r="N37" s="4" t="s">
        <v>226</v>
      </c>
      <c r="O37" s="4" t="s">
        <v>93</v>
      </c>
      <c r="P37" s="4"/>
      <c r="Q37" s="4"/>
      <c r="R37" s="4" t="s">
        <v>227</v>
      </c>
      <c r="S37" s="4" t="s">
        <v>89</v>
      </c>
      <c r="T37" s="4" t="s">
        <v>80</v>
      </c>
      <c r="U37" s="4" t="s">
        <v>81</v>
      </c>
      <c r="Z37" s="4"/>
      <c r="AA37" s="4" t="s">
        <v>228</v>
      </c>
      <c r="AB37" s="4" t="s">
        <v>229</v>
      </c>
      <c r="AC37" s="4" t="s">
        <v>89</v>
      </c>
      <c r="AD37" s="4" t="s">
        <v>80</v>
      </c>
    </row>
    <row r="38">
      <c r="A38" s="88">
        <v>46105.0</v>
      </c>
      <c r="B38" s="13" t="s">
        <v>14</v>
      </c>
      <c r="C38" s="4">
        <v>15.0</v>
      </c>
      <c r="D38" s="89">
        <f>C38*'Giá NhậpXuất'!$C$14</f>
        <v>240000</v>
      </c>
      <c r="E38" s="13">
        <f t="shared" si="6"/>
        <v>16000</v>
      </c>
      <c r="L38" s="90" t="s">
        <v>4</v>
      </c>
      <c r="M38" s="91">
        <v>15.0</v>
      </c>
      <c r="N38" s="13">
        <f t="shared" ref="N38:N49" si="7">M38-sum(O38:U38)</f>
        <v>5</v>
      </c>
      <c r="S38" s="4">
        <v>5.0</v>
      </c>
      <c r="U38" s="4">
        <v>5.0</v>
      </c>
      <c r="X38" s="90" t="s">
        <v>4</v>
      </c>
      <c r="Y38" s="13">
        <f t="shared" ref="Y38:Y49" si="8">AA38+AB38</f>
        <v>11</v>
      </c>
      <c r="Z38" s="4"/>
      <c r="AA38" s="4">
        <v>8.0</v>
      </c>
      <c r="AB38" s="13">
        <f>'Nhật ký bán hàng T3'!I734+'Nhật ký bán hàng T3'!I758</f>
        <v>3</v>
      </c>
      <c r="AC38" s="4">
        <v>7.0</v>
      </c>
      <c r="AD38" s="4">
        <v>4.0</v>
      </c>
      <c r="AE38" s="13">
        <f t="shared" ref="AE38:AE49" si="9">Y38-AC38-AD38</f>
        <v>0</v>
      </c>
    </row>
    <row r="39">
      <c r="A39" s="88">
        <v>46105.0</v>
      </c>
      <c r="B39" s="13" t="s">
        <v>15</v>
      </c>
      <c r="C39" s="4">
        <v>220.0</v>
      </c>
      <c r="D39" s="89">
        <f>C39*'Giá NhậpXuất'!$C$15</f>
        <v>2860000</v>
      </c>
      <c r="E39" s="13">
        <f t="shared" si="6"/>
        <v>13000</v>
      </c>
      <c r="L39" s="90" t="s">
        <v>5</v>
      </c>
      <c r="M39" s="91">
        <v>10.0</v>
      </c>
      <c r="N39" s="13">
        <f t="shared" si="7"/>
        <v>2</v>
      </c>
      <c r="S39" s="4">
        <v>4.0</v>
      </c>
      <c r="U39" s="4">
        <v>4.0</v>
      </c>
      <c r="X39" s="90" t="s">
        <v>5</v>
      </c>
      <c r="Y39" s="13">
        <f t="shared" si="8"/>
        <v>2</v>
      </c>
      <c r="Z39" s="4"/>
      <c r="AA39" s="4">
        <v>2.0</v>
      </c>
      <c r="AB39" s="13">
        <f>'Nhật ký bán hàng T3'!I735+'Nhật ký bán hàng T3'!I759</f>
        <v>0</v>
      </c>
      <c r="AC39" s="4">
        <v>1.0</v>
      </c>
      <c r="AD39" s="4">
        <v>1.0</v>
      </c>
      <c r="AE39" s="13">
        <f t="shared" si="9"/>
        <v>0</v>
      </c>
    </row>
    <row r="40">
      <c r="C40" s="13">
        <f t="shared" ref="C40:D40" si="10">sum(C28:C39)</f>
        <v>501</v>
      </c>
      <c r="D40" s="6">
        <f t="shared" si="10"/>
        <v>6558000</v>
      </c>
      <c r="L40" s="90" t="s">
        <v>6</v>
      </c>
      <c r="M40" s="91">
        <v>6.0</v>
      </c>
      <c r="N40" s="13">
        <f t="shared" si="7"/>
        <v>0</v>
      </c>
      <c r="S40" s="4">
        <v>3.0</v>
      </c>
      <c r="U40" s="4">
        <v>3.0</v>
      </c>
      <c r="X40" s="90" t="s">
        <v>6</v>
      </c>
      <c r="Y40" s="13">
        <f t="shared" si="8"/>
        <v>3</v>
      </c>
      <c r="AB40" s="13">
        <f>'Nhật ký bán hàng T3'!I736+'Nhật ký bán hàng T3'!I760</f>
        <v>3</v>
      </c>
      <c r="AC40" s="4">
        <v>1.0</v>
      </c>
      <c r="AD40" s="4">
        <v>2.0</v>
      </c>
      <c r="AE40" s="13">
        <f t="shared" si="9"/>
        <v>0</v>
      </c>
    </row>
    <row r="41">
      <c r="A41" s="92">
        <f>A39+1</f>
        <v>46106</v>
      </c>
      <c r="B41" s="90" t="s">
        <v>4</v>
      </c>
      <c r="C41" s="91">
        <v>20.0</v>
      </c>
      <c r="D41" s="93">
        <f>C41*'Giá NhậpXuất'!$C$4</f>
        <v>260000</v>
      </c>
      <c r="E41" s="13">
        <f t="shared" ref="E41:E52" si="11">D41/C41</f>
        <v>13000</v>
      </c>
      <c r="L41" s="90" t="s">
        <v>7</v>
      </c>
      <c r="M41" s="91">
        <v>5.0</v>
      </c>
      <c r="N41" s="13">
        <f t="shared" si="7"/>
        <v>3</v>
      </c>
      <c r="S41" s="4">
        <v>2.0</v>
      </c>
      <c r="U41" s="4"/>
      <c r="X41" s="90" t="s">
        <v>7</v>
      </c>
      <c r="Y41" s="13">
        <f t="shared" si="8"/>
        <v>3</v>
      </c>
      <c r="AB41" s="13">
        <f>'Nhật ký bán hàng T3'!I737+'Nhật ký bán hàng T3'!I761</f>
        <v>3</v>
      </c>
      <c r="AC41" s="4">
        <v>1.0</v>
      </c>
      <c r="AD41" s="4">
        <v>2.0</v>
      </c>
      <c r="AE41" s="13">
        <f t="shared" si="9"/>
        <v>0</v>
      </c>
    </row>
    <row r="42">
      <c r="A42" s="92">
        <v>46106.0</v>
      </c>
      <c r="B42" s="90" t="s">
        <v>5</v>
      </c>
      <c r="C42" s="91">
        <v>15.0</v>
      </c>
      <c r="D42" s="93">
        <f>C42*'Giá NhậpXuất'!$C$5</f>
        <v>195000</v>
      </c>
      <c r="E42" s="13">
        <f t="shared" si="11"/>
        <v>13000</v>
      </c>
      <c r="L42" s="90" t="s">
        <v>8</v>
      </c>
      <c r="M42" s="91">
        <v>15.0</v>
      </c>
      <c r="N42" s="13">
        <f t="shared" si="7"/>
        <v>5</v>
      </c>
      <c r="S42" s="4">
        <v>5.0</v>
      </c>
      <c r="U42" s="4">
        <v>5.0</v>
      </c>
      <c r="X42" s="90" t="s">
        <v>8</v>
      </c>
      <c r="Y42" s="13">
        <f t="shared" si="8"/>
        <v>2</v>
      </c>
      <c r="AB42" s="13">
        <f>'Nhật ký bán hàng T3'!I738+'Nhật ký bán hàng T3'!I762</f>
        <v>2</v>
      </c>
      <c r="AC42" s="4">
        <v>2.0</v>
      </c>
      <c r="AE42" s="13">
        <f t="shared" si="9"/>
        <v>0</v>
      </c>
    </row>
    <row r="43">
      <c r="A43" s="92">
        <v>46106.0</v>
      </c>
      <c r="B43" s="90" t="s">
        <v>6</v>
      </c>
      <c r="C43" s="91">
        <v>10.0</v>
      </c>
      <c r="D43" s="93">
        <f>C43*'Giá NhậpXuất'!$C$6</f>
        <v>130000</v>
      </c>
      <c r="E43" s="13">
        <f t="shared" si="11"/>
        <v>13000</v>
      </c>
      <c r="L43" s="90" t="s">
        <v>9</v>
      </c>
      <c r="M43" s="91">
        <v>15.0</v>
      </c>
      <c r="N43" s="13">
        <f t="shared" si="7"/>
        <v>3</v>
      </c>
      <c r="S43" s="4">
        <v>5.0</v>
      </c>
      <c r="U43" s="4">
        <v>7.0</v>
      </c>
      <c r="X43" s="90" t="s">
        <v>9</v>
      </c>
      <c r="Y43" s="13">
        <f t="shared" si="8"/>
        <v>4</v>
      </c>
      <c r="Z43" s="4"/>
      <c r="AA43" s="4">
        <v>1.0</v>
      </c>
      <c r="AB43" s="13">
        <f>'Nhật ký bán hàng T3'!I739+'Nhật ký bán hàng T3'!I763</f>
        <v>3</v>
      </c>
      <c r="AC43" s="4">
        <v>2.0</v>
      </c>
      <c r="AD43" s="4">
        <v>2.0</v>
      </c>
      <c r="AE43" s="13">
        <f t="shared" si="9"/>
        <v>0</v>
      </c>
    </row>
    <row r="44">
      <c r="A44" s="92">
        <v>46106.0</v>
      </c>
      <c r="B44" s="90" t="s">
        <v>7</v>
      </c>
      <c r="C44" s="91">
        <v>15.0</v>
      </c>
      <c r="D44" s="93">
        <f>C44*'Giá NhậpXuất'!$C$7</f>
        <v>195000</v>
      </c>
      <c r="E44" s="13">
        <f t="shared" si="11"/>
        <v>13000</v>
      </c>
      <c r="L44" s="90" t="s">
        <v>10</v>
      </c>
      <c r="M44" s="91">
        <v>6.0</v>
      </c>
      <c r="N44" s="13">
        <f t="shared" si="7"/>
        <v>0</v>
      </c>
      <c r="S44" s="4">
        <v>3.0</v>
      </c>
      <c r="U44" s="4">
        <v>3.0</v>
      </c>
      <c r="X44" s="90" t="s">
        <v>10</v>
      </c>
      <c r="Y44" s="13">
        <f t="shared" si="8"/>
        <v>0</v>
      </c>
      <c r="AB44" s="13">
        <f>'Nhật ký bán hàng T3'!I740+'Nhật ký bán hàng T3'!I764</f>
        <v>0</v>
      </c>
      <c r="AE44" s="13">
        <f t="shared" si="9"/>
        <v>0</v>
      </c>
    </row>
    <row r="45">
      <c r="A45" s="92">
        <v>46106.0</v>
      </c>
      <c r="B45" s="90" t="s">
        <v>8</v>
      </c>
      <c r="C45" s="91">
        <v>25.0</v>
      </c>
      <c r="D45" s="93">
        <f>C45*'Giá NhậpXuất'!$C$8</f>
        <v>325000</v>
      </c>
      <c r="E45" s="13">
        <f t="shared" si="11"/>
        <v>13000</v>
      </c>
      <c r="L45" s="90" t="s">
        <v>11</v>
      </c>
      <c r="M45" s="91">
        <v>5.0</v>
      </c>
      <c r="N45" s="13">
        <f t="shared" si="7"/>
        <v>2</v>
      </c>
      <c r="S45" s="4">
        <v>1.0</v>
      </c>
      <c r="U45" s="4">
        <v>2.0</v>
      </c>
      <c r="X45" s="90" t="s">
        <v>11</v>
      </c>
      <c r="Y45" s="13">
        <f t="shared" si="8"/>
        <v>1</v>
      </c>
      <c r="AB45" s="13">
        <f>'Nhật ký bán hàng T3'!I741+'Nhật ký bán hàng T3'!I765</f>
        <v>1</v>
      </c>
      <c r="AC45" s="4">
        <v>1.0</v>
      </c>
      <c r="AE45" s="13">
        <f t="shared" si="9"/>
        <v>0</v>
      </c>
    </row>
    <row r="46">
      <c r="A46" s="92">
        <v>46106.0</v>
      </c>
      <c r="B46" s="90" t="s">
        <v>9</v>
      </c>
      <c r="C46" s="91">
        <v>20.0</v>
      </c>
      <c r="D46" s="93">
        <f>C46*'Giá NhậpXuất'!$C$9</f>
        <v>260000</v>
      </c>
      <c r="E46" s="13">
        <f t="shared" si="11"/>
        <v>13000</v>
      </c>
      <c r="L46" s="90" t="s">
        <v>12</v>
      </c>
      <c r="M46" s="91">
        <v>6.0</v>
      </c>
      <c r="N46" s="13">
        <f t="shared" si="7"/>
        <v>0</v>
      </c>
      <c r="S46" s="4">
        <v>4.0</v>
      </c>
      <c r="U46" s="4">
        <v>2.0</v>
      </c>
      <c r="X46" s="90" t="s">
        <v>12</v>
      </c>
      <c r="Y46" s="13">
        <f t="shared" si="8"/>
        <v>0</v>
      </c>
      <c r="AB46" s="13">
        <f>'Nhật ký bán hàng T3'!I742+'Nhật ký bán hàng T3'!I766</f>
        <v>0</v>
      </c>
      <c r="AE46" s="13">
        <f t="shared" si="9"/>
        <v>0</v>
      </c>
    </row>
    <row r="47">
      <c r="A47" s="92">
        <v>46106.0</v>
      </c>
      <c r="B47" s="90" t="s">
        <v>10</v>
      </c>
      <c r="C47" s="91">
        <v>20.0</v>
      </c>
      <c r="D47" s="93">
        <f>C47*'Giá NhậpXuất'!$C$10</f>
        <v>260000</v>
      </c>
      <c r="E47" s="13">
        <f t="shared" si="11"/>
        <v>13000</v>
      </c>
      <c r="L47" s="90" t="s">
        <v>13</v>
      </c>
      <c r="M47" s="91">
        <v>12.0</v>
      </c>
      <c r="N47" s="13">
        <f t="shared" si="7"/>
        <v>4</v>
      </c>
      <c r="S47" s="4">
        <v>4.0</v>
      </c>
      <c r="U47" s="4">
        <v>4.0</v>
      </c>
      <c r="X47" s="90" t="s">
        <v>13</v>
      </c>
      <c r="Y47" s="13">
        <f t="shared" si="8"/>
        <v>2</v>
      </c>
      <c r="Z47" s="4"/>
      <c r="AA47" s="4">
        <v>1.0</v>
      </c>
      <c r="AB47" s="13">
        <f>'Nhật ký bán hàng T3'!I743+'Nhật ký bán hàng T3'!I767</f>
        <v>1</v>
      </c>
      <c r="AC47" s="4">
        <v>0.0</v>
      </c>
      <c r="AD47" s="4">
        <v>1.0</v>
      </c>
      <c r="AE47" s="13">
        <f t="shared" si="9"/>
        <v>1</v>
      </c>
    </row>
    <row r="48">
      <c r="A48" s="92">
        <v>46106.0</v>
      </c>
      <c r="B48" s="90" t="s">
        <v>11</v>
      </c>
      <c r="C48" s="91">
        <v>10.0</v>
      </c>
      <c r="D48" s="93">
        <f>C48*'Giá NhậpXuất'!$C$11</f>
        <v>130000</v>
      </c>
      <c r="E48" s="13">
        <f t="shared" si="11"/>
        <v>13000</v>
      </c>
      <c r="L48" s="90" t="s">
        <v>14</v>
      </c>
      <c r="M48" s="91">
        <v>5.0</v>
      </c>
      <c r="N48" s="13">
        <f t="shared" si="7"/>
        <v>1</v>
      </c>
      <c r="S48" s="4">
        <v>2.0</v>
      </c>
      <c r="U48" s="4">
        <v>2.0</v>
      </c>
      <c r="X48" s="90" t="s">
        <v>14</v>
      </c>
      <c r="Y48" s="13">
        <f t="shared" si="8"/>
        <v>7</v>
      </c>
      <c r="Z48" s="4"/>
      <c r="AA48" s="4">
        <v>5.0</v>
      </c>
      <c r="AB48" s="13">
        <f>'Nhật ký bán hàng T3'!I744+'Nhật ký bán hàng T3'!I768</f>
        <v>2</v>
      </c>
      <c r="AC48" s="4">
        <v>3.0</v>
      </c>
      <c r="AD48" s="4">
        <v>3.0</v>
      </c>
      <c r="AE48" s="13">
        <f t="shared" si="9"/>
        <v>1</v>
      </c>
    </row>
    <row r="49">
      <c r="A49" s="92">
        <v>46106.0</v>
      </c>
      <c r="B49" s="90" t="s">
        <v>12</v>
      </c>
      <c r="C49" s="91">
        <v>10.0</v>
      </c>
      <c r="D49" s="93">
        <f>C49*'Giá NhậpXuất'!$C$12</f>
        <v>130000</v>
      </c>
      <c r="E49" s="13">
        <f t="shared" si="11"/>
        <v>13000</v>
      </c>
      <c r="L49" s="90" t="s">
        <v>15</v>
      </c>
      <c r="M49" s="91">
        <v>100.0</v>
      </c>
      <c r="N49" s="13">
        <f t="shared" si="7"/>
        <v>40</v>
      </c>
      <c r="S49" s="4">
        <v>30.0</v>
      </c>
      <c r="U49" s="4">
        <v>30.0</v>
      </c>
      <c r="X49" s="90" t="s">
        <v>15</v>
      </c>
      <c r="Y49" s="13">
        <f t="shared" si="8"/>
        <v>28</v>
      </c>
      <c r="Z49" s="4"/>
      <c r="AA49" s="4">
        <v>3.0</v>
      </c>
      <c r="AB49" s="4">
        <v>25.0</v>
      </c>
      <c r="AC49" s="4">
        <v>15.0</v>
      </c>
      <c r="AD49" s="4">
        <v>13.0</v>
      </c>
      <c r="AE49" s="13">
        <f t="shared" si="9"/>
        <v>0</v>
      </c>
    </row>
    <row r="50">
      <c r="A50" s="92">
        <v>46106.0</v>
      </c>
      <c r="B50" s="90" t="s">
        <v>13</v>
      </c>
      <c r="C50" s="91">
        <v>15.0</v>
      </c>
      <c r="D50" s="93">
        <f>C50*'Giá NhậpXuất'!$C$13</f>
        <v>195000</v>
      </c>
      <c r="E50" s="13">
        <f t="shared" si="11"/>
        <v>13000</v>
      </c>
      <c r="O50" s="13">
        <f>sum(O38:O49)</f>
        <v>0</v>
      </c>
      <c r="R50" s="13">
        <f t="shared" ref="R50:S50" si="12">sum(R38:R49)</f>
        <v>0</v>
      </c>
      <c r="S50" s="13">
        <f t="shared" si="12"/>
        <v>68</v>
      </c>
      <c r="T50" s="13">
        <f>sum(U38:U49)</f>
        <v>67</v>
      </c>
      <c r="U50" s="13" t="str">
        <f>sum(#REF!)</f>
        <v>#REF!</v>
      </c>
      <c r="AC50" s="13">
        <f t="shared" ref="AC50:AD50" si="13">sum(AC38:AC49)</f>
        <v>33</v>
      </c>
      <c r="AD50" s="13">
        <f t="shared" si="13"/>
        <v>28</v>
      </c>
    </row>
    <row r="51">
      <c r="A51" s="92">
        <v>46106.0</v>
      </c>
      <c r="B51" s="90" t="s">
        <v>14</v>
      </c>
      <c r="C51" s="91">
        <v>5.0</v>
      </c>
      <c r="D51" s="93">
        <f>C51*'Giá NhậpXuất'!$C$14</f>
        <v>80000</v>
      </c>
      <c r="E51" s="13">
        <f t="shared" si="11"/>
        <v>16000</v>
      </c>
    </row>
    <row r="52">
      <c r="A52" s="92">
        <v>46106.0</v>
      </c>
      <c r="B52" s="90" t="s">
        <v>15</v>
      </c>
      <c r="C52" s="91">
        <v>150.0</v>
      </c>
      <c r="D52" s="93">
        <f>C52*'Giá NhậpXuất'!$C$15</f>
        <v>1950000</v>
      </c>
      <c r="E52" s="13">
        <f t="shared" si="11"/>
        <v>13000</v>
      </c>
    </row>
    <row r="53">
      <c r="C53" s="13">
        <f t="shared" ref="C53:D53" si="14">sum(C41:C52)</f>
        <v>315</v>
      </c>
      <c r="D53" s="6">
        <f t="shared" si="14"/>
        <v>4110000</v>
      </c>
      <c r="M53" s="4" t="s">
        <v>230</v>
      </c>
      <c r="N53" s="4" t="s">
        <v>93</v>
      </c>
      <c r="O53" s="4" t="s">
        <v>227</v>
      </c>
      <c r="P53" s="4"/>
      <c r="Q53" s="4"/>
      <c r="R53" s="4" t="s">
        <v>89</v>
      </c>
      <c r="S53" s="4" t="s">
        <v>80</v>
      </c>
      <c r="T53" s="4" t="s">
        <v>81</v>
      </c>
      <c r="U53" s="4" t="s">
        <v>226</v>
      </c>
    </row>
    <row r="54">
      <c r="A54" s="94">
        <f>A52+1</f>
        <v>46107</v>
      </c>
      <c r="B54" s="13" t="s">
        <v>4</v>
      </c>
      <c r="C54" s="4">
        <v>35.0</v>
      </c>
      <c r="D54" s="89">
        <f>C54*'Giá NhậpXuất'!$C$4</f>
        <v>455000</v>
      </c>
      <c r="E54" s="13">
        <f t="shared" ref="E54:E65" si="15">D54/C54</f>
        <v>13000</v>
      </c>
      <c r="M54" s="4">
        <v>13.0</v>
      </c>
      <c r="N54" s="4">
        <v>5.0</v>
      </c>
      <c r="O54" s="4">
        <v>7.0</v>
      </c>
      <c r="P54" s="4"/>
      <c r="Q54" s="4"/>
      <c r="R54" s="4">
        <v>15.0</v>
      </c>
      <c r="S54" s="4">
        <v>6.0</v>
      </c>
      <c r="T54" s="4">
        <v>7.0</v>
      </c>
      <c r="U54" s="13">
        <f t="shared" ref="U54:U65" si="16">C54-sum(N54:T54)+M54</f>
        <v>8</v>
      </c>
    </row>
    <row r="55">
      <c r="A55" s="94">
        <v>46107.0</v>
      </c>
      <c r="B55" s="13" t="s">
        <v>5</v>
      </c>
      <c r="C55" s="4">
        <v>25.0</v>
      </c>
      <c r="D55" s="89">
        <f>C55*'Giá NhậpXuất'!$C$5</f>
        <v>325000</v>
      </c>
      <c r="E55" s="13">
        <f t="shared" si="15"/>
        <v>13000</v>
      </c>
      <c r="M55" s="4">
        <v>2.0</v>
      </c>
      <c r="N55" s="4">
        <v>5.0</v>
      </c>
      <c r="O55" s="4">
        <v>5.0</v>
      </c>
      <c r="P55" s="4"/>
      <c r="Q55" s="4"/>
      <c r="R55" s="4">
        <v>8.0</v>
      </c>
      <c r="S55" s="4">
        <v>3.0</v>
      </c>
      <c r="T55" s="4">
        <v>4.0</v>
      </c>
      <c r="U55" s="13">
        <f t="shared" si="16"/>
        <v>2</v>
      </c>
    </row>
    <row r="56">
      <c r="A56" s="94">
        <v>46107.0</v>
      </c>
      <c r="B56" s="13" t="s">
        <v>6</v>
      </c>
      <c r="C56" s="13">
        <f t="shared" ref="C56:C57" si="17">sum(N56:T56)</f>
        <v>16</v>
      </c>
      <c r="D56" s="89">
        <f>C56*'Giá NhậpXuất'!$C$6</f>
        <v>208000</v>
      </c>
      <c r="E56" s="13">
        <f t="shared" si="15"/>
        <v>13000</v>
      </c>
      <c r="N56" s="4">
        <v>3.0</v>
      </c>
      <c r="O56" s="4">
        <v>3.0</v>
      </c>
      <c r="P56" s="4"/>
      <c r="Q56" s="4"/>
      <c r="R56" s="4">
        <v>4.0</v>
      </c>
      <c r="S56" s="4">
        <v>3.0</v>
      </c>
      <c r="T56" s="4">
        <v>3.0</v>
      </c>
      <c r="U56" s="13">
        <f t="shared" si="16"/>
        <v>0</v>
      </c>
    </row>
    <row r="57">
      <c r="A57" s="94">
        <v>46107.0</v>
      </c>
      <c r="B57" s="13" t="s">
        <v>7</v>
      </c>
      <c r="C57" s="13">
        <f t="shared" si="17"/>
        <v>15</v>
      </c>
      <c r="D57" s="89">
        <f>C57*'Giá NhậpXuất'!$C$7</f>
        <v>195000</v>
      </c>
      <c r="E57" s="13">
        <f t="shared" si="15"/>
        <v>13000</v>
      </c>
      <c r="M57" s="4">
        <v>3.0</v>
      </c>
      <c r="N57" s="4">
        <v>2.0</v>
      </c>
      <c r="O57" s="4">
        <v>3.0</v>
      </c>
      <c r="P57" s="4"/>
      <c r="Q57" s="4"/>
      <c r="R57" s="4">
        <v>4.0</v>
      </c>
      <c r="S57" s="4">
        <v>3.0</v>
      </c>
      <c r="T57" s="4">
        <v>3.0</v>
      </c>
      <c r="U57" s="13">
        <f t="shared" si="16"/>
        <v>3</v>
      </c>
    </row>
    <row r="58">
      <c r="A58" s="94">
        <v>46107.0</v>
      </c>
      <c r="B58" s="13" t="s">
        <v>8</v>
      </c>
      <c r="C58" s="4">
        <v>30.0</v>
      </c>
      <c r="D58" s="89">
        <f>C58*'Giá NhậpXuất'!$C$8</f>
        <v>390000</v>
      </c>
      <c r="E58" s="13">
        <f t="shared" si="15"/>
        <v>13000</v>
      </c>
      <c r="N58" s="4">
        <v>5.0</v>
      </c>
      <c r="O58" s="4">
        <v>5.0</v>
      </c>
      <c r="P58" s="4"/>
      <c r="Q58" s="4"/>
      <c r="R58" s="4">
        <v>9.0</v>
      </c>
      <c r="S58" s="4">
        <v>5.0</v>
      </c>
      <c r="T58" s="4">
        <v>5.0</v>
      </c>
      <c r="U58" s="13">
        <f t="shared" si="16"/>
        <v>1</v>
      </c>
    </row>
    <row r="59">
      <c r="A59" s="94">
        <v>46107.0</v>
      </c>
      <c r="B59" s="13" t="s">
        <v>9</v>
      </c>
      <c r="C59" s="4">
        <v>30.0</v>
      </c>
      <c r="D59" s="89">
        <f>C59*'Giá NhậpXuất'!$C$9</f>
        <v>390000</v>
      </c>
      <c r="E59" s="13">
        <f t="shared" si="15"/>
        <v>13000</v>
      </c>
      <c r="M59" s="4">
        <v>3.0</v>
      </c>
      <c r="N59" s="4">
        <v>5.0</v>
      </c>
      <c r="O59" s="4">
        <v>5.0</v>
      </c>
      <c r="P59" s="4"/>
      <c r="Q59" s="4"/>
      <c r="R59" s="4">
        <v>10.0</v>
      </c>
      <c r="S59" s="4">
        <v>6.0</v>
      </c>
      <c r="T59" s="4">
        <v>5.0</v>
      </c>
      <c r="U59" s="13">
        <f t="shared" si="16"/>
        <v>2</v>
      </c>
    </row>
    <row r="60">
      <c r="A60" s="94">
        <v>46107.0</v>
      </c>
      <c r="B60" s="13" t="s">
        <v>10</v>
      </c>
      <c r="C60" s="13">
        <f t="shared" ref="C60:C61" si="18">sum(N60:T60)</f>
        <v>15</v>
      </c>
      <c r="D60" s="89">
        <f>C60*'Giá NhậpXuất'!$C$10</f>
        <v>195000</v>
      </c>
      <c r="E60" s="13">
        <f t="shared" si="15"/>
        <v>13000</v>
      </c>
      <c r="N60" s="4">
        <v>2.0</v>
      </c>
      <c r="O60" s="4">
        <v>2.0</v>
      </c>
      <c r="P60" s="4"/>
      <c r="Q60" s="4"/>
      <c r="R60" s="4">
        <v>5.0</v>
      </c>
      <c r="S60" s="4">
        <v>2.0</v>
      </c>
      <c r="T60" s="4">
        <v>4.0</v>
      </c>
      <c r="U60" s="13">
        <f t="shared" si="16"/>
        <v>0</v>
      </c>
    </row>
    <row r="61">
      <c r="A61" s="94">
        <v>46107.0</v>
      </c>
      <c r="B61" s="13" t="s">
        <v>11</v>
      </c>
      <c r="C61" s="13">
        <f t="shared" si="18"/>
        <v>12</v>
      </c>
      <c r="D61" s="89">
        <f>C61*'Giá NhậpXuất'!$C$11</f>
        <v>156000</v>
      </c>
      <c r="E61" s="13">
        <f t="shared" si="15"/>
        <v>13000</v>
      </c>
      <c r="N61" s="4">
        <v>2.0</v>
      </c>
      <c r="O61" s="4">
        <v>1.0</v>
      </c>
      <c r="P61" s="4"/>
      <c r="Q61" s="4"/>
      <c r="R61" s="4">
        <v>5.0</v>
      </c>
      <c r="S61" s="4">
        <v>2.0</v>
      </c>
      <c r="T61" s="4">
        <v>2.0</v>
      </c>
      <c r="U61" s="13">
        <f t="shared" si="16"/>
        <v>0</v>
      </c>
    </row>
    <row r="62">
      <c r="A62" s="94">
        <v>46107.0</v>
      </c>
      <c r="B62" s="13" t="s">
        <v>12</v>
      </c>
      <c r="C62" s="4">
        <v>15.0</v>
      </c>
      <c r="D62" s="89">
        <f>C62*'Giá NhậpXuất'!$C$12</f>
        <v>195000</v>
      </c>
      <c r="E62" s="13">
        <f t="shared" si="15"/>
        <v>13000</v>
      </c>
      <c r="N62" s="4">
        <v>2.0</v>
      </c>
      <c r="O62" s="4">
        <v>2.0</v>
      </c>
      <c r="P62" s="4"/>
      <c r="Q62" s="4"/>
      <c r="R62" s="4">
        <v>5.0</v>
      </c>
      <c r="S62" s="4">
        <v>2.0</v>
      </c>
      <c r="T62" s="4">
        <v>4.0</v>
      </c>
      <c r="U62" s="13">
        <f t="shared" si="16"/>
        <v>0</v>
      </c>
    </row>
    <row r="63">
      <c r="A63" s="94">
        <v>46107.0</v>
      </c>
      <c r="B63" s="13" t="s">
        <v>13</v>
      </c>
      <c r="C63" s="4">
        <v>20.0</v>
      </c>
      <c r="D63" s="89">
        <f>C63*'Giá NhậpXuất'!$C$13</f>
        <v>260000</v>
      </c>
      <c r="E63" s="13">
        <f t="shared" si="15"/>
        <v>13000</v>
      </c>
      <c r="N63" s="4">
        <v>4.0</v>
      </c>
      <c r="O63" s="4">
        <v>4.0</v>
      </c>
      <c r="P63" s="4"/>
      <c r="Q63" s="4"/>
      <c r="R63" s="4">
        <v>5.0</v>
      </c>
      <c r="S63" s="4">
        <v>2.0</v>
      </c>
      <c r="T63" s="4">
        <v>3.0</v>
      </c>
      <c r="U63" s="13">
        <f t="shared" si="16"/>
        <v>2</v>
      </c>
    </row>
    <row r="64">
      <c r="A64" s="94">
        <v>46107.0</v>
      </c>
      <c r="B64" s="13" t="s">
        <v>14</v>
      </c>
      <c r="C64" s="4">
        <v>15.0</v>
      </c>
      <c r="D64" s="89">
        <f>C64*'Giá NhậpXuất'!$C$14</f>
        <v>240000</v>
      </c>
      <c r="E64" s="13">
        <f t="shared" si="15"/>
        <v>16000</v>
      </c>
      <c r="M64" s="4">
        <v>6.0</v>
      </c>
      <c r="N64" s="4">
        <v>3.0</v>
      </c>
      <c r="O64" s="4">
        <v>3.0</v>
      </c>
      <c r="P64" s="4"/>
      <c r="Q64" s="4"/>
      <c r="R64" s="4">
        <v>5.0</v>
      </c>
      <c r="S64" s="4">
        <v>3.0</v>
      </c>
      <c r="T64" s="4">
        <v>2.0</v>
      </c>
      <c r="U64" s="13">
        <f t="shared" si="16"/>
        <v>5</v>
      </c>
    </row>
    <row r="65">
      <c r="A65" s="94">
        <v>46107.0</v>
      </c>
      <c r="B65" s="13" t="s">
        <v>15</v>
      </c>
      <c r="C65" s="4">
        <v>170.0</v>
      </c>
      <c r="D65" s="89">
        <f>C65*'Giá NhậpXuất'!$C$15</f>
        <v>2210000</v>
      </c>
      <c r="E65" s="13">
        <f t="shared" si="15"/>
        <v>13000</v>
      </c>
      <c r="M65" s="4">
        <v>1.0</v>
      </c>
      <c r="N65" s="4">
        <v>30.0</v>
      </c>
      <c r="O65" s="4">
        <v>30.0</v>
      </c>
      <c r="P65" s="4"/>
      <c r="Q65" s="4"/>
      <c r="R65" s="4">
        <v>46.0</v>
      </c>
      <c r="S65" s="4">
        <v>30.0</v>
      </c>
      <c r="T65" s="4">
        <v>31.0</v>
      </c>
      <c r="U65" s="13">
        <f t="shared" si="16"/>
        <v>4</v>
      </c>
    </row>
    <row r="66">
      <c r="C66" s="13">
        <f t="shared" ref="C66:D66" si="19">sum(C54:C65)</f>
        <v>398</v>
      </c>
      <c r="D66" s="6">
        <f t="shared" si="19"/>
        <v>5219000</v>
      </c>
      <c r="N66" s="13">
        <f t="shared" ref="N66:O66" si="20">sum(N54:N65)</f>
        <v>68</v>
      </c>
      <c r="O66" s="13">
        <f t="shared" si="20"/>
        <v>70</v>
      </c>
      <c r="R66" s="13">
        <f t="shared" ref="R66:T66" si="21">sum(R54:R65)</f>
        <v>121</v>
      </c>
      <c r="S66" s="13">
        <f t="shared" si="21"/>
        <v>67</v>
      </c>
      <c r="T66" s="13">
        <f t="shared" si="21"/>
        <v>73</v>
      </c>
    </row>
    <row r="67">
      <c r="A67" s="4" t="s">
        <v>16</v>
      </c>
      <c r="D67" s="6"/>
    </row>
    <row r="68">
      <c r="A68" s="53"/>
      <c r="B68" s="53"/>
      <c r="C68" s="53"/>
      <c r="D68" s="86"/>
      <c r="E68" s="53"/>
      <c r="F68" s="53"/>
      <c r="G68" s="53"/>
      <c r="H68" s="2" t="s">
        <v>226</v>
      </c>
      <c r="I68" s="95" t="s">
        <v>113</v>
      </c>
      <c r="N68" s="19"/>
      <c r="O68" s="62" t="s">
        <v>114</v>
      </c>
    </row>
    <row r="69">
      <c r="D69" s="6"/>
      <c r="F69" s="4"/>
      <c r="G69" s="4" t="s">
        <v>2</v>
      </c>
      <c r="I69" s="4" t="s">
        <v>93</v>
      </c>
      <c r="J69" s="4" t="s">
        <v>227</v>
      </c>
      <c r="K69" s="4" t="s">
        <v>89</v>
      </c>
      <c r="L69" s="4" t="s">
        <v>80</v>
      </c>
      <c r="M69" s="4" t="s">
        <v>81</v>
      </c>
      <c r="O69" s="4" t="s">
        <v>93</v>
      </c>
      <c r="P69" s="4"/>
      <c r="Q69" s="4"/>
      <c r="R69" s="4" t="s">
        <v>227</v>
      </c>
      <c r="S69" s="4" t="s">
        <v>89</v>
      </c>
      <c r="T69" s="4" t="s">
        <v>80</v>
      </c>
      <c r="U69" s="4" t="s">
        <v>81</v>
      </c>
      <c r="V69" s="4" t="s">
        <v>231</v>
      </c>
    </row>
    <row r="70">
      <c r="A70" s="11">
        <v>46110.0</v>
      </c>
      <c r="B70" s="13" t="s">
        <v>4</v>
      </c>
      <c r="C70" s="4">
        <v>15.0</v>
      </c>
      <c r="D70" s="89">
        <f>C70*'Giá NhậpXuất'!$C$4</f>
        <v>195000</v>
      </c>
      <c r="E70" s="13">
        <f t="shared" ref="E70:E81" si="22">D70/C70</f>
        <v>13000</v>
      </c>
      <c r="H70" s="13">
        <f t="shared" ref="H70:H81" si="23">C70-I70-J70-K70-L70-M70+G70-O70-R70-S70-T70-U70+V70</f>
        <v>9</v>
      </c>
      <c r="P70" s="4"/>
      <c r="Q70" s="4"/>
      <c r="R70" s="4">
        <v>4.0</v>
      </c>
      <c r="S70" s="4">
        <v>4.0</v>
      </c>
      <c r="V70" s="4">
        <v>2.0</v>
      </c>
    </row>
    <row r="71">
      <c r="A71" s="11">
        <v>46110.0</v>
      </c>
      <c r="B71" s="13" t="s">
        <v>5</v>
      </c>
      <c r="C71" s="4">
        <v>10.0</v>
      </c>
      <c r="D71" s="89">
        <f>C71*'Giá NhậpXuất'!$C$5</f>
        <v>130000</v>
      </c>
      <c r="E71" s="13">
        <f t="shared" si="22"/>
        <v>13000</v>
      </c>
      <c r="H71" s="13">
        <f t="shared" si="23"/>
        <v>8</v>
      </c>
      <c r="S71" s="4">
        <v>2.0</v>
      </c>
    </row>
    <row r="72">
      <c r="A72" s="11">
        <v>46110.0</v>
      </c>
      <c r="B72" s="13" t="s">
        <v>6</v>
      </c>
      <c r="C72" s="4">
        <v>6.0</v>
      </c>
      <c r="D72" s="89">
        <f>C72*'Giá NhậpXuất'!$C$6</f>
        <v>78000</v>
      </c>
      <c r="E72" s="13">
        <f t="shared" si="22"/>
        <v>13000</v>
      </c>
      <c r="H72" s="13">
        <f t="shared" si="23"/>
        <v>3</v>
      </c>
      <c r="P72" s="4"/>
      <c r="Q72" s="4"/>
      <c r="R72" s="4">
        <v>1.0</v>
      </c>
      <c r="S72" s="4">
        <v>2.0</v>
      </c>
    </row>
    <row r="73">
      <c r="A73" s="11">
        <v>46110.0</v>
      </c>
      <c r="B73" s="13" t="s">
        <v>7</v>
      </c>
      <c r="C73" s="4">
        <v>5.0</v>
      </c>
      <c r="D73" s="89">
        <f>C73*'Giá NhậpXuất'!$C$7</f>
        <v>65000</v>
      </c>
      <c r="E73" s="13">
        <f t="shared" si="22"/>
        <v>13000</v>
      </c>
      <c r="F73" s="4"/>
      <c r="G73" s="4">
        <v>3.0</v>
      </c>
      <c r="H73" s="13">
        <f t="shared" si="23"/>
        <v>5</v>
      </c>
      <c r="P73" s="4"/>
      <c r="Q73" s="4"/>
      <c r="R73" s="4">
        <v>2.0</v>
      </c>
      <c r="S73" s="4">
        <v>2.0</v>
      </c>
      <c r="V73" s="4">
        <v>1.0</v>
      </c>
    </row>
    <row r="74">
      <c r="A74" s="11">
        <v>46110.0</v>
      </c>
      <c r="B74" s="13" t="s">
        <v>8</v>
      </c>
      <c r="C74" s="4">
        <v>15.0</v>
      </c>
      <c r="D74" s="89">
        <f>C74*'Giá NhậpXuất'!$C$8</f>
        <v>195000</v>
      </c>
      <c r="E74" s="13">
        <f t="shared" si="22"/>
        <v>13000</v>
      </c>
      <c r="H74" s="13">
        <f t="shared" si="23"/>
        <v>8</v>
      </c>
      <c r="P74" s="4"/>
      <c r="Q74" s="4"/>
      <c r="R74" s="4">
        <v>3.0</v>
      </c>
      <c r="S74" s="59">
        <v>4.0</v>
      </c>
    </row>
    <row r="75">
      <c r="A75" s="11">
        <v>46110.0</v>
      </c>
      <c r="B75" s="13" t="s">
        <v>9</v>
      </c>
      <c r="C75" s="4">
        <v>15.0</v>
      </c>
      <c r="D75" s="89">
        <f>C75*'Giá NhậpXuất'!$C$9</f>
        <v>195000</v>
      </c>
      <c r="E75" s="13">
        <f t="shared" si="22"/>
        <v>13000</v>
      </c>
      <c r="H75" s="13">
        <f t="shared" si="23"/>
        <v>10</v>
      </c>
      <c r="P75" s="4"/>
      <c r="Q75" s="4"/>
      <c r="R75" s="4">
        <v>3.0</v>
      </c>
      <c r="S75" s="4">
        <v>4.0</v>
      </c>
      <c r="V75" s="4">
        <v>2.0</v>
      </c>
    </row>
    <row r="76">
      <c r="A76" s="11">
        <v>46110.0</v>
      </c>
      <c r="B76" s="13" t="s">
        <v>10</v>
      </c>
      <c r="C76" s="4">
        <v>6.0</v>
      </c>
      <c r="D76" s="89">
        <f>C76*'Giá NhậpXuất'!$C$10</f>
        <v>78000</v>
      </c>
      <c r="E76" s="13">
        <f t="shared" si="22"/>
        <v>13000</v>
      </c>
      <c r="F76" s="4"/>
      <c r="G76" s="4">
        <v>3.0</v>
      </c>
      <c r="H76" s="13">
        <f t="shared" si="23"/>
        <v>5</v>
      </c>
      <c r="P76" s="4"/>
      <c r="Q76" s="4"/>
      <c r="R76" s="4">
        <v>2.0</v>
      </c>
      <c r="S76" s="4">
        <v>2.0</v>
      </c>
    </row>
    <row r="77">
      <c r="A77" s="11">
        <v>46110.0</v>
      </c>
      <c r="B77" s="13" t="s">
        <v>11</v>
      </c>
      <c r="C77" s="4">
        <v>5.0</v>
      </c>
      <c r="D77" s="89">
        <f>C77*'Giá NhậpXuất'!$C$11</f>
        <v>65000</v>
      </c>
      <c r="E77" s="13">
        <f t="shared" si="22"/>
        <v>13000</v>
      </c>
      <c r="H77" s="13">
        <f t="shared" si="23"/>
        <v>5</v>
      </c>
    </row>
    <row r="78">
      <c r="A78" s="11">
        <v>46110.0</v>
      </c>
      <c r="B78" s="13" t="s">
        <v>12</v>
      </c>
      <c r="C78" s="4">
        <v>6.0</v>
      </c>
      <c r="D78" s="89">
        <f>C78*'Giá NhậpXuất'!$C$12</f>
        <v>78000</v>
      </c>
      <c r="E78" s="13">
        <f t="shared" si="22"/>
        <v>13000</v>
      </c>
      <c r="H78" s="13">
        <f t="shared" si="23"/>
        <v>4</v>
      </c>
      <c r="P78" s="4"/>
      <c r="Q78" s="4"/>
      <c r="R78" s="4">
        <v>2.0</v>
      </c>
      <c r="S78" s="4">
        <v>2.0</v>
      </c>
      <c r="V78" s="4">
        <v>2.0</v>
      </c>
    </row>
    <row r="79">
      <c r="A79" s="11">
        <v>46110.0</v>
      </c>
      <c r="B79" s="13" t="s">
        <v>13</v>
      </c>
      <c r="C79" s="4">
        <v>12.0</v>
      </c>
      <c r="D79" s="89">
        <f>C79*'Giá NhậpXuất'!$C$13</f>
        <v>156000</v>
      </c>
      <c r="E79" s="13">
        <f t="shared" si="22"/>
        <v>13000</v>
      </c>
      <c r="H79" s="13">
        <f t="shared" si="23"/>
        <v>8</v>
      </c>
      <c r="P79" s="4"/>
      <c r="Q79" s="4"/>
      <c r="R79" s="4">
        <v>3.0</v>
      </c>
      <c r="S79" s="4">
        <v>3.0</v>
      </c>
      <c r="V79" s="4">
        <v>2.0</v>
      </c>
    </row>
    <row r="80">
      <c r="A80" s="11">
        <v>46110.0</v>
      </c>
      <c r="B80" s="13" t="s">
        <v>14</v>
      </c>
      <c r="C80" s="4">
        <v>5.0</v>
      </c>
      <c r="D80" s="89">
        <f>C80*'Giá NhậpXuất'!$C$14</f>
        <v>80000</v>
      </c>
      <c r="E80" s="13">
        <f t="shared" si="22"/>
        <v>16000</v>
      </c>
      <c r="H80" s="13">
        <f t="shared" si="23"/>
        <v>3</v>
      </c>
      <c r="S80" s="4">
        <v>2.0</v>
      </c>
    </row>
    <row r="81">
      <c r="A81" s="11">
        <v>46110.0</v>
      </c>
      <c r="B81" s="13" t="s">
        <v>15</v>
      </c>
      <c r="C81" s="4">
        <v>100.0</v>
      </c>
      <c r="D81" s="89">
        <f>C81*'Giá NhậpXuất'!$C$15</f>
        <v>1300000</v>
      </c>
      <c r="E81" s="13">
        <f t="shared" si="22"/>
        <v>13000</v>
      </c>
      <c r="H81" s="13">
        <f t="shared" si="23"/>
        <v>67</v>
      </c>
      <c r="P81" s="4"/>
      <c r="Q81" s="4"/>
      <c r="R81" s="4">
        <v>20.0</v>
      </c>
      <c r="S81" s="4">
        <v>20.0</v>
      </c>
      <c r="V81" s="4">
        <v>7.0</v>
      </c>
    </row>
    <row r="82">
      <c r="C82" s="13">
        <f t="shared" ref="C82:D82" si="24">sum(C70:C81)</f>
        <v>200</v>
      </c>
      <c r="D82" s="6">
        <f t="shared" si="24"/>
        <v>2615000</v>
      </c>
      <c r="H82" s="2" t="s">
        <v>226</v>
      </c>
      <c r="I82" s="95" t="s">
        <v>113</v>
      </c>
      <c r="N82" s="19"/>
      <c r="P82" s="62"/>
      <c r="Q82" s="62"/>
      <c r="R82" s="62" t="s">
        <v>114</v>
      </c>
    </row>
    <row r="83">
      <c r="D83" s="6"/>
      <c r="F83" s="4"/>
      <c r="G83" s="4" t="s">
        <v>2</v>
      </c>
      <c r="I83" s="4" t="s">
        <v>93</v>
      </c>
      <c r="J83" s="4" t="s">
        <v>227</v>
      </c>
      <c r="K83" s="4" t="s">
        <v>89</v>
      </c>
      <c r="L83" s="4" t="s">
        <v>80</v>
      </c>
      <c r="M83" s="4" t="s">
        <v>81</v>
      </c>
      <c r="O83" s="4" t="s">
        <v>232</v>
      </c>
      <c r="P83" s="4"/>
      <c r="Q83" s="4"/>
      <c r="R83" s="4" t="s">
        <v>93</v>
      </c>
      <c r="S83" s="4" t="s">
        <v>227</v>
      </c>
      <c r="T83" s="4" t="s">
        <v>89</v>
      </c>
      <c r="U83" s="4" t="s">
        <v>80</v>
      </c>
      <c r="V83" s="4" t="s">
        <v>81</v>
      </c>
      <c r="Y83" s="4" t="s">
        <v>233</v>
      </c>
      <c r="Z83" s="4"/>
      <c r="AA83" s="4" t="s">
        <v>226</v>
      </c>
      <c r="AB83" s="4" t="s">
        <v>234</v>
      </c>
    </row>
    <row r="84">
      <c r="A84" s="11">
        <v>46111.0</v>
      </c>
      <c r="B84" s="13" t="s">
        <v>4</v>
      </c>
      <c r="C84" s="96">
        <v>60.0</v>
      </c>
      <c r="D84" s="89">
        <f>C84*'Giá NhậpXuất'!$C$4</f>
        <v>780000</v>
      </c>
      <c r="E84" s="13">
        <f t="shared" ref="E84:E95" si="25">D84/C84</f>
        <v>13000</v>
      </c>
      <c r="F84" s="4"/>
      <c r="G84" s="4">
        <v>10.0</v>
      </c>
      <c r="H84" s="13">
        <f t="shared" ref="H84:H89" si="26">C84-I84-J84-K84-L84-M84+G84-R84-S84-T84-U84-V84+H70</f>
        <v>19</v>
      </c>
      <c r="I84" s="4">
        <v>7.0</v>
      </c>
      <c r="J84" s="13">
        <v>5.0</v>
      </c>
      <c r="K84" s="4">
        <v>12.0</v>
      </c>
      <c r="L84" s="4">
        <v>7.0</v>
      </c>
      <c r="M84" s="4">
        <v>7.0</v>
      </c>
      <c r="P84" s="4"/>
      <c r="Q84" s="4"/>
      <c r="R84" s="4">
        <v>4.0</v>
      </c>
      <c r="S84" s="4">
        <v>4.0</v>
      </c>
      <c r="T84" s="4">
        <v>5.0</v>
      </c>
      <c r="U84" s="4">
        <v>4.0</v>
      </c>
      <c r="V84" s="4">
        <v>5.0</v>
      </c>
      <c r="X84" s="90" t="s">
        <v>4</v>
      </c>
      <c r="Y84" s="4">
        <v>20.0</v>
      </c>
      <c r="Z84" s="4"/>
      <c r="AA84" s="4">
        <v>6.0</v>
      </c>
      <c r="AB84" s="13">
        <f t="shared" ref="AB84:AB95" si="27">AA84+Y84</f>
        <v>26</v>
      </c>
    </row>
    <row r="85">
      <c r="A85" s="11">
        <v>46111.0</v>
      </c>
      <c r="B85" s="13" t="s">
        <v>5</v>
      </c>
      <c r="C85" s="96">
        <v>50.0</v>
      </c>
      <c r="D85" s="89">
        <f>C85*'Giá NhậpXuất'!$C$5</f>
        <v>650000</v>
      </c>
      <c r="E85" s="13">
        <f t="shared" si="25"/>
        <v>13000</v>
      </c>
      <c r="H85" s="13">
        <f t="shared" si="26"/>
        <v>15</v>
      </c>
      <c r="I85" s="4">
        <v>5.0</v>
      </c>
      <c r="J85" s="13">
        <v>4.0</v>
      </c>
      <c r="K85" s="4">
        <v>5.0</v>
      </c>
      <c r="L85" s="4">
        <v>5.0</v>
      </c>
      <c r="M85" s="4">
        <v>5.0</v>
      </c>
      <c r="P85" s="4"/>
      <c r="Q85" s="4"/>
      <c r="R85" s="4">
        <v>3.0</v>
      </c>
      <c r="S85" s="4">
        <v>4.0</v>
      </c>
      <c r="T85" s="4">
        <v>5.0</v>
      </c>
      <c r="U85" s="4">
        <v>3.0</v>
      </c>
      <c r="V85" s="4">
        <v>4.0</v>
      </c>
      <c r="X85" s="90" t="s">
        <v>5</v>
      </c>
      <c r="Y85" s="4">
        <v>21.0</v>
      </c>
      <c r="Z85" s="4"/>
      <c r="AA85" s="4">
        <v>8.0</v>
      </c>
      <c r="AB85" s="13">
        <f t="shared" si="27"/>
        <v>29</v>
      </c>
    </row>
    <row r="86">
      <c r="A86" s="11">
        <v>46111.0</v>
      </c>
      <c r="B86" s="13" t="s">
        <v>6</v>
      </c>
      <c r="C86" s="96">
        <v>20.0</v>
      </c>
      <c r="D86" s="89">
        <f>C86*'Giá NhậpXuất'!$C$6</f>
        <v>260000</v>
      </c>
      <c r="E86" s="13">
        <f t="shared" si="25"/>
        <v>13000</v>
      </c>
      <c r="H86" s="13">
        <f t="shared" si="26"/>
        <v>-3</v>
      </c>
      <c r="I86" s="4">
        <v>4.0</v>
      </c>
      <c r="J86" s="13">
        <v>2.0</v>
      </c>
      <c r="K86" s="4">
        <v>5.0</v>
      </c>
      <c r="L86" s="4">
        <v>3.0</v>
      </c>
      <c r="M86" s="4">
        <v>4.0</v>
      </c>
      <c r="P86" s="4"/>
      <c r="Q86" s="4"/>
      <c r="R86" s="4">
        <v>3.0</v>
      </c>
      <c r="T86" s="4">
        <v>3.0</v>
      </c>
      <c r="U86" s="4">
        <v>2.0</v>
      </c>
      <c r="X86" s="90" t="s">
        <v>6</v>
      </c>
      <c r="Y86" s="4">
        <v>3.0</v>
      </c>
      <c r="Z86" s="4"/>
      <c r="AA86" s="4">
        <v>1.0</v>
      </c>
      <c r="AB86" s="13">
        <f t="shared" si="27"/>
        <v>4</v>
      </c>
    </row>
    <row r="87">
      <c r="A87" s="11">
        <v>46111.0</v>
      </c>
      <c r="B87" s="13" t="s">
        <v>7</v>
      </c>
      <c r="C87" s="96">
        <v>15.0</v>
      </c>
      <c r="D87" s="89">
        <f>C87*'Giá NhậpXuất'!$C$7</f>
        <v>195000</v>
      </c>
      <c r="E87" s="13">
        <f t="shared" si="25"/>
        <v>13000</v>
      </c>
      <c r="H87" s="13">
        <f t="shared" si="26"/>
        <v>3</v>
      </c>
      <c r="I87" s="4">
        <v>3.0</v>
      </c>
      <c r="J87" s="13">
        <v>1.0</v>
      </c>
      <c r="K87" s="4">
        <v>5.0</v>
      </c>
      <c r="L87" s="4">
        <v>3.0</v>
      </c>
      <c r="M87" s="4">
        <v>4.0</v>
      </c>
      <c r="T87" s="4">
        <v>1.0</v>
      </c>
      <c r="X87" s="90" t="s">
        <v>7</v>
      </c>
      <c r="AB87" s="13">
        <f t="shared" si="27"/>
        <v>0</v>
      </c>
    </row>
    <row r="88">
      <c r="A88" s="11">
        <v>46111.0</v>
      </c>
      <c r="B88" s="13" t="s">
        <v>8</v>
      </c>
      <c r="C88" s="96">
        <v>60.0</v>
      </c>
      <c r="D88" s="89">
        <f>C88*'Giá NhậpXuất'!$C$8</f>
        <v>780000</v>
      </c>
      <c r="E88" s="13">
        <f t="shared" si="25"/>
        <v>13000</v>
      </c>
      <c r="H88" s="13">
        <f t="shared" si="26"/>
        <v>15</v>
      </c>
      <c r="I88" s="4">
        <v>6.0</v>
      </c>
      <c r="J88" s="13">
        <v>4.0</v>
      </c>
      <c r="K88" s="4">
        <v>12.0</v>
      </c>
      <c r="L88" s="4">
        <v>5.0</v>
      </c>
      <c r="M88" s="4">
        <v>7.0</v>
      </c>
      <c r="P88" s="4"/>
      <c r="Q88" s="4"/>
      <c r="R88" s="4">
        <v>2.0</v>
      </c>
      <c r="S88" s="4">
        <v>4.0</v>
      </c>
      <c r="T88" s="59">
        <v>3.0</v>
      </c>
      <c r="U88" s="4">
        <v>5.0</v>
      </c>
      <c r="V88" s="4">
        <v>5.0</v>
      </c>
      <c r="X88" s="90" t="s">
        <v>8</v>
      </c>
      <c r="Y88" s="4">
        <v>16.0</v>
      </c>
      <c r="AB88" s="13">
        <f t="shared" si="27"/>
        <v>16</v>
      </c>
    </row>
    <row r="89">
      <c r="A89" s="11">
        <v>46111.0</v>
      </c>
      <c r="B89" s="13" t="s">
        <v>9</v>
      </c>
      <c r="C89" s="96">
        <v>70.0</v>
      </c>
      <c r="D89" s="89">
        <f>C89*'Giá NhậpXuất'!$C$9</f>
        <v>910000</v>
      </c>
      <c r="E89" s="13">
        <f t="shared" si="25"/>
        <v>13000</v>
      </c>
      <c r="F89" s="4"/>
      <c r="G89" s="4">
        <v>10.0</v>
      </c>
      <c r="H89" s="13">
        <f t="shared" si="26"/>
        <v>38</v>
      </c>
      <c r="I89" s="4">
        <v>6.0</v>
      </c>
      <c r="J89" s="13">
        <v>4.0</v>
      </c>
      <c r="K89" s="4">
        <v>12.0</v>
      </c>
      <c r="L89" s="4">
        <v>5.0</v>
      </c>
      <c r="M89" s="4">
        <v>7.0</v>
      </c>
      <c r="P89" s="4"/>
      <c r="Q89" s="4"/>
      <c r="R89" s="4">
        <v>3.0</v>
      </c>
      <c r="T89" s="4">
        <v>5.0</v>
      </c>
      <c r="U89" s="4">
        <v>5.0</v>
      </c>
      <c r="V89" s="4">
        <v>5.0</v>
      </c>
      <c r="X89" s="90" t="s">
        <v>9</v>
      </c>
      <c r="Y89" s="4">
        <v>41.0</v>
      </c>
      <c r="AB89" s="13">
        <f t="shared" si="27"/>
        <v>41</v>
      </c>
    </row>
    <row r="90">
      <c r="A90" s="11">
        <v>46111.0</v>
      </c>
      <c r="B90" s="13" t="s">
        <v>10</v>
      </c>
      <c r="C90" s="96">
        <v>15.0</v>
      </c>
      <c r="D90" s="89">
        <f>C90*'Giá NhậpXuất'!$C$10</f>
        <v>195000</v>
      </c>
      <c r="E90" s="13">
        <f t="shared" si="25"/>
        <v>13000</v>
      </c>
      <c r="H90" s="13">
        <f>C90-I90-J90-K90-L90-M90+G90-R90-S90-T90-U89-V90+H76</f>
        <v>-8</v>
      </c>
      <c r="I90" s="4">
        <v>3.0</v>
      </c>
      <c r="J90" s="13">
        <v>2.0</v>
      </c>
      <c r="K90" s="4">
        <v>5.0</v>
      </c>
      <c r="L90" s="4">
        <v>3.0</v>
      </c>
      <c r="M90" s="4">
        <v>4.0</v>
      </c>
      <c r="S90" s="4">
        <v>4.0</v>
      </c>
      <c r="V90" s="4">
        <v>2.0</v>
      </c>
      <c r="X90" s="90" t="s">
        <v>10</v>
      </c>
      <c r="Y90" s="4">
        <v>1.0</v>
      </c>
      <c r="AB90" s="13">
        <f t="shared" si="27"/>
        <v>1</v>
      </c>
    </row>
    <row r="91">
      <c r="A91" s="11">
        <v>46111.0</v>
      </c>
      <c r="B91" s="13" t="s">
        <v>11</v>
      </c>
      <c r="C91" s="96">
        <v>15.0</v>
      </c>
      <c r="D91" s="89">
        <f>C91*'Giá NhậpXuất'!$C$11</f>
        <v>195000</v>
      </c>
      <c r="E91" s="13">
        <f t="shared" si="25"/>
        <v>13000</v>
      </c>
      <c r="H91" s="13">
        <f t="shared" ref="H91:H95" si="28">C91-I91-J91-K91-L91-M91+G91-R91-S91-T91-U91-V91+H77</f>
        <v>4</v>
      </c>
      <c r="I91" s="4">
        <v>3.0</v>
      </c>
      <c r="J91" s="13">
        <v>0.0</v>
      </c>
      <c r="K91" s="4">
        <v>5.0</v>
      </c>
      <c r="L91" s="4">
        <v>3.0</v>
      </c>
      <c r="M91" s="4">
        <v>3.0</v>
      </c>
      <c r="P91" s="4"/>
      <c r="Q91" s="4"/>
      <c r="R91" s="4">
        <v>1.0</v>
      </c>
      <c r="U91" s="4">
        <v>1.0</v>
      </c>
      <c r="X91" s="90" t="s">
        <v>11</v>
      </c>
      <c r="Y91" s="4">
        <v>1.0</v>
      </c>
      <c r="AB91" s="13">
        <f t="shared" si="27"/>
        <v>1</v>
      </c>
    </row>
    <row r="92">
      <c r="A92" s="11">
        <v>46111.0</v>
      </c>
      <c r="B92" s="13" t="s">
        <v>12</v>
      </c>
      <c r="C92" s="96">
        <v>15.0</v>
      </c>
      <c r="D92" s="89">
        <f>C92*'Giá NhậpXuất'!$C$12</f>
        <v>195000</v>
      </c>
      <c r="E92" s="13">
        <f t="shared" si="25"/>
        <v>13000</v>
      </c>
      <c r="H92" s="13">
        <f t="shared" si="28"/>
        <v>-3</v>
      </c>
      <c r="I92" s="4">
        <v>3.0</v>
      </c>
      <c r="J92" s="13">
        <v>4.0</v>
      </c>
      <c r="K92" s="4">
        <v>5.0</v>
      </c>
      <c r="L92" s="4">
        <v>2.0</v>
      </c>
      <c r="M92" s="4">
        <v>3.0</v>
      </c>
      <c r="P92" s="4"/>
      <c r="Q92" s="4"/>
      <c r="R92" s="4">
        <v>2.0</v>
      </c>
      <c r="T92" s="4">
        <v>2.0</v>
      </c>
      <c r="U92" s="4">
        <v>1.0</v>
      </c>
      <c r="X92" s="90" t="s">
        <v>12</v>
      </c>
      <c r="Y92" s="4">
        <v>2.0</v>
      </c>
      <c r="Z92" s="4"/>
      <c r="AA92" s="4">
        <v>2.0</v>
      </c>
      <c r="AB92" s="13">
        <f t="shared" si="27"/>
        <v>4</v>
      </c>
    </row>
    <row r="93">
      <c r="A93" s="11">
        <v>46111.0</v>
      </c>
      <c r="B93" s="13" t="s">
        <v>13</v>
      </c>
      <c r="C93" s="96">
        <v>20.0</v>
      </c>
      <c r="D93" s="89">
        <f>C93*'Giá NhậpXuất'!$C$13</f>
        <v>260000</v>
      </c>
      <c r="E93" s="13">
        <f t="shared" si="25"/>
        <v>13000</v>
      </c>
      <c r="H93" s="13">
        <f t="shared" si="28"/>
        <v>4</v>
      </c>
      <c r="I93" s="4">
        <v>4.0</v>
      </c>
      <c r="J93" s="13">
        <v>4.0</v>
      </c>
      <c r="K93" s="4">
        <v>5.0</v>
      </c>
      <c r="L93" s="4">
        <v>4.0</v>
      </c>
      <c r="M93" s="4">
        <v>5.0</v>
      </c>
      <c r="T93" s="4">
        <v>2.0</v>
      </c>
      <c r="X93" s="90" t="s">
        <v>13</v>
      </c>
      <c r="Y93" s="4">
        <v>3.0</v>
      </c>
      <c r="AB93" s="13">
        <f t="shared" si="27"/>
        <v>3</v>
      </c>
    </row>
    <row r="94">
      <c r="A94" s="11">
        <v>46111.0</v>
      </c>
      <c r="B94" s="13" t="s">
        <v>14</v>
      </c>
      <c r="C94" s="96">
        <v>15.0</v>
      </c>
      <c r="D94" s="89">
        <f>C94*'Giá NhậpXuất'!$C$14</f>
        <v>240000</v>
      </c>
      <c r="E94" s="13">
        <f t="shared" si="25"/>
        <v>16000</v>
      </c>
      <c r="H94" s="13">
        <f t="shared" si="28"/>
        <v>4</v>
      </c>
      <c r="I94" s="4">
        <v>2.0</v>
      </c>
      <c r="J94" s="13">
        <v>2.0</v>
      </c>
      <c r="K94" s="4">
        <v>5.0</v>
      </c>
      <c r="L94" s="4">
        <v>2.0</v>
      </c>
      <c r="M94" s="4">
        <v>3.0</v>
      </c>
      <c r="X94" s="90" t="s">
        <v>14</v>
      </c>
      <c r="Y94" s="4">
        <v>1.0</v>
      </c>
      <c r="Z94" s="4"/>
      <c r="AA94" s="4">
        <v>1.0</v>
      </c>
      <c r="AB94" s="13">
        <f t="shared" si="27"/>
        <v>2</v>
      </c>
    </row>
    <row r="95">
      <c r="A95" s="11">
        <v>46111.0</v>
      </c>
      <c r="B95" s="13" t="s">
        <v>15</v>
      </c>
      <c r="C95" s="96">
        <v>245.0</v>
      </c>
      <c r="D95" s="89">
        <f>C95*'Giá NhậpXuất'!$C$15</f>
        <v>3185000</v>
      </c>
      <c r="E95" s="13">
        <f t="shared" si="25"/>
        <v>13000</v>
      </c>
      <c r="H95" s="13">
        <f t="shared" si="28"/>
        <v>47</v>
      </c>
      <c r="I95" s="4">
        <v>30.0</v>
      </c>
      <c r="J95" s="13">
        <v>30.0</v>
      </c>
      <c r="K95" s="4">
        <v>45.0</v>
      </c>
      <c r="L95" s="4">
        <v>30.0</v>
      </c>
      <c r="M95" s="4">
        <v>30.0</v>
      </c>
      <c r="P95" s="4"/>
      <c r="Q95" s="4"/>
      <c r="R95" s="4">
        <v>20.0</v>
      </c>
      <c r="S95" s="4">
        <v>20.0</v>
      </c>
      <c r="T95" s="4">
        <v>20.0</v>
      </c>
      <c r="U95" s="4">
        <v>20.0</v>
      </c>
      <c r="V95" s="4">
        <v>20.0</v>
      </c>
      <c r="X95" s="90" t="s">
        <v>15</v>
      </c>
      <c r="Y95" s="4">
        <v>46.0</v>
      </c>
      <c r="Z95" s="4"/>
      <c r="AA95" s="4">
        <v>22.0</v>
      </c>
      <c r="AB95" s="13">
        <f t="shared" si="27"/>
        <v>68</v>
      </c>
    </row>
    <row r="96">
      <c r="B96" s="59" t="s">
        <v>16</v>
      </c>
      <c r="C96" s="4">
        <f t="shared" ref="C96:D96" si="29">sum(C84:C95)</f>
        <v>600</v>
      </c>
      <c r="D96" s="6">
        <f t="shared" si="29"/>
        <v>7845000</v>
      </c>
      <c r="I96" s="97">
        <f t="shared" ref="I96:M96" si="30">sum(I84:I95)</f>
        <v>76</v>
      </c>
      <c r="J96" s="97">
        <f t="shared" si="30"/>
        <v>62</v>
      </c>
      <c r="K96" s="97">
        <f t="shared" si="30"/>
        <v>121</v>
      </c>
      <c r="L96" s="97">
        <f t="shared" si="30"/>
        <v>72</v>
      </c>
      <c r="M96" s="97">
        <f t="shared" si="30"/>
        <v>82</v>
      </c>
      <c r="P96" s="97"/>
      <c r="Q96" s="97"/>
      <c r="R96" s="97">
        <f t="shared" ref="R96:V96" si="31">sum(R84:R95)</f>
        <v>38</v>
      </c>
      <c r="S96" s="97">
        <f t="shared" si="31"/>
        <v>36</v>
      </c>
      <c r="T96" s="97">
        <f t="shared" si="31"/>
        <v>46</v>
      </c>
      <c r="U96" s="97">
        <f t="shared" si="31"/>
        <v>41</v>
      </c>
      <c r="V96" s="97">
        <f t="shared" si="31"/>
        <v>41</v>
      </c>
    </row>
    <row r="97">
      <c r="D97" s="6"/>
      <c r="H97" s="98" t="s">
        <v>235</v>
      </c>
      <c r="I97" s="95" t="s">
        <v>113</v>
      </c>
      <c r="P97" s="62"/>
      <c r="Q97" s="62"/>
      <c r="R97" s="62" t="s">
        <v>114</v>
      </c>
    </row>
    <row r="98" ht="22.5" customHeight="1">
      <c r="D98" s="6"/>
      <c r="F98" s="4"/>
      <c r="G98" s="4" t="s">
        <v>2</v>
      </c>
      <c r="I98" s="4" t="s">
        <v>93</v>
      </c>
      <c r="J98" s="4" t="s">
        <v>227</v>
      </c>
      <c r="K98" s="4" t="s">
        <v>89</v>
      </c>
      <c r="L98" s="4" t="s">
        <v>80</v>
      </c>
      <c r="M98" s="4" t="s">
        <v>81</v>
      </c>
      <c r="O98" s="4" t="s">
        <v>232</v>
      </c>
      <c r="P98" s="4"/>
      <c r="Q98" s="4"/>
      <c r="R98" s="4" t="s">
        <v>93</v>
      </c>
      <c r="S98" s="4" t="s">
        <v>227</v>
      </c>
      <c r="T98" s="4" t="s">
        <v>89</v>
      </c>
      <c r="U98" s="4" t="s">
        <v>80</v>
      </c>
      <c r="V98" s="4" t="s">
        <v>81</v>
      </c>
      <c r="W98" s="4" t="s">
        <v>232</v>
      </c>
      <c r="X98" s="99" t="s">
        <v>236</v>
      </c>
      <c r="Y98" s="100" t="s">
        <v>233</v>
      </c>
      <c r="Z98" s="101" t="s">
        <v>237</v>
      </c>
      <c r="AA98" s="100" t="s">
        <v>234</v>
      </c>
      <c r="AB98" s="100" t="s">
        <v>238</v>
      </c>
      <c r="AC98" s="100" t="s">
        <v>231</v>
      </c>
      <c r="AD98" s="100" t="s">
        <v>239</v>
      </c>
      <c r="AE98" s="100" t="s">
        <v>240</v>
      </c>
      <c r="AF98" s="100" t="s">
        <v>241</v>
      </c>
      <c r="AG98" s="100" t="s">
        <v>242</v>
      </c>
    </row>
    <row r="99" ht="22.5" customHeight="1">
      <c r="A99" s="11">
        <v>46112.0</v>
      </c>
      <c r="B99" s="13" t="s">
        <v>4</v>
      </c>
      <c r="C99" s="4">
        <v>35.0</v>
      </c>
      <c r="D99" s="89">
        <f>C99*'Giá NhậpXuất'!$C$4</f>
        <v>455000</v>
      </c>
      <c r="E99" s="13">
        <f t="shared" ref="E99:E110" si="32">D99/C99</f>
        <v>13000</v>
      </c>
      <c r="H99" s="66">
        <f t="shared" ref="H99:H110" si="33">AA99-sum(R99:W99)</f>
        <v>61</v>
      </c>
      <c r="J99" s="4">
        <v>7.0</v>
      </c>
      <c r="K99" s="4">
        <v>12.0</v>
      </c>
      <c r="L99" s="4">
        <v>7.0</v>
      </c>
      <c r="M99" s="4">
        <v>7.0</v>
      </c>
      <c r="O99" s="4">
        <v>7.0</v>
      </c>
      <c r="P99" s="4"/>
      <c r="Q99" s="4"/>
      <c r="R99" s="4">
        <v>2.0</v>
      </c>
      <c r="S99" s="4">
        <v>2.0</v>
      </c>
      <c r="T99" s="4">
        <v>2.0</v>
      </c>
      <c r="U99" s="4">
        <v>2.0</v>
      </c>
      <c r="V99" s="4">
        <v>2.0</v>
      </c>
      <c r="X99" s="102" t="s">
        <v>4</v>
      </c>
      <c r="Y99" s="103">
        <f>C99+AB84</f>
        <v>61</v>
      </c>
      <c r="Z99" s="104"/>
      <c r="AA99" s="104">
        <f t="shared" ref="AA99:AA110" si="34">AD99+Y99+AC99+AE99</f>
        <v>71</v>
      </c>
      <c r="AC99" s="103">
        <v>1.0</v>
      </c>
      <c r="AE99" s="105">
        <v>9.0</v>
      </c>
      <c r="AF99" s="105"/>
      <c r="AG99" s="105"/>
    </row>
    <row r="100" ht="22.5" customHeight="1">
      <c r="A100" s="11">
        <v>46112.0</v>
      </c>
      <c r="B100" s="13" t="s">
        <v>5</v>
      </c>
      <c r="C100" s="4">
        <v>25.0</v>
      </c>
      <c r="D100" s="89">
        <f>C100*'Giá NhậpXuất'!$C$5</f>
        <v>325000</v>
      </c>
      <c r="E100" s="13">
        <f t="shared" si="32"/>
        <v>13000</v>
      </c>
      <c r="H100" s="66">
        <f t="shared" si="33"/>
        <v>28</v>
      </c>
      <c r="J100" s="13">
        <v>4.0</v>
      </c>
      <c r="K100" s="4">
        <v>5.0</v>
      </c>
      <c r="L100" s="4">
        <v>5.0</v>
      </c>
      <c r="M100" s="4">
        <v>5.0</v>
      </c>
      <c r="O100" s="4">
        <v>5.0</v>
      </c>
      <c r="P100" s="4"/>
      <c r="Q100" s="4"/>
      <c r="R100" s="4">
        <v>3.0</v>
      </c>
      <c r="T100" s="4">
        <v>3.0</v>
      </c>
      <c r="V100" s="4">
        <v>4.0</v>
      </c>
      <c r="W100" s="4">
        <v>3.0</v>
      </c>
      <c r="X100" s="102" t="s">
        <v>5</v>
      </c>
      <c r="Y100" s="103">
        <v>32.0</v>
      </c>
      <c r="Z100" s="104"/>
      <c r="AA100" s="104">
        <f t="shared" si="34"/>
        <v>41</v>
      </c>
      <c r="AC100" s="104"/>
      <c r="AD100" s="105">
        <v>4.0</v>
      </c>
      <c r="AE100" s="105">
        <v>5.0</v>
      </c>
      <c r="AF100" s="105"/>
      <c r="AG100" s="105"/>
    </row>
    <row r="101" ht="22.5" customHeight="1">
      <c r="A101" s="11">
        <v>46112.0</v>
      </c>
      <c r="B101" s="13" t="s">
        <v>6</v>
      </c>
      <c r="C101" s="13">
        <v>16.0</v>
      </c>
      <c r="D101" s="89">
        <f>C101*'Giá NhậpXuất'!$C$6</f>
        <v>208000</v>
      </c>
      <c r="E101" s="13">
        <f t="shared" si="32"/>
        <v>13000</v>
      </c>
      <c r="H101" s="66">
        <f t="shared" si="33"/>
        <v>-2</v>
      </c>
      <c r="J101" s="4">
        <v>3.0</v>
      </c>
      <c r="K101" s="4">
        <v>5.0</v>
      </c>
      <c r="L101" s="4">
        <v>4.0</v>
      </c>
      <c r="M101" s="4">
        <v>4.0</v>
      </c>
      <c r="O101" s="4">
        <v>3.0</v>
      </c>
      <c r="P101" s="4"/>
      <c r="Q101" s="4"/>
      <c r="R101" s="4">
        <v>3.0</v>
      </c>
      <c r="S101" s="4">
        <v>2.0</v>
      </c>
      <c r="T101" s="4">
        <v>3.0</v>
      </c>
      <c r="U101" s="4">
        <v>4.0</v>
      </c>
      <c r="V101" s="4">
        <v>2.0</v>
      </c>
      <c r="X101" s="102" t="s">
        <v>6</v>
      </c>
      <c r="Y101" s="103">
        <v>3.0</v>
      </c>
      <c r="Z101" s="104"/>
      <c r="AA101" s="104">
        <f t="shared" si="34"/>
        <v>12</v>
      </c>
      <c r="AC101" s="103">
        <v>2.0</v>
      </c>
      <c r="AD101" s="105">
        <v>4.0</v>
      </c>
      <c r="AE101" s="105">
        <v>3.0</v>
      </c>
      <c r="AF101" s="105"/>
      <c r="AG101" s="105"/>
    </row>
    <row r="102" ht="22.5" customHeight="1">
      <c r="A102" s="11">
        <v>46112.0</v>
      </c>
      <c r="B102" s="13" t="s">
        <v>7</v>
      </c>
      <c r="C102" s="13">
        <v>15.0</v>
      </c>
      <c r="D102" s="89">
        <f>C102*'Giá NhậpXuất'!$C$7</f>
        <v>195000</v>
      </c>
      <c r="E102" s="13">
        <f t="shared" si="32"/>
        <v>13000</v>
      </c>
      <c r="H102" s="66">
        <f t="shared" si="33"/>
        <v>11</v>
      </c>
      <c r="J102" s="4">
        <v>2.0</v>
      </c>
      <c r="K102" s="4">
        <v>5.0</v>
      </c>
      <c r="L102" s="4">
        <v>3.0</v>
      </c>
      <c r="M102" s="4">
        <v>4.0</v>
      </c>
      <c r="O102" s="4">
        <v>3.0</v>
      </c>
      <c r="T102" s="4">
        <v>2.0</v>
      </c>
      <c r="U102" s="4">
        <v>2.0</v>
      </c>
      <c r="V102" s="4">
        <v>2.0</v>
      </c>
      <c r="W102" s="4">
        <v>2.0</v>
      </c>
      <c r="X102" s="102" t="s">
        <v>7</v>
      </c>
      <c r="Y102" s="103">
        <v>15.0</v>
      </c>
      <c r="Z102" s="104"/>
      <c r="AA102" s="104">
        <f t="shared" si="34"/>
        <v>19</v>
      </c>
      <c r="AC102" s="103">
        <v>1.0</v>
      </c>
      <c r="AD102" s="105">
        <v>1.0</v>
      </c>
      <c r="AE102" s="105">
        <v>2.0</v>
      </c>
      <c r="AF102" s="105"/>
      <c r="AG102" s="105"/>
    </row>
    <row r="103" ht="22.5" customHeight="1">
      <c r="A103" s="11">
        <v>46112.0</v>
      </c>
      <c r="B103" s="13" t="s">
        <v>8</v>
      </c>
      <c r="C103" s="4">
        <v>30.0</v>
      </c>
      <c r="D103" s="89">
        <f>C103*'Giá NhậpXuất'!$C$8</f>
        <v>390000</v>
      </c>
      <c r="E103" s="13">
        <f t="shared" si="32"/>
        <v>13000</v>
      </c>
      <c r="H103" s="66">
        <f t="shared" si="33"/>
        <v>11</v>
      </c>
      <c r="J103" s="4">
        <v>5.0</v>
      </c>
      <c r="K103" s="4">
        <v>12.0</v>
      </c>
      <c r="L103" s="4">
        <v>6.0</v>
      </c>
      <c r="M103" s="4">
        <v>7.0</v>
      </c>
      <c r="O103" s="4">
        <v>5.0</v>
      </c>
      <c r="P103" s="4"/>
      <c r="Q103" s="4"/>
      <c r="R103" s="4">
        <v>2.0</v>
      </c>
      <c r="S103" s="4">
        <v>2.0</v>
      </c>
      <c r="T103" s="59">
        <v>3.0</v>
      </c>
      <c r="U103" s="4">
        <v>4.0</v>
      </c>
      <c r="V103" s="4">
        <v>4.0</v>
      </c>
      <c r="W103" s="4">
        <v>2.0</v>
      </c>
      <c r="X103" s="102" t="s">
        <v>8</v>
      </c>
      <c r="Y103" s="103">
        <v>17.0</v>
      </c>
      <c r="Z103" s="104"/>
      <c r="AA103" s="104">
        <f t="shared" si="34"/>
        <v>28</v>
      </c>
      <c r="AC103" s="103">
        <v>2.0</v>
      </c>
      <c r="AD103" s="105">
        <v>5.0</v>
      </c>
      <c r="AE103" s="105">
        <v>4.0</v>
      </c>
      <c r="AF103" s="105"/>
      <c r="AG103" s="105"/>
    </row>
    <row r="104" ht="22.5" customHeight="1">
      <c r="A104" s="11">
        <v>46112.0</v>
      </c>
      <c r="B104" s="13" t="s">
        <v>9</v>
      </c>
      <c r="C104" s="4">
        <v>30.0</v>
      </c>
      <c r="D104" s="89">
        <f>C104*'Giá NhậpXuất'!$C$9</f>
        <v>390000</v>
      </c>
      <c r="E104" s="13">
        <f t="shared" si="32"/>
        <v>13000</v>
      </c>
      <c r="H104" s="66">
        <f t="shared" si="33"/>
        <v>25</v>
      </c>
      <c r="J104" s="4">
        <v>7.0</v>
      </c>
      <c r="K104" s="4">
        <v>12.0</v>
      </c>
      <c r="L104" s="4">
        <v>6.0</v>
      </c>
      <c r="M104" s="4">
        <v>7.0</v>
      </c>
      <c r="O104" s="4">
        <v>5.0</v>
      </c>
      <c r="P104" s="4"/>
      <c r="Q104" s="4"/>
      <c r="R104" s="4">
        <v>3.0</v>
      </c>
      <c r="S104" s="4">
        <v>3.0</v>
      </c>
      <c r="T104" s="4">
        <v>4.0</v>
      </c>
      <c r="U104" s="4">
        <v>4.0</v>
      </c>
      <c r="V104" s="4">
        <v>4.0</v>
      </c>
      <c r="W104" s="4">
        <v>2.0</v>
      </c>
      <c r="X104" s="102" t="s">
        <v>9</v>
      </c>
      <c r="Y104" s="103">
        <f>30+5</f>
        <v>35</v>
      </c>
      <c r="Z104" s="104"/>
      <c r="AA104" s="104">
        <f t="shared" si="34"/>
        <v>45</v>
      </c>
      <c r="AC104" s="103">
        <v>2.0</v>
      </c>
      <c r="AE104" s="105">
        <v>8.0</v>
      </c>
      <c r="AF104" s="105"/>
      <c r="AG104" s="105"/>
    </row>
    <row r="105" ht="22.5" customHeight="1">
      <c r="A105" s="11">
        <v>46112.0</v>
      </c>
      <c r="B105" s="13" t="s">
        <v>10</v>
      </c>
      <c r="C105" s="13">
        <v>15.0</v>
      </c>
      <c r="D105" s="89">
        <f>C105*'Giá NhậpXuất'!$C$10</f>
        <v>195000</v>
      </c>
      <c r="E105" s="13">
        <f t="shared" si="32"/>
        <v>13000</v>
      </c>
      <c r="H105" s="66">
        <f t="shared" si="33"/>
        <v>4</v>
      </c>
      <c r="J105" s="13">
        <v>2.0</v>
      </c>
      <c r="K105" s="4">
        <v>5.0</v>
      </c>
      <c r="L105" s="4">
        <v>3.0</v>
      </c>
      <c r="M105" s="4">
        <v>3.0</v>
      </c>
      <c r="O105" s="4">
        <v>3.0</v>
      </c>
      <c r="U105" s="4">
        <v>2.0</v>
      </c>
      <c r="V105" s="4">
        <v>2.0</v>
      </c>
      <c r="X105" s="102" t="s">
        <v>10</v>
      </c>
      <c r="Y105" s="103">
        <v>8.0</v>
      </c>
      <c r="Z105" s="104"/>
      <c r="AA105" s="104">
        <f t="shared" si="34"/>
        <v>8</v>
      </c>
      <c r="AC105" s="104"/>
    </row>
    <row r="106" ht="22.5" customHeight="1">
      <c r="A106" s="11">
        <v>46112.0</v>
      </c>
      <c r="B106" s="13" t="s">
        <v>11</v>
      </c>
      <c r="C106" s="13">
        <v>12.0</v>
      </c>
      <c r="D106" s="89">
        <f>C106*'Giá NhậpXuất'!$C$11</f>
        <v>156000</v>
      </c>
      <c r="E106" s="13">
        <f t="shared" si="32"/>
        <v>13000</v>
      </c>
      <c r="H106" s="66">
        <f t="shared" si="33"/>
        <v>8</v>
      </c>
      <c r="J106" s="13">
        <v>0.0</v>
      </c>
      <c r="K106" s="4">
        <v>5.0</v>
      </c>
      <c r="L106" s="4">
        <v>3.0</v>
      </c>
      <c r="M106" s="4">
        <v>3.0</v>
      </c>
      <c r="O106" s="4">
        <v>3.0</v>
      </c>
      <c r="P106" s="4"/>
      <c r="Q106" s="4"/>
      <c r="R106" s="4">
        <v>1.0</v>
      </c>
      <c r="T106" s="4">
        <v>2.0</v>
      </c>
      <c r="U106" s="4">
        <v>2.0</v>
      </c>
      <c r="V106" s="4">
        <v>2.0</v>
      </c>
      <c r="W106" s="4">
        <v>2.0</v>
      </c>
      <c r="X106" s="102" t="s">
        <v>11</v>
      </c>
      <c r="Y106" s="103">
        <v>4.0</v>
      </c>
      <c r="Z106" s="104"/>
      <c r="AA106" s="104">
        <f t="shared" si="34"/>
        <v>17</v>
      </c>
      <c r="AC106" s="104"/>
      <c r="AD106" s="105">
        <v>2.0</v>
      </c>
      <c r="AE106" s="105">
        <v>11.0</v>
      </c>
      <c r="AF106" s="105"/>
      <c r="AG106" s="105"/>
    </row>
    <row r="107" ht="22.5" customHeight="1">
      <c r="A107" s="11">
        <v>46112.0</v>
      </c>
      <c r="B107" s="13" t="s">
        <v>12</v>
      </c>
      <c r="C107" s="4">
        <v>15.0</v>
      </c>
      <c r="D107" s="89">
        <f>C107*'Giá NhậpXuất'!$C$12</f>
        <v>195000</v>
      </c>
      <c r="E107" s="13">
        <f t="shared" si="32"/>
        <v>13000</v>
      </c>
      <c r="H107" s="66">
        <f t="shared" si="33"/>
        <v>0</v>
      </c>
      <c r="J107" s="4">
        <v>2.0</v>
      </c>
      <c r="K107" s="4">
        <v>5.0</v>
      </c>
      <c r="L107" s="4">
        <v>3.0</v>
      </c>
      <c r="M107" s="4">
        <v>3.0</v>
      </c>
      <c r="O107" s="4">
        <v>2.0</v>
      </c>
      <c r="T107" s="4">
        <v>2.0</v>
      </c>
      <c r="X107" s="102" t="s">
        <v>12</v>
      </c>
      <c r="Y107" s="103">
        <v>1.0</v>
      </c>
      <c r="Z107" s="104"/>
      <c r="AA107" s="104">
        <f t="shared" si="34"/>
        <v>2</v>
      </c>
      <c r="AC107" s="104"/>
      <c r="AD107" s="105">
        <v>1.0</v>
      </c>
    </row>
    <row r="108" ht="22.5" customHeight="1">
      <c r="A108" s="11">
        <v>46112.0</v>
      </c>
      <c r="B108" s="13" t="s">
        <v>13</v>
      </c>
      <c r="C108" s="4">
        <v>20.0</v>
      </c>
      <c r="D108" s="89">
        <f>C108*'Giá NhậpXuất'!$C$13</f>
        <v>260000</v>
      </c>
      <c r="E108" s="13">
        <f t="shared" si="32"/>
        <v>13000</v>
      </c>
      <c r="H108" s="66">
        <f t="shared" si="33"/>
        <v>0</v>
      </c>
      <c r="J108" s="13">
        <v>4.0</v>
      </c>
      <c r="K108" s="4">
        <v>5.0</v>
      </c>
      <c r="L108" s="4">
        <v>4.0</v>
      </c>
      <c r="M108" s="4">
        <v>5.0</v>
      </c>
      <c r="O108" s="4">
        <v>4.0</v>
      </c>
      <c r="P108" s="4"/>
      <c r="Q108" s="4"/>
      <c r="R108" s="4">
        <v>2.0</v>
      </c>
      <c r="T108" s="4">
        <v>2.0</v>
      </c>
      <c r="U108" s="4">
        <v>2.0</v>
      </c>
      <c r="V108" s="4">
        <v>3.0</v>
      </c>
      <c r="W108" s="4">
        <v>2.0</v>
      </c>
      <c r="X108" s="102" t="s">
        <v>13</v>
      </c>
      <c r="Y108" s="103">
        <v>8.0</v>
      </c>
      <c r="Z108" s="104"/>
      <c r="AA108" s="104">
        <f t="shared" si="34"/>
        <v>11</v>
      </c>
      <c r="AC108" s="103">
        <v>1.0</v>
      </c>
      <c r="AE108" s="105">
        <v>2.0</v>
      </c>
      <c r="AF108" s="105"/>
      <c r="AG108" s="105"/>
    </row>
    <row r="109" ht="22.5" customHeight="1">
      <c r="A109" s="11">
        <v>46112.0</v>
      </c>
      <c r="B109" s="13" t="s">
        <v>14</v>
      </c>
      <c r="C109" s="4">
        <v>15.0</v>
      </c>
      <c r="D109" s="89">
        <f>C109*'Giá NhậpXuất'!$C$14</f>
        <v>240000</v>
      </c>
      <c r="E109" s="13">
        <f t="shared" si="32"/>
        <v>16000</v>
      </c>
      <c r="H109" s="66">
        <f t="shared" si="33"/>
        <v>0</v>
      </c>
      <c r="J109" s="13">
        <v>2.0</v>
      </c>
      <c r="K109" s="4">
        <v>5.0</v>
      </c>
      <c r="L109" s="4">
        <v>2.0</v>
      </c>
      <c r="M109" s="4">
        <v>3.0</v>
      </c>
      <c r="O109" s="4">
        <v>2.0</v>
      </c>
      <c r="T109" s="4">
        <v>2.0</v>
      </c>
      <c r="U109" s="4">
        <v>2.0</v>
      </c>
      <c r="V109" s="4">
        <v>2.0</v>
      </c>
      <c r="X109" s="102" t="s">
        <v>14</v>
      </c>
      <c r="Y109" s="103">
        <v>3.0</v>
      </c>
      <c r="Z109" s="104"/>
      <c r="AA109" s="104">
        <f t="shared" si="34"/>
        <v>6</v>
      </c>
      <c r="AC109" s="103">
        <v>1.0</v>
      </c>
      <c r="AE109" s="105">
        <v>2.0</v>
      </c>
      <c r="AF109" s="105"/>
      <c r="AG109" s="105"/>
    </row>
    <row r="110" ht="22.5" customHeight="1">
      <c r="A110" s="11">
        <v>46112.0</v>
      </c>
      <c r="B110" s="13" t="s">
        <v>15</v>
      </c>
      <c r="C110" s="4">
        <v>170.0</v>
      </c>
      <c r="D110" s="89">
        <f>C110*'Giá NhậpXuất'!$C$15</f>
        <v>2210000</v>
      </c>
      <c r="E110" s="13">
        <f t="shared" si="32"/>
        <v>13000</v>
      </c>
      <c r="H110" s="66">
        <f t="shared" si="33"/>
        <v>53</v>
      </c>
      <c r="J110" s="4">
        <v>30.0</v>
      </c>
      <c r="K110" s="4">
        <v>45.0</v>
      </c>
      <c r="L110" s="4">
        <v>30.0</v>
      </c>
      <c r="M110" s="4">
        <v>30.0</v>
      </c>
      <c r="O110" s="4">
        <v>30.0</v>
      </c>
      <c r="P110" s="4"/>
      <c r="Q110" s="4"/>
      <c r="R110" s="4">
        <v>20.0</v>
      </c>
      <c r="S110" s="4">
        <v>18.0</v>
      </c>
      <c r="T110" s="4">
        <v>20.0</v>
      </c>
      <c r="U110" s="4">
        <v>20.0</v>
      </c>
      <c r="V110" s="4">
        <v>20.0</v>
      </c>
      <c r="W110" s="4">
        <v>15.0</v>
      </c>
      <c r="X110" s="102" t="s">
        <v>15</v>
      </c>
      <c r="Y110" s="103">
        <f>100+14</f>
        <v>114</v>
      </c>
      <c r="Z110" s="104"/>
      <c r="AA110" s="104">
        <f t="shared" si="34"/>
        <v>166</v>
      </c>
      <c r="AC110" s="103">
        <v>16.0</v>
      </c>
      <c r="AD110" s="105">
        <v>12.0</v>
      </c>
      <c r="AE110" s="105">
        <v>24.0</v>
      </c>
      <c r="AF110" s="105"/>
      <c r="AG110" s="105"/>
    </row>
    <row r="111" ht="22.5" customHeight="1">
      <c r="B111" s="59" t="s">
        <v>16</v>
      </c>
      <c r="C111" s="4">
        <f t="shared" ref="C111:D111" si="35">sum(C99:C110)</f>
        <v>398</v>
      </c>
      <c r="D111" s="6">
        <f t="shared" si="35"/>
        <v>5219000</v>
      </c>
      <c r="I111" s="97">
        <f t="shared" ref="I111:M111" si="36">sum(I99:I110)</f>
        <v>0</v>
      </c>
      <c r="J111" s="97">
        <f t="shared" si="36"/>
        <v>68</v>
      </c>
      <c r="K111" s="97">
        <f t="shared" si="36"/>
        <v>121</v>
      </c>
      <c r="L111" s="97">
        <f t="shared" si="36"/>
        <v>76</v>
      </c>
      <c r="M111" s="97">
        <f t="shared" si="36"/>
        <v>81</v>
      </c>
      <c r="O111" s="97">
        <f>sum(O99:O110)</f>
        <v>72</v>
      </c>
      <c r="P111" s="97"/>
      <c r="Q111" s="97"/>
      <c r="R111" s="97">
        <f t="shared" ref="R111:W111" si="37">sum(R99:R110)</f>
        <v>36</v>
      </c>
      <c r="S111" s="97">
        <f t="shared" si="37"/>
        <v>27</v>
      </c>
      <c r="T111" s="97">
        <f t="shared" si="37"/>
        <v>45</v>
      </c>
      <c r="U111" s="97">
        <f t="shared" si="37"/>
        <v>44</v>
      </c>
      <c r="V111" s="97">
        <f t="shared" si="37"/>
        <v>47</v>
      </c>
      <c r="W111" s="97">
        <f t="shared" si="37"/>
        <v>28</v>
      </c>
      <c r="X111" s="106"/>
      <c r="Y111" s="107"/>
      <c r="Z111" s="108"/>
      <c r="AA111" s="109">
        <f>sum(Item_Stock_Levels[Tổng Tồn])</f>
        <v>426</v>
      </c>
      <c r="AB111" s="108"/>
      <c r="AC111" s="107"/>
      <c r="AD111" s="107"/>
      <c r="AE111" s="107"/>
      <c r="AF111" s="107"/>
      <c r="AG111" s="107"/>
    </row>
    <row r="112">
      <c r="D112" s="6"/>
      <c r="I112" s="95" t="s">
        <v>113</v>
      </c>
      <c r="P112" s="62"/>
      <c r="Q112" s="62"/>
      <c r="R112" s="62" t="s">
        <v>114</v>
      </c>
      <c r="AA112" s="66">
        <f>Item_Stock_Levels[[#TOTALS],[Tổng Tồn]]-sum(R111:W111)</f>
        <v>199</v>
      </c>
    </row>
    <row r="113" ht="22.5" customHeight="1">
      <c r="C113" s="73" t="s">
        <v>243</v>
      </c>
      <c r="D113" s="6"/>
      <c r="F113" s="73" t="s">
        <v>244</v>
      </c>
      <c r="G113" s="4" t="s">
        <v>2</v>
      </c>
      <c r="H113" s="4" t="s">
        <v>245</v>
      </c>
      <c r="I113" s="4" t="s">
        <v>93</v>
      </c>
      <c r="J113" s="4" t="s">
        <v>227</v>
      </c>
      <c r="K113" s="110" t="s">
        <v>89</v>
      </c>
      <c r="L113" s="4" t="s">
        <v>80</v>
      </c>
      <c r="M113" s="4" t="s">
        <v>81</v>
      </c>
      <c r="N113" s="4" t="s">
        <v>232</v>
      </c>
      <c r="P113" s="4"/>
      <c r="Q113" s="4" t="s">
        <v>93</v>
      </c>
      <c r="R113" s="4" t="s">
        <v>227</v>
      </c>
      <c r="S113" s="4" t="s">
        <v>89</v>
      </c>
      <c r="T113" s="4" t="s">
        <v>80</v>
      </c>
      <c r="U113" s="4" t="s">
        <v>81</v>
      </c>
      <c r="V113" s="4" t="s">
        <v>232</v>
      </c>
      <c r="X113" s="99" t="s">
        <v>236</v>
      </c>
      <c r="Y113" s="100" t="s">
        <v>233</v>
      </c>
      <c r="Z113" s="101" t="s">
        <v>237</v>
      </c>
      <c r="AA113" s="100" t="s">
        <v>234</v>
      </c>
      <c r="AB113" s="100" t="s">
        <v>238</v>
      </c>
      <c r="AC113" s="100" t="s">
        <v>231</v>
      </c>
      <c r="AD113" s="100" t="s">
        <v>239</v>
      </c>
      <c r="AE113" s="100" t="s">
        <v>246</v>
      </c>
      <c r="AF113" s="100" t="s">
        <v>247</v>
      </c>
      <c r="AG113" s="100" t="s">
        <v>248</v>
      </c>
    </row>
    <row r="114" ht="22.5" customHeight="1">
      <c r="A114" s="11">
        <f>A110+1</f>
        <v>46113</v>
      </c>
      <c r="B114" s="13" t="s">
        <v>4</v>
      </c>
      <c r="C114" s="111">
        <v>50.0</v>
      </c>
      <c r="D114" s="89">
        <f>C114*'Giá NhậpXuất'!$C$4</f>
        <v>650000</v>
      </c>
      <c r="E114" s="13">
        <f>D114/C114</f>
        <v>13000</v>
      </c>
      <c r="F114" s="111">
        <v>22.0</v>
      </c>
      <c r="H114" s="13">
        <f t="shared" ref="H114:H118" si="38">C114+F114+G114-sum(I114:V114)</f>
        <v>-1</v>
      </c>
      <c r="I114" s="4">
        <v>7.0</v>
      </c>
      <c r="J114" s="4">
        <v>5.0</v>
      </c>
      <c r="K114" s="4">
        <v>10.0</v>
      </c>
      <c r="L114" s="4">
        <v>7.0</v>
      </c>
      <c r="M114" s="4">
        <v>10.0</v>
      </c>
      <c r="N114" s="4">
        <v>7.0</v>
      </c>
      <c r="P114" s="4"/>
      <c r="Q114" s="4">
        <v>4.0</v>
      </c>
      <c r="R114" s="4">
        <v>4.0</v>
      </c>
      <c r="S114" s="4">
        <v>5.0</v>
      </c>
      <c r="T114" s="4">
        <v>3.0</v>
      </c>
      <c r="U114" s="4">
        <v>5.0</v>
      </c>
      <c r="V114" s="4">
        <v>6.0</v>
      </c>
      <c r="X114" s="102" t="s">
        <v>4</v>
      </c>
      <c r="Y114" s="103">
        <v>26.0</v>
      </c>
      <c r="Z114" s="104"/>
      <c r="AA114" s="104">
        <f t="shared" ref="AA114:AA125" si="39">sum(AB114:AG114)</f>
        <v>10</v>
      </c>
      <c r="AB114" s="105">
        <v>6.0</v>
      </c>
      <c r="AC114" s="103"/>
      <c r="AG114" s="105">
        <v>4.0</v>
      </c>
    </row>
    <row r="115" ht="22.5" customHeight="1">
      <c r="A115" s="11">
        <v>46113.0</v>
      </c>
      <c r="B115" s="13" t="s">
        <v>5</v>
      </c>
      <c r="C115" s="112"/>
      <c r="D115" s="89">
        <f>C115*'Giá NhậpXuất'!$C$5</f>
        <v>0</v>
      </c>
      <c r="F115" s="111">
        <v>27.0</v>
      </c>
      <c r="H115" s="13">
        <f t="shared" si="38"/>
        <v>-19</v>
      </c>
      <c r="I115" s="4">
        <v>5.0</v>
      </c>
      <c r="J115" s="4">
        <v>2.0</v>
      </c>
      <c r="K115" s="4">
        <v>6.0</v>
      </c>
      <c r="L115" s="4">
        <v>5.0</v>
      </c>
      <c r="M115" s="4">
        <v>5.0</v>
      </c>
      <c r="N115" s="4">
        <v>4.0</v>
      </c>
      <c r="P115" s="4"/>
      <c r="Q115" s="4">
        <v>3.0</v>
      </c>
      <c r="R115" s="4">
        <v>3.0</v>
      </c>
      <c r="S115" s="4">
        <v>3.0</v>
      </c>
      <c r="T115" s="4">
        <v>2.0</v>
      </c>
      <c r="U115" s="4">
        <v>4.0</v>
      </c>
      <c r="V115" s="4">
        <v>4.0</v>
      </c>
      <c r="X115" s="102" t="s">
        <v>5</v>
      </c>
      <c r="Y115" s="103">
        <v>0.0</v>
      </c>
      <c r="Z115" s="104"/>
      <c r="AA115" s="104">
        <f t="shared" si="39"/>
        <v>8</v>
      </c>
      <c r="AB115" s="105">
        <v>4.0</v>
      </c>
      <c r="AC115" s="104"/>
      <c r="AG115" s="105">
        <v>4.0</v>
      </c>
    </row>
    <row r="116" ht="22.5" customHeight="1">
      <c r="A116" s="11">
        <v>46113.0</v>
      </c>
      <c r="B116" s="13" t="s">
        <v>6</v>
      </c>
      <c r="C116" s="111">
        <v>15.0</v>
      </c>
      <c r="D116" s="89">
        <f>C116*'Giá NhậpXuất'!$C$6</f>
        <v>195000</v>
      </c>
      <c r="E116" s="13">
        <f t="shared" ref="E116:E119" si="40">D116/C116</f>
        <v>13000</v>
      </c>
      <c r="F116" s="111">
        <v>2.0</v>
      </c>
      <c r="H116" s="13">
        <f t="shared" si="38"/>
        <v>-7</v>
      </c>
      <c r="I116" s="4">
        <v>4.0</v>
      </c>
      <c r="J116" s="4">
        <v>3.0</v>
      </c>
      <c r="K116" s="4">
        <v>3.0</v>
      </c>
      <c r="L116" s="4">
        <v>3.0</v>
      </c>
      <c r="M116" s="4">
        <v>2.0</v>
      </c>
      <c r="N116" s="4">
        <v>2.0</v>
      </c>
      <c r="S116" s="4">
        <v>1.0</v>
      </c>
      <c r="U116" s="4">
        <v>3.0</v>
      </c>
      <c r="V116" s="4">
        <v>3.0</v>
      </c>
      <c r="X116" s="102" t="s">
        <v>6</v>
      </c>
      <c r="Y116" s="103">
        <v>0.0</v>
      </c>
      <c r="Z116" s="104"/>
      <c r="AA116" s="104">
        <f t="shared" si="39"/>
        <v>4</v>
      </c>
      <c r="AB116" s="105">
        <v>4.0</v>
      </c>
      <c r="AC116" s="103"/>
    </row>
    <row r="117" ht="22.5" customHeight="1">
      <c r="A117" s="11">
        <v>46113.0</v>
      </c>
      <c r="B117" s="13" t="s">
        <v>7</v>
      </c>
      <c r="C117" s="112">
        <v>15.0</v>
      </c>
      <c r="D117" s="89">
        <f>C117*'Giá NhậpXuất'!$C$7</f>
        <v>195000</v>
      </c>
      <c r="E117" s="13">
        <f t="shared" si="40"/>
        <v>13000</v>
      </c>
      <c r="F117" s="111">
        <v>4.0</v>
      </c>
      <c r="H117" s="13">
        <f t="shared" si="38"/>
        <v>-11</v>
      </c>
      <c r="I117" s="4">
        <v>3.0</v>
      </c>
      <c r="J117" s="4">
        <v>2.0</v>
      </c>
      <c r="K117" s="4">
        <v>4.0</v>
      </c>
      <c r="L117" s="4">
        <v>3.0</v>
      </c>
      <c r="M117" s="4">
        <v>4.0</v>
      </c>
      <c r="N117" s="4">
        <v>3.0</v>
      </c>
      <c r="P117" s="4"/>
      <c r="Q117" s="4">
        <v>3.0</v>
      </c>
      <c r="S117" s="4">
        <v>2.0</v>
      </c>
      <c r="T117" s="4">
        <v>3.0</v>
      </c>
      <c r="U117" s="4">
        <v>3.0</v>
      </c>
      <c r="X117" s="102" t="s">
        <v>7</v>
      </c>
      <c r="Y117" s="103">
        <v>10.0</v>
      </c>
      <c r="Z117" s="104"/>
      <c r="AA117" s="104">
        <f t="shared" si="39"/>
        <v>1</v>
      </c>
      <c r="AC117" s="103"/>
      <c r="AG117" s="105">
        <v>1.0</v>
      </c>
    </row>
    <row r="118" ht="22.5" customHeight="1">
      <c r="A118" s="11">
        <v>46113.0</v>
      </c>
      <c r="B118" s="13" t="s">
        <v>8</v>
      </c>
      <c r="C118" s="111">
        <v>25.0</v>
      </c>
      <c r="D118" s="89">
        <f>C118*'Giá NhậpXuất'!$C$8</f>
        <v>325000</v>
      </c>
      <c r="E118" s="13">
        <f t="shared" si="40"/>
        <v>13000</v>
      </c>
      <c r="F118" s="4">
        <v>4.0</v>
      </c>
      <c r="G118" s="4">
        <v>4.0</v>
      </c>
      <c r="H118" s="13">
        <f t="shared" si="38"/>
        <v>-18</v>
      </c>
      <c r="I118" s="4">
        <v>6.0</v>
      </c>
      <c r="J118" s="4">
        <v>3.0</v>
      </c>
      <c r="K118" s="4">
        <v>10.0</v>
      </c>
      <c r="L118" s="4">
        <v>5.0</v>
      </c>
      <c r="M118" s="4">
        <v>7.0</v>
      </c>
      <c r="N118" s="4">
        <v>2.0</v>
      </c>
      <c r="P118" s="4"/>
      <c r="Q118" s="4">
        <v>3.0</v>
      </c>
      <c r="R118" s="4">
        <v>3.0</v>
      </c>
      <c r="S118" s="4">
        <v>3.0</v>
      </c>
      <c r="T118" s="4">
        <v>3.0</v>
      </c>
      <c r="U118" s="4">
        <v>3.0</v>
      </c>
      <c r="V118" s="4">
        <v>3.0</v>
      </c>
      <c r="X118" s="102" t="s">
        <v>8</v>
      </c>
      <c r="Y118" s="103">
        <v>11.0</v>
      </c>
      <c r="Z118" s="104"/>
      <c r="AA118" s="104">
        <f t="shared" si="39"/>
        <v>4</v>
      </c>
      <c r="AB118" s="105">
        <v>3.0</v>
      </c>
      <c r="AC118" s="103"/>
      <c r="AG118" s="105">
        <v>1.0</v>
      </c>
    </row>
    <row r="119" ht="22.5" customHeight="1">
      <c r="A119" s="11">
        <v>46113.0</v>
      </c>
      <c r="B119" s="13" t="s">
        <v>9</v>
      </c>
      <c r="C119" s="111">
        <v>15.0</v>
      </c>
      <c r="D119" s="89">
        <f>C119*'Giá NhậpXuất'!$C$9</f>
        <v>195000</v>
      </c>
      <c r="E119" s="13">
        <f t="shared" si="40"/>
        <v>13000</v>
      </c>
      <c r="F119" s="4">
        <v>21.0</v>
      </c>
      <c r="G119" s="4">
        <v>4.0</v>
      </c>
      <c r="H119" s="13">
        <f>C119+F119-sum(I119:V119)</f>
        <v>-19</v>
      </c>
      <c r="I119" s="4">
        <v>6.0</v>
      </c>
      <c r="J119" s="4">
        <v>5.0</v>
      </c>
      <c r="K119" s="4">
        <v>10.0</v>
      </c>
      <c r="L119" s="4">
        <v>5.0</v>
      </c>
      <c r="M119" s="4">
        <v>7.0</v>
      </c>
      <c r="N119" s="4">
        <v>3.0</v>
      </c>
      <c r="R119" s="4">
        <v>2.0</v>
      </c>
      <c r="S119" s="4">
        <v>5.0</v>
      </c>
      <c r="T119" s="4">
        <v>3.0</v>
      </c>
      <c r="U119" s="4">
        <v>4.0</v>
      </c>
      <c r="V119" s="4">
        <v>5.0</v>
      </c>
      <c r="X119" s="102" t="s">
        <v>9</v>
      </c>
      <c r="Y119" s="103">
        <v>5.0</v>
      </c>
      <c r="Z119" s="104"/>
      <c r="AA119" s="104">
        <f t="shared" si="39"/>
        <v>6</v>
      </c>
      <c r="AB119" s="105">
        <v>5.0</v>
      </c>
      <c r="AC119" s="103"/>
      <c r="AG119" s="105">
        <v>1.0</v>
      </c>
    </row>
    <row r="120" ht="22.5" customHeight="1">
      <c r="A120" s="11">
        <v>46113.0</v>
      </c>
      <c r="B120" s="13" t="s">
        <v>10</v>
      </c>
      <c r="C120" s="112"/>
      <c r="D120" s="89">
        <f>C120*'Giá NhậpXuất'!$C$10</f>
        <v>0</v>
      </c>
      <c r="F120" s="4">
        <v>4.0</v>
      </c>
      <c r="H120" s="13">
        <f t="shared" ref="H120:H125" si="41">C120+F120+G120-sum(I120:V120)</f>
        <v>-1</v>
      </c>
      <c r="I120" s="4">
        <v>1.0</v>
      </c>
      <c r="K120" s="4">
        <v>3.0</v>
      </c>
      <c r="T120" s="4">
        <v>1.0</v>
      </c>
      <c r="X120" s="102" t="s">
        <v>10</v>
      </c>
      <c r="Y120" s="104"/>
      <c r="Z120" s="104"/>
      <c r="AA120" s="104">
        <f t="shared" si="39"/>
        <v>1</v>
      </c>
      <c r="AB120" s="105">
        <v>1.0</v>
      </c>
      <c r="AC120" s="104"/>
    </row>
    <row r="121" ht="22.5" customHeight="1">
      <c r="A121" s="11">
        <v>46113.0</v>
      </c>
      <c r="B121" s="13" t="s">
        <v>11</v>
      </c>
      <c r="C121" s="112"/>
      <c r="D121" s="89">
        <f>C121*'Giá NhậpXuất'!$C$11</f>
        <v>0</v>
      </c>
      <c r="F121" s="4">
        <v>3.0</v>
      </c>
      <c r="H121" s="13">
        <f t="shared" si="41"/>
        <v>3</v>
      </c>
      <c r="X121" s="102" t="s">
        <v>11</v>
      </c>
      <c r="Y121" s="104"/>
      <c r="Z121" s="104"/>
      <c r="AA121" s="104">
        <f t="shared" si="39"/>
        <v>0</v>
      </c>
      <c r="AC121" s="104"/>
    </row>
    <row r="122" ht="22.5" customHeight="1">
      <c r="A122" s="11">
        <v>46113.0</v>
      </c>
      <c r="B122" s="13" t="s">
        <v>12</v>
      </c>
      <c r="C122" s="111">
        <v>15.0</v>
      </c>
      <c r="D122" s="89">
        <f>C122*'Giá NhậpXuất'!$C$12</f>
        <v>195000</v>
      </c>
      <c r="E122" s="13">
        <f t="shared" ref="E122:E125" si="42">D122/C122</f>
        <v>13000</v>
      </c>
      <c r="H122" s="13">
        <f t="shared" si="41"/>
        <v>-13</v>
      </c>
      <c r="I122" s="4">
        <v>3.0</v>
      </c>
      <c r="J122" s="4">
        <v>2.0</v>
      </c>
      <c r="K122" s="4">
        <v>3.0</v>
      </c>
      <c r="L122" s="4">
        <v>2.0</v>
      </c>
      <c r="M122" s="4">
        <v>3.0</v>
      </c>
      <c r="N122" s="4">
        <v>2.0</v>
      </c>
      <c r="S122" s="4">
        <v>7.0</v>
      </c>
      <c r="T122" s="4">
        <v>3.0</v>
      </c>
      <c r="U122" s="4">
        <v>3.0</v>
      </c>
      <c r="X122" s="102" t="s">
        <v>12</v>
      </c>
      <c r="Y122" s="103">
        <v>11.0</v>
      </c>
      <c r="Z122" s="104"/>
      <c r="AA122" s="104">
        <f t="shared" si="39"/>
        <v>2</v>
      </c>
      <c r="AB122" s="105">
        <v>1.0</v>
      </c>
      <c r="AC122" s="104"/>
      <c r="AG122" s="105">
        <v>1.0</v>
      </c>
    </row>
    <row r="123" ht="22.5" customHeight="1">
      <c r="A123" s="11">
        <v>46113.0</v>
      </c>
      <c r="B123" s="13" t="s">
        <v>13</v>
      </c>
      <c r="C123" s="111">
        <v>20.0</v>
      </c>
      <c r="D123" s="89">
        <f>C123*'Giá NhậpXuất'!$C$13</f>
        <v>260000</v>
      </c>
      <c r="E123" s="13">
        <f t="shared" si="42"/>
        <v>13000</v>
      </c>
      <c r="F123" s="4">
        <v>4.0</v>
      </c>
      <c r="H123" s="13">
        <f t="shared" si="41"/>
        <v>-15</v>
      </c>
      <c r="I123" s="4">
        <v>4.0</v>
      </c>
      <c r="J123" s="4">
        <v>3.0</v>
      </c>
      <c r="K123" s="4">
        <v>4.0</v>
      </c>
      <c r="L123" s="4">
        <v>4.0</v>
      </c>
      <c r="M123" s="4">
        <v>5.0</v>
      </c>
      <c r="N123" s="4">
        <v>4.0</v>
      </c>
      <c r="P123" s="4"/>
      <c r="Q123" s="4">
        <v>3.0</v>
      </c>
      <c r="R123" s="4">
        <v>2.0</v>
      </c>
      <c r="S123" s="4">
        <v>3.0</v>
      </c>
      <c r="U123" s="4">
        <v>3.0</v>
      </c>
      <c r="V123" s="4">
        <v>4.0</v>
      </c>
      <c r="X123" s="102" t="s">
        <v>13</v>
      </c>
      <c r="Y123" s="103">
        <v>0.0</v>
      </c>
      <c r="Z123" s="104"/>
      <c r="AA123" s="104">
        <f t="shared" si="39"/>
        <v>1</v>
      </c>
      <c r="AC123" s="103"/>
      <c r="AG123" s="105">
        <v>1.0</v>
      </c>
    </row>
    <row r="124" ht="22.5" customHeight="1">
      <c r="A124" s="11">
        <v>46113.0</v>
      </c>
      <c r="B124" s="13" t="s">
        <v>14</v>
      </c>
      <c r="C124" s="111">
        <v>15.0</v>
      </c>
      <c r="D124" s="89">
        <f>C124*'Giá NhậpXuất'!$C$14</f>
        <v>240000</v>
      </c>
      <c r="E124" s="13">
        <f t="shared" si="42"/>
        <v>16000</v>
      </c>
      <c r="F124" s="4">
        <v>2.0</v>
      </c>
      <c r="H124" s="13">
        <f t="shared" si="41"/>
        <v>-3</v>
      </c>
      <c r="I124" s="4">
        <v>2.0</v>
      </c>
      <c r="K124" s="4">
        <v>3.0</v>
      </c>
      <c r="L124" s="4">
        <v>2.0</v>
      </c>
      <c r="M124" s="4">
        <v>3.0</v>
      </c>
      <c r="N124" s="4">
        <v>2.0</v>
      </c>
      <c r="S124" s="4">
        <v>2.0</v>
      </c>
      <c r="T124" s="4">
        <v>2.0</v>
      </c>
      <c r="U124" s="4">
        <v>2.0</v>
      </c>
      <c r="V124" s="4">
        <v>2.0</v>
      </c>
      <c r="X124" s="102" t="s">
        <v>14</v>
      </c>
      <c r="Y124" s="103">
        <v>5.0</v>
      </c>
      <c r="Z124" s="104"/>
      <c r="AA124" s="104">
        <f t="shared" si="39"/>
        <v>1</v>
      </c>
      <c r="AC124" s="103"/>
      <c r="AG124" s="105">
        <v>1.0</v>
      </c>
    </row>
    <row r="125" ht="22.5" customHeight="1">
      <c r="A125" s="11">
        <v>46113.0</v>
      </c>
      <c r="B125" s="13" t="s">
        <v>15</v>
      </c>
      <c r="C125" s="111">
        <v>180.0</v>
      </c>
      <c r="D125" s="89">
        <f>C125*'Giá NhậpXuất'!$C$15</f>
        <v>2340000</v>
      </c>
      <c r="E125" s="13">
        <f t="shared" si="42"/>
        <v>13000</v>
      </c>
      <c r="F125" s="4">
        <v>65.0</v>
      </c>
      <c r="G125" s="4">
        <v>3.0</v>
      </c>
      <c r="H125" s="13">
        <f t="shared" si="41"/>
        <v>-30</v>
      </c>
      <c r="I125" s="4">
        <v>25.0</v>
      </c>
      <c r="J125" s="4">
        <v>25.0</v>
      </c>
      <c r="K125" s="4">
        <v>35.0</v>
      </c>
      <c r="L125" s="4">
        <v>30.0</v>
      </c>
      <c r="M125" s="4">
        <v>30.0</v>
      </c>
      <c r="N125" s="4">
        <v>30.0</v>
      </c>
      <c r="P125" s="4"/>
      <c r="Q125" s="4">
        <v>17.0</v>
      </c>
      <c r="R125" s="4">
        <v>16.0</v>
      </c>
      <c r="S125" s="4">
        <v>21.0</v>
      </c>
      <c r="T125" s="4">
        <v>25.0</v>
      </c>
      <c r="U125" s="4">
        <v>24.0</v>
      </c>
      <c r="X125" s="102" t="s">
        <v>15</v>
      </c>
      <c r="Y125" s="103">
        <v>73.0</v>
      </c>
      <c r="Z125" s="104"/>
      <c r="AA125" s="104">
        <f t="shared" si="39"/>
        <v>33</v>
      </c>
      <c r="AB125" s="105">
        <v>8.0</v>
      </c>
      <c r="AC125" s="103">
        <v>14.0</v>
      </c>
      <c r="AG125" s="105">
        <v>11.0</v>
      </c>
    </row>
    <row r="126" ht="22.5" customHeight="1">
      <c r="B126" s="59" t="s">
        <v>16</v>
      </c>
      <c r="C126" s="111">
        <f t="shared" ref="C126:D126" si="43">sum(C114:C125)</f>
        <v>350</v>
      </c>
      <c r="D126" s="6">
        <f t="shared" si="43"/>
        <v>4595000</v>
      </c>
      <c r="I126" s="97">
        <f t="shared" ref="I126:N126" si="44">sum(I114:I125)</f>
        <v>66</v>
      </c>
      <c r="J126" s="97">
        <f t="shared" si="44"/>
        <v>50</v>
      </c>
      <c r="K126" s="97">
        <f t="shared" si="44"/>
        <v>91</v>
      </c>
      <c r="L126" s="97">
        <f t="shared" si="44"/>
        <v>66</v>
      </c>
      <c r="M126" s="97">
        <f t="shared" si="44"/>
        <v>76</v>
      </c>
      <c r="N126" s="97">
        <f t="shared" si="44"/>
        <v>59</v>
      </c>
      <c r="Q126" s="13">
        <f t="shared" ref="Q126:V126" si="45">sum(Q114:Q125)</f>
        <v>33</v>
      </c>
      <c r="R126" s="13">
        <f t="shared" si="45"/>
        <v>30</v>
      </c>
      <c r="S126" s="13">
        <f t="shared" si="45"/>
        <v>52</v>
      </c>
      <c r="T126" s="13">
        <f t="shared" si="45"/>
        <v>45</v>
      </c>
      <c r="U126" s="13">
        <f t="shared" si="45"/>
        <v>54</v>
      </c>
      <c r="V126" s="13">
        <f t="shared" si="45"/>
        <v>27</v>
      </c>
      <c r="X126" s="106"/>
      <c r="Y126" s="107"/>
      <c r="Z126" s="108"/>
      <c r="AA126" s="109">
        <f>sum(Table1[Tổng Tồn])</f>
        <v>71</v>
      </c>
      <c r="AB126" s="108">
        <f>sum(Table1[Tồn XL])</f>
        <v>32</v>
      </c>
      <c r="AC126" s="107"/>
      <c r="AD126" s="107"/>
      <c r="AE126" s="107"/>
      <c r="AF126" s="107"/>
      <c r="AG126" s="108">
        <f>sum(Table1[Tồn ĐN])</f>
        <v>25</v>
      </c>
    </row>
    <row r="127">
      <c r="D127" s="6"/>
    </row>
    <row r="128">
      <c r="D128" s="89">
        <f>C130*'Giá NhậpXuất'!$C$4</f>
        <v>0</v>
      </c>
      <c r="AA128" s="66">
        <f>Item_Stock_Levels[[#TOTALS],[Tổng Tồn]]-sum(R127:W127)</f>
        <v>426</v>
      </c>
    </row>
    <row r="129" ht="22.5" customHeight="1">
      <c r="C129" s="4" t="s">
        <v>243</v>
      </c>
      <c r="D129" s="6"/>
      <c r="F129" s="73" t="s">
        <v>244</v>
      </c>
      <c r="G129" s="4" t="s">
        <v>245</v>
      </c>
      <c r="X129" s="99" t="s">
        <v>236</v>
      </c>
      <c r="Y129" s="100" t="s">
        <v>233</v>
      </c>
      <c r="Z129" s="101" t="s">
        <v>237</v>
      </c>
      <c r="AA129" s="100" t="s">
        <v>234</v>
      </c>
      <c r="AB129" s="100" t="s">
        <v>238</v>
      </c>
      <c r="AC129" s="100" t="s">
        <v>231</v>
      </c>
      <c r="AD129" s="100" t="s">
        <v>239</v>
      </c>
      <c r="AE129" s="100" t="s">
        <v>246</v>
      </c>
      <c r="AF129" s="100" t="s">
        <v>247</v>
      </c>
      <c r="AG129" s="100" t="s">
        <v>248</v>
      </c>
    </row>
    <row r="130" ht="22.5" customHeight="1">
      <c r="A130" s="11">
        <f>A124+1</f>
        <v>46114</v>
      </c>
      <c r="B130" s="13" t="s">
        <v>4</v>
      </c>
      <c r="C130" s="111"/>
      <c r="D130" s="89">
        <f>C130*'Giá NhậpXuất'!$C$4</f>
        <v>0</v>
      </c>
      <c r="E130" s="13" t="str">
        <f t="shared" ref="E130:E141" si="46">D130/C130</f>
        <v>#DIV/0!</v>
      </c>
      <c r="F130" s="66">
        <f>Y114+AA114+C130</f>
        <v>36</v>
      </c>
      <c r="G130" s="66">
        <f>F130-sum(Q114:V114)+AA130</f>
        <v>14</v>
      </c>
      <c r="X130" s="102" t="s">
        <v>4</v>
      </c>
      <c r="Y130" s="103">
        <v>7.0</v>
      </c>
      <c r="Z130" s="104"/>
      <c r="AA130" s="104">
        <f t="shared" ref="AA130:AA141" si="47">sum(AB130:AG130)</f>
        <v>5</v>
      </c>
      <c r="AC130" s="103">
        <v>1.0</v>
      </c>
      <c r="AF130" s="105">
        <v>2.0</v>
      </c>
      <c r="AG130" s="105">
        <v>2.0</v>
      </c>
    </row>
    <row r="131" ht="22.5" customHeight="1">
      <c r="A131" s="11">
        <v>46114.0</v>
      </c>
      <c r="B131" s="13" t="s">
        <v>5</v>
      </c>
      <c r="C131" s="111">
        <v>12.0</v>
      </c>
      <c r="D131" s="89">
        <f>C131*'Giá NhậpXuất'!$C$5</f>
        <v>156000</v>
      </c>
      <c r="E131" s="13">
        <f t="shared" si="46"/>
        <v>13000</v>
      </c>
      <c r="F131" s="66">
        <f t="shared" ref="F131:F141" si="48">Y115+AA115+AB115+C131</f>
        <v>24</v>
      </c>
      <c r="G131" s="66">
        <f t="shared" ref="G131:G141" si="49">F131-sum(Q115:V115)</f>
        <v>5</v>
      </c>
      <c r="X131" s="102" t="s">
        <v>5</v>
      </c>
      <c r="Y131" s="103">
        <v>1.0</v>
      </c>
      <c r="Z131" s="104"/>
      <c r="AA131" s="104">
        <f t="shared" si="47"/>
        <v>6</v>
      </c>
      <c r="AC131" s="103">
        <v>1.0</v>
      </c>
      <c r="AE131" s="105">
        <v>1.0</v>
      </c>
      <c r="AF131" s="105">
        <v>4.0</v>
      </c>
    </row>
    <row r="132" ht="22.5" customHeight="1">
      <c r="A132" s="11">
        <v>46114.0</v>
      </c>
      <c r="B132" s="13" t="s">
        <v>6</v>
      </c>
      <c r="C132" s="111">
        <v>12.0</v>
      </c>
      <c r="D132" s="89">
        <f>C132*'Giá NhậpXuất'!$C$6</f>
        <v>156000</v>
      </c>
      <c r="E132" s="13">
        <f t="shared" si="46"/>
        <v>13000</v>
      </c>
      <c r="F132" s="66">
        <f t="shared" si="48"/>
        <v>20</v>
      </c>
      <c r="G132" s="66">
        <f t="shared" si="49"/>
        <v>13</v>
      </c>
      <c r="X132" s="102" t="s">
        <v>6</v>
      </c>
      <c r="Y132" s="103">
        <v>9.0</v>
      </c>
      <c r="Z132" s="104"/>
      <c r="AA132" s="104">
        <f t="shared" si="47"/>
        <v>3</v>
      </c>
      <c r="AC132" s="103"/>
      <c r="AF132" s="105">
        <v>2.0</v>
      </c>
      <c r="AG132" s="105">
        <v>1.0</v>
      </c>
    </row>
    <row r="133" ht="22.5" customHeight="1">
      <c r="A133" s="11">
        <v>46114.0</v>
      </c>
      <c r="B133" s="13" t="s">
        <v>7</v>
      </c>
      <c r="C133" s="111"/>
      <c r="D133" s="89">
        <f>C133*'Giá NhậpXuất'!$C$7</f>
        <v>0</v>
      </c>
      <c r="E133" s="13" t="str">
        <f t="shared" si="46"/>
        <v>#DIV/0!</v>
      </c>
      <c r="F133" s="66">
        <f t="shared" si="48"/>
        <v>11</v>
      </c>
      <c r="G133" s="66">
        <f t="shared" si="49"/>
        <v>0</v>
      </c>
      <c r="X133" s="102" t="s">
        <v>7</v>
      </c>
      <c r="Y133" s="103">
        <v>10.0</v>
      </c>
      <c r="Z133" s="104"/>
      <c r="AA133" s="104">
        <f t="shared" si="47"/>
        <v>2</v>
      </c>
      <c r="AC133" s="103"/>
      <c r="AF133" s="105">
        <v>2.0</v>
      </c>
    </row>
    <row r="134" ht="22.5" customHeight="1">
      <c r="A134" s="11">
        <v>46114.0</v>
      </c>
      <c r="B134" s="13" t="s">
        <v>8</v>
      </c>
      <c r="C134" s="111">
        <v>20.0</v>
      </c>
      <c r="D134" s="89">
        <f>C134*'Giá NhậpXuất'!$C$8</f>
        <v>260000</v>
      </c>
      <c r="E134" s="13">
        <f t="shared" si="46"/>
        <v>13000</v>
      </c>
      <c r="F134" s="66">
        <f t="shared" si="48"/>
        <v>38</v>
      </c>
      <c r="G134" s="66">
        <f t="shared" si="49"/>
        <v>20</v>
      </c>
      <c r="X134" s="102" t="s">
        <v>8</v>
      </c>
      <c r="Y134" s="103">
        <v>10.0</v>
      </c>
      <c r="Z134" s="104"/>
      <c r="AA134" s="104">
        <f t="shared" si="47"/>
        <v>2</v>
      </c>
      <c r="AC134" s="103">
        <v>2.0</v>
      </c>
    </row>
    <row r="135" ht="22.5" customHeight="1">
      <c r="A135" s="11">
        <v>46114.0</v>
      </c>
      <c r="B135" s="13" t="s">
        <v>9</v>
      </c>
      <c r="C135" s="111">
        <v>31.0</v>
      </c>
      <c r="D135" s="89">
        <f>C135*'Giá NhậpXuất'!$C$9</f>
        <v>403000</v>
      </c>
      <c r="E135" s="13">
        <f t="shared" si="46"/>
        <v>13000</v>
      </c>
      <c r="F135" s="66">
        <f t="shared" si="48"/>
        <v>47</v>
      </c>
      <c r="G135" s="66">
        <f t="shared" si="49"/>
        <v>28</v>
      </c>
      <c r="X135" s="102" t="s">
        <v>9</v>
      </c>
      <c r="Y135" s="103">
        <v>24.0</v>
      </c>
      <c r="Z135" s="104"/>
      <c r="AA135" s="104">
        <f t="shared" si="47"/>
        <v>2</v>
      </c>
      <c r="AC135" s="103"/>
      <c r="AF135" s="105">
        <v>1.0</v>
      </c>
      <c r="AG135" s="105">
        <v>1.0</v>
      </c>
    </row>
    <row r="136" ht="22.5" customHeight="1">
      <c r="A136" s="11">
        <v>46114.0</v>
      </c>
      <c r="B136" s="13" t="s">
        <v>10</v>
      </c>
      <c r="C136" s="112"/>
      <c r="D136" s="89">
        <f>C136*'Giá NhậpXuất'!$C$10</f>
        <v>0</v>
      </c>
      <c r="E136" s="13" t="str">
        <f t="shared" si="46"/>
        <v>#DIV/0!</v>
      </c>
      <c r="F136" s="66">
        <f t="shared" si="48"/>
        <v>2</v>
      </c>
      <c r="G136" s="66">
        <f t="shared" si="49"/>
        <v>1</v>
      </c>
      <c r="X136" s="102" t="s">
        <v>10</v>
      </c>
      <c r="Y136" s="104"/>
      <c r="Z136" s="104"/>
      <c r="AA136" s="104">
        <f t="shared" si="47"/>
        <v>0</v>
      </c>
      <c r="AC136" s="104"/>
    </row>
    <row r="137" ht="22.5" customHeight="1">
      <c r="A137" s="11">
        <v>46114.0</v>
      </c>
      <c r="B137" s="13" t="s">
        <v>11</v>
      </c>
      <c r="C137" s="112"/>
      <c r="D137" s="89">
        <f>C137*'Giá NhậpXuất'!$C$11</f>
        <v>0</v>
      </c>
      <c r="E137" s="13" t="str">
        <f t="shared" si="46"/>
        <v>#DIV/0!</v>
      </c>
      <c r="F137" s="66">
        <f t="shared" si="48"/>
        <v>0</v>
      </c>
      <c r="G137" s="66">
        <f t="shared" si="49"/>
        <v>0</v>
      </c>
      <c r="X137" s="102" t="s">
        <v>11</v>
      </c>
      <c r="Y137" s="104"/>
      <c r="Z137" s="104"/>
      <c r="AA137" s="104">
        <f t="shared" si="47"/>
        <v>0</v>
      </c>
      <c r="AC137" s="104"/>
    </row>
    <row r="138" ht="22.5" customHeight="1">
      <c r="A138" s="11">
        <v>46114.0</v>
      </c>
      <c r="B138" s="13" t="s">
        <v>12</v>
      </c>
      <c r="C138" s="111"/>
      <c r="D138" s="89">
        <f>C138*'Giá NhậpXuất'!$C$12</f>
        <v>0</v>
      </c>
      <c r="E138" s="13" t="str">
        <f t="shared" si="46"/>
        <v>#DIV/0!</v>
      </c>
      <c r="F138" s="66">
        <f t="shared" si="48"/>
        <v>14</v>
      </c>
      <c r="G138" s="66">
        <f t="shared" si="49"/>
        <v>1</v>
      </c>
      <c r="X138" s="102" t="s">
        <v>12</v>
      </c>
      <c r="Y138" s="103">
        <v>11.0</v>
      </c>
      <c r="Z138" s="104"/>
      <c r="AA138" s="104">
        <f t="shared" si="47"/>
        <v>0</v>
      </c>
      <c r="AC138" s="104"/>
    </row>
    <row r="139" ht="22.5" customHeight="1">
      <c r="A139" s="11">
        <v>46114.0</v>
      </c>
      <c r="B139" s="13" t="s">
        <v>13</v>
      </c>
      <c r="C139" s="111">
        <v>15.0</v>
      </c>
      <c r="D139" s="89">
        <f>C139*'Giá NhậpXuất'!$C$13</f>
        <v>195000</v>
      </c>
      <c r="E139" s="13">
        <f t="shared" si="46"/>
        <v>13000</v>
      </c>
      <c r="F139" s="66">
        <f t="shared" si="48"/>
        <v>16</v>
      </c>
      <c r="G139" s="66">
        <f t="shared" si="49"/>
        <v>1</v>
      </c>
      <c r="X139" s="102" t="s">
        <v>13</v>
      </c>
      <c r="Y139" s="103">
        <v>4.0</v>
      </c>
      <c r="Z139" s="104"/>
      <c r="AA139" s="104">
        <f t="shared" si="47"/>
        <v>3</v>
      </c>
      <c r="AC139" s="103">
        <v>1.0</v>
      </c>
      <c r="AF139" s="105">
        <v>1.0</v>
      </c>
      <c r="AG139" s="105">
        <v>1.0</v>
      </c>
    </row>
    <row r="140" ht="22.5" customHeight="1">
      <c r="A140" s="11">
        <v>46114.0</v>
      </c>
      <c r="B140" s="13" t="s">
        <v>14</v>
      </c>
      <c r="C140" s="111">
        <v>10.0</v>
      </c>
      <c r="D140" s="89">
        <f>C140*'Giá NhậpXuất'!$C$14</f>
        <v>160000</v>
      </c>
      <c r="E140" s="13">
        <f t="shared" si="46"/>
        <v>16000</v>
      </c>
      <c r="F140" s="66">
        <f t="shared" si="48"/>
        <v>16</v>
      </c>
      <c r="G140" s="66">
        <f t="shared" si="49"/>
        <v>8</v>
      </c>
      <c r="X140" s="102" t="s">
        <v>14</v>
      </c>
      <c r="Y140" s="103">
        <v>8.0</v>
      </c>
      <c r="Z140" s="104"/>
      <c r="AA140" s="104">
        <f t="shared" si="47"/>
        <v>1</v>
      </c>
      <c r="AC140" s="103"/>
      <c r="AE140" s="105">
        <v>1.0</v>
      </c>
    </row>
    <row r="141" ht="22.5" customHeight="1">
      <c r="A141" s="11">
        <v>46114.0</v>
      </c>
      <c r="B141" s="13" t="s">
        <v>15</v>
      </c>
      <c r="C141" s="111"/>
      <c r="D141" s="89">
        <f>C141*'Giá NhậpXuất'!$C$15</f>
        <v>0</v>
      </c>
      <c r="E141" s="13" t="str">
        <f t="shared" si="46"/>
        <v>#DIV/0!</v>
      </c>
      <c r="F141" s="66">
        <f t="shared" si="48"/>
        <v>114</v>
      </c>
      <c r="G141" s="66">
        <f t="shared" si="49"/>
        <v>11</v>
      </c>
      <c r="X141" s="102" t="s">
        <v>15</v>
      </c>
      <c r="Y141" s="103"/>
      <c r="Z141" s="104"/>
      <c r="AA141" s="104">
        <f t="shared" si="47"/>
        <v>16</v>
      </c>
      <c r="AC141" s="103"/>
      <c r="AE141" s="105">
        <v>6.0</v>
      </c>
      <c r="AF141" s="105">
        <v>10.0</v>
      </c>
    </row>
    <row r="142" ht="22.5" customHeight="1">
      <c r="B142" s="59" t="s">
        <v>16</v>
      </c>
      <c r="C142" s="111">
        <f t="shared" ref="C142:D142" si="50">sum(C130:C141)</f>
        <v>100</v>
      </c>
      <c r="D142" s="6">
        <f t="shared" si="50"/>
        <v>1330000</v>
      </c>
      <c r="X142" s="106"/>
      <c r="Y142" s="107"/>
      <c r="Z142" s="108"/>
      <c r="AA142" s="109">
        <f>sum(Table2[Tổng Tồn])</f>
        <v>40</v>
      </c>
      <c r="AB142" s="108">
        <f>sum(Table2[Tồn XL])</f>
        <v>0</v>
      </c>
      <c r="AC142" s="109">
        <f>sum(Table2[Tồn XĐ sau])</f>
        <v>5</v>
      </c>
      <c r="AD142" s="108">
        <f>sum(Table2[Tồn VTD])</f>
        <v>0</v>
      </c>
      <c r="AE142" s="108">
        <f>sum(Table2[Tồn CN A])</f>
        <v>8</v>
      </c>
      <c r="AF142" s="108">
        <f>sum(Table2[Tồn CN B])</f>
        <v>22</v>
      </c>
      <c r="AG142" s="108">
        <f>sum(Table2[Tồn ĐN])</f>
        <v>5</v>
      </c>
    </row>
    <row r="143">
      <c r="A143" s="60"/>
      <c r="B143" s="60"/>
      <c r="C143" s="60"/>
      <c r="D143" s="89"/>
      <c r="E143" s="60"/>
      <c r="F143" s="60"/>
      <c r="G143" s="60"/>
      <c r="H143" s="60"/>
      <c r="I143" s="113"/>
      <c r="J143" s="113"/>
      <c r="K143" s="113"/>
      <c r="L143" s="113"/>
      <c r="M143" s="113"/>
      <c r="N143" s="113"/>
      <c r="O143" s="113"/>
      <c r="P143" s="113"/>
      <c r="Q143" s="113"/>
      <c r="R143" s="113"/>
      <c r="S143" s="113"/>
      <c r="T143" s="113"/>
      <c r="U143" s="113"/>
      <c r="V143" s="113"/>
      <c r="W143" s="113"/>
      <c r="X143" s="60"/>
      <c r="Y143" s="60"/>
      <c r="Z143" s="60"/>
      <c r="AA143" s="60"/>
      <c r="AB143" s="60"/>
      <c r="AC143" s="60"/>
      <c r="AD143" s="60"/>
      <c r="AE143" s="60"/>
      <c r="AF143" s="60"/>
      <c r="AG143" s="60"/>
    </row>
    <row r="144">
      <c r="D144" s="6"/>
      <c r="I144" s="95" t="s">
        <v>113</v>
      </c>
      <c r="P144" s="62"/>
      <c r="Q144" s="62"/>
      <c r="R144" s="62" t="s">
        <v>114</v>
      </c>
      <c r="AA144" s="66">
        <f>Item_Stock_Levels[[#TOTALS],[Tổng Tồn]]-sum(R142:W142)</f>
        <v>426</v>
      </c>
    </row>
    <row r="145" ht="22.5" customHeight="1">
      <c r="C145" s="4" t="s">
        <v>243</v>
      </c>
      <c r="D145" s="6"/>
      <c r="G145" s="4" t="s">
        <v>245</v>
      </c>
      <c r="I145" s="4" t="s">
        <v>93</v>
      </c>
      <c r="J145" s="4" t="s">
        <v>227</v>
      </c>
      <c r="K145" s="110" t="s">
        <v>89</v>
      </c>
      <c r="L145" s="4" t="s">
        <v>80</v>
      </c>
      <c r="M145" s="4" t="s">
        <v>81</v>
      </c>
      <c r="N145" s="4" t="s">
        <v>232</v>
      </c>
      <c r="P145" s="4"/>
      <c r="Q145" s="4" t="s">
        <v>93</v>
      </c>
      <c r="R145" s="4" t="s">
        <v>227</v>
      </c>
      <c r="S145" s="4" t="s">
        <v>89</v>
      </c>
      <c r="T145" s="4" t="s">
        <v>80</v>
      </c>
      <c r="U145" s="4" t="s">
        <v>81</v>
      </c>
      <c r="V145" s="4" t="s">
        <v>232</v>
      </c>
      <c r="X145" s="99" t="s">
        <v>236</v>
      </c>
      <c r="Y145" s="100" t="s">
        <v>233</v>
      </c>
      <c r="Z145" s="101" t="s">
        <v>237</v>
      </c>
      <c r="AA145" s="100" t="s">
        <v>234</v>
      </c>
      <c r="AB145" s="100" t="s">
        <v>238</v>
      </c>
      <c r="AC145" s="100" t="s">
        <v>231</v>
      </c>
      <c r="AD145" s="100" t="s">
        <v>239</v>
      </c>
      <c r="AE145" s="100" t="s">
        <v>246</v>
      </c>
      <c r="AF145" s="100" t="s">
        <v>247</v>
      </c>
      <c r="AG145" s="100" t="s">
        <v>248</v>
      </c>
    </row>
    <row r="146" ht="22.5" customHeight="1">
      <c r="A146" s="11">
        <f>A137+1</f>
        <v>46115</v>
      </c>
      <c r="B146" s="13" t="s">
        <v>4</v>
      </c>
      <c r="C146" s="111">
        <v>40.0</v>
      </c>
      <c r="D146" s="89">
        <f>C146*'Giá NhậpXuất'!$C$4</f>
        <v>520000</v>
      </c>
      <c r="E146" s="13">
        <f t="shared" ref="E146:E157" si="51">D146/C146</f>
        <v>13000</v>
      </c>
      <c r="G146" s="66">
        <f t="shared" ref="G146:G157" si="52">Y146+AA146-sum(Q146:V146)</f>
        <v>0</v>
      </c>
      <c r="I146" s="4">
        <v>4.0</v>
      </c>
      <c r="J146" s="4">
        <v>5.0</v>
      </c>
      <c r="K146" s="4">
        <v>15.0</v>
      </c>
      <c r="L146" s="4">
        <v>8.0</v>
      </c>
      <c r="M146" s="4">
        <v>10.0</v>
      </c>
      <c r="N146" s="4">
        <v>7.0</v>
      </c>
      <c r="P146" s="4"/>
      <c r="Q146" s="4">
        <v>2.0</v>
      </c>
      <c r="S146" s="4">
        <v>1.0</v>
      </c>
      <c r="T146" s="4">
        <v>2.0</v>
      </c>
      <c r="U146" s="4">
        <v>1.0</v>
      </c>
      <c r="V146" s="4">
        <v>2.0</v>
      </c>
      <c r="X146" s="102" t="s">
        <v>4</v>
      </c>
      <c r="Y146" s="103"/>
      <c r="Z146" s="104"/>
      <c r="AA146" s="104">
        <f t="shared" ref="AA146:AA157" si="53">sum(AB146:AG146)</f>
        <v>8</v>
      </c>
      <c r="AB146" s="105">
        <v>4.0</v>
      </c>
      <c r="AC146" s="103"/>
      <c r="AD146" s="105">
        <v>4.0</v>
      </c>
    </row>
    <row r="147" ht="22.5" customHeight="1">
      <c r="A147" s="11">
        <v>46114.0</v>
      </c>
      <c r="B147" s="13" t="s">
        <v>5</v>
      </c>
      <c r="C147" s="111">
        <v>20.0</v>
      </c>
      <c r="D147" s="89">
        <f>C147*'Giá NhậpXuất'!$C$5</f>
        <v>260000</v>
      </c>
      <c r="E147" s="13">
        <f t="shared" si="51"/>
        <v>13000</v>
      </c>
      <c r="G147" s="66">
        <f t="shared" si="52"/>
        <v>0</v>
      </c>
      <c r="I147" s="4">
        <v>2.0</v>
      </c>
      <c r="J147" s="4">
        <v>3.0</v>
      </c>
      <c r="K147" s="4">
        <v>6.0</v>
      </c>
      <c r="L147" s="4">
        <v>5.0</v>
      </c>
      <c r="M147" s="4">
        <v>5.0</v>
      </c>
      <c r="N147" s="4">
        <v>4.0</v>
      </c>
      <c r="S147" s="4">
        <v>2.0</v>
      </c>
      <c r="T147" s="4">
        <v>2.0</v>
      </c>
      <c r="X147" s="102" t="s">
        <v>5</v>
      </c>
      <c r="Y147" s="103"/>
      <c r="Z147" s="104"/>
      <c r="AA147" s="104">
        <f t="shared" si="53"/>
        <v>4</v>
      </c>
      <c r="AC147" s="103">
        <v>2.0</v>
      </c>
      <c r="AD147" s="105">
        <v>2.0</v>
      </c>
    </row>
    <row r="148" ht="22.5" customHeight="1">
      <c r="A148" s="11">
        <v>46114.0</v>
      </c>
      <c r="B148" s="13" t="s">
        <v>6</v>
      </c>
      <c r="C148" s="111">
        <v>20.0</v>
      </c>
      <c r="D148" s="89">
        <f>C148*'Giá NhậpXuất'!$C$6</f>
        <v>260000</v>
      </c>
      <c r="E148" s="13">
        <f t="shared" si="51"/>
        <v>13000</v>
      </c>
      <c r="G148" s="66">
        <f t="shared" si="52"/>
        <v>0</v>
      </c>
      <c r="I148" s="4">
        <v>4.0</v>
      </c>
      <c r="J148" s="4">
        <v>3.0</v>
      </c>
      <c r="K148" s="4">
        <v>3.0</v>
      </c>
      <c r="L148" s="4">
        <v>4.0</v>
      </c>
      <c r="M148" s="4">
        <v>2.0</v>
      </c>
      <c r="N148" s="4">
        <v>2.0</v>
      </c>
      <c r="P148" s="4"/>
      <c r="Q148" s="4">
        <v>2.0</v>
      </c>
      <c r="S148" s="4">
        <v>4.0</v>
      </c>
      <c r="T148" s="4">
        <v>3.0</v>
      </c>
      <c r="U148" s="4">
        <v>3.0</v>
      </c>
      <c r="V148" s="4">
        <v>2.0</v>
      </c>
      <c r="X148" s="102" t="s">
        <v>6</v>
      </c>
      <c r="Y148" s="103">
        <v>10.0</v>
      </c>
      <c r="Z148" s="104"/>
      <c r="AA148" s="104">
        <f t="shared" si="53"/>
        <v>4</v>
      </c>
      <c r="AC148" s="103"/>
      <c r="AD148" s="105">
        <v>4.0</v>
      </c>
    </row>
    <row r="149" ht="22.5" customHeight="1">
      <c r="A149" s="11">
        <v>46114.0</v>
      </c>
      <c r="B149" s="13" t="s">
        <v>7</v>
      </c>
      <c r="C149" s="111">
        <v>20.0</v>
      </c>
      <c r="D149" s="89">
        <f>C149*'Giá NhậpXuất'!$C$7</f>
        <v>260000</v>
      </c>
      <c r="E149" s="13">
        <f t="shared" si="51"/>
        <v>13000</v>
      </c>
      <c r="G149" s="66">
        <f t="shared" si="52"/>
        <v>0</v>
      </c>
      <c r="I149" s="4">
        <v>3.0</v>
      </c>
      <c r="J149" s="4">
        <v>2.0</v>
      </c>
      <c r="K149" s="4">
        <v>4.0</v>
      </c>
      <c r="L149" s="4">
        <v>3.0</v>
      </c>
      <c r="M149" s="4">
        <v>4.0</v>
      </c>
      <c r="N149" s="4">
        <v>3.0</v>
      </c>
      <c r="P149" s="4"/>
      <c r="Q149" s="4">
        <v>2.0</v>
      </c>
      <c r="U149" s="4">
        <v>2.0</v>
      </c>
      <c r="V149" s="4">
        <v>1.0</v>
      </c>
      <c r="X149" s="102" t="s">
        <v>7</v>
      </c>
      <c r="Y149" s="103">
        <v>4.0</v>
      </c>
      <c r="Z149" s="104"/>
      <c r="AA149" s="104">
        <f t="shared" si="53"/>
        <v>1</v>
      </c>
      <c r="AC149" s="103"/>
      <c r="AD149" s="105">
        <v>1.0</v>
      </c>
    </row>
    <row r="150" ht="22.5" customHeight="1">
      <c r="A150" s="11">
        <v>46114.0</v>
      </c>
      <c r="B150" s="13" t="s">
        <v>8</v>
      </c>
      <c r="C150" s="111">
        <v>20.0</v>
      </c>
      <c r="D150" s="89">
        <f>C150*'Giá NhậpXuất'!$C$8</f>
        <v>260000</v>
      </c>
      <c r="E150" s="13">
        <f t="shared" si="51"/>
        <v>13000</v>
      </c>
      <c r="G150" s="66">
        <f t="shared" si="52"/>
        <v>0</v>
      </c>
      <c r="I150" s="4">
        <v>6.0</v>
      </c>
      <c r="J150" s="4">
        <v>3.0</v>
      </c>
      <c r="K150" s="4">
        <v>5.0</v>
      </c>
      <c r="L150" s="4">
        <v>4.0</v>
      </c>
      <c r="M150" s="4">
        <v>6.0</v>
      </c>
      <c r="N150" s="4">
        <v>2.0</v>
      </c>
      <c r="S150" s="4">
        <v>2.0</v>
      </c>
      <c r="T150" s="4">
        <v>2.0</v>
      </c>
      <c r="U150" s="4">
        <v>2.0</v>
      </c>
      <c r="V150" s="4">
        <v>1.0</v>
      </c>
      <c r="X150" s="102" t="s">
        <v>8</v>
      </c>
      <c r="Y150" s="103">
        <v>7.0</v>
      </c>
      <c r="Z150" s="104"/>
      <c r="AA150" s="104">
        <f t="shared" si="53"/>
        <v>0</v>
      </c>
      <c r="AC150" s="103"/>
    </row>
    <row r="151" ht="22.5" customHeight="1">
      <c r="A151" s="11">
        <v>46114.0</v>
      </c>
      <c r="B151" s="13" t="s">
        <v>9</v>
      </c>
      <c r="C151" s="111">
        <v>60.0</v>
      </c>
      <c r="D151" s="89">
        <f>C151*'Giá NhậpXuất'!$C$9</f>
        <v>780000</v>
      </c>
      <c r="E151" s="13">
        <f t="shared" si="51"/>
        <v>13000</v>
      </c>
      <c r="G151" s="66">
        <f t="shared" si="52"/>
        <v>1</v>
      </c>
      <c r="I151" s="4">
        <v>9.0</v>
      </c>
      <c r="J151" s="4">
        <v>5.0</v>
      </c>
      <c r="K151" s="4">
        <v>10.0</v>
      </c>
      <c r="L151" s="4">
        <v>6.0</v>
      </c>
      <c r="M151" s="4">
        <v>7.0</v>
      </c>
      <c r="N151" s="4">
        <v>3.0</v>
      </c>
      <c r="P151" s="4"/>
      <c r="Q151" s="4">
        <v>6.0</v>
      </c>
      <c r="S151" s="4">
        <v>9.0</v>
      </c>
      <c r="T151" s="4">
        <v>10.0</v>
      </c>
      <c r="U151" s="4">
        <v>10.0</v>
      </c>
      <c r="V151" s="4">
        <v>7.0</v>
      </c>
      <c r="X151" s="102" t="s">
        <v>9</v>
      </c>
      <c r="Y151" s="103">
        <v>35.0</v>
      </c>
      <c r="Z151" s="104"/>
      <c r="AA151" s="104">
        <f t="shared" si="53"/>
        <v>8</v>
      </c>
      <c r="AB151" s="105">
        <v>6.0</v>
      </c>
      <c r="AC151" s="103"/>
      <c r="AD151" s="105">
        <v>2.0</v>
      </c>
    </row>
    <row r="152" ht="22.5" customHeight="1">
      <c r="A152" s="11">
        <v>46114.0</v>
      </c>
      <c r="B152" s="13" t="s">
        <v>10</v>
      </c>
      <c r="C152" s="111">
        <v>20.0</v>
      </c>
      <c r="D152" s="89">
        <f>C152*'Giá NhậpXuất'!$C$10</f>
        <v>260000</v>
      </c>
      <c r="E152" s="13">
        <f t="shared" si="51"/>
        <v>13000</v>
      </c>
      <c r="G152" s="66">
        <f t="shared" si="52"/>
        <v>0</v>
      </c>
      <c r="I152" s="4">
        <v>4.0</v>
      </c>
      <c r="K152" s="4">
        <v>4.0</v>
      </c>
      <c r="L152" s="4">
        <v>3.0</v>
      </c>
      <c r="M152" s="4">
        <v>3.0</v>
      </c>
      <c r="N152" s="4">
        <v>2.0</v>
      </c>
      <c r="P152" s="4"/>
      <c r="Q152" s="4">
        <v>1.0</v>
      </c>
      <c r="S152" s="4">
        <v>2.0</v>
      </c>
      <c r="T152" s="4">
        <v>2.0</v>
      </c>
      <c r="U152" s="4">
        <v>2.0</v>
      </c>
      <c r="V152" s="4">
        <v>1.0</v>
      </c>
      <c r="X152" s="102" t="s">
        <v>10</v>
      </c>
      <c r="Y152" s="103">
        <v>5.0</v>
      </c>
      <c r="Z152" s="104"/>
      <c r="AA152" s="104">
        <f t="shared" si="53"/>
        <v>3</v>
      </c>
      <c r="AC152" s="104"/>
      <c r="AD152" s="105">
        <v>3.0</v>
      </c>
    </row>
    <row r="153" ht="22.5" customHeight="1">
      <c r="A153" s="11">
        <v>46114.0</v>
      </c>
      <c r="B153" s="13" t="s">
        <v>11</v>
      </c>
      <c r="C153" s="111">
        <v>15.0</v>
      </c>
      <c r="D153" s="89">
        <f>C153*'Giá NhậpXuất'!$C$11</f>
        <v>195000</v>
      </c>
      <c r="E153" s="13">
        <f t="shared" si="51"/>
        <v>13000</v>
      </c>
      <c r="G153" s="66">
        <f t="shared" si="52"/>
        <v>0</v>
      </c>
      <c r="K153" s="4">
        <v>4.0</v>
      </c>
      <c r="M153" s="4">
        <v>3.0</v>
      </c>
      <c r="N153" s="4">
        <v>2.0</v>
      </c>
      <c r="P153" s="4"/>
      <c r="Q153" s="4">
        <v>3.0</v>
      </c>
      <c r="S153" s="4">
        <v>3.0</v>
      </c>
      <c r="T153" s="4">
        <v>3.0</v>
      </c>
      <c r="U153" s="4">
        <v>4.0</v>
      </c>
      <c r="V153" s="4">
        <v>2.0</v>
      </c>
      <c r="X153" s="102" t="s">
        <v>11</v>
      </c>
      <c r="Y153" s="103">
        <v>11.0</v>
      </c>
      <c r="Z153" s="104"/>
      <c r="AA153" s="104">
        <f t="shared" si="53"/>
        <v>4</v>
      </c>
      <c r="AC153" s="104"/>
      <c r="AD153" s="105">
        <v>4.0</v>
      </c>
    </row>
    <row r="154" ht="22.5" customHeight="1">
      <c r="A154" s="11">
        <v>46114.0</v>
      </c>
      <c r="B154" s="13" t="s">
        <v>12</v>
      </c>
      <c r="C154" s="111">
        <v>25.0</v>
      </c>
      <c r="D154" s="89">
        <f>C154*'Giá NhậpXuất'!$C$12</f>
        <v>325000</v>
      </c>
      <c r="E154" s="13">
        <f t="shared" si="51"/>
        <v>13000</v>
      </c>
      <c r="G154" s="66">
        <f t="shared" si="52"/>
        <v>0</v>
      </c>
      <c r="I154" s="4">
        <v>3.0</v>
      </c>
      <c r="J154" s="4">
        <v>2.0</v>
      </c>
      <c r="K154" s="4">
        <v>6.0</v>
      </c>
      <c r="L154" s="4">
        <v>2.0</v>
      </c>
      <c r="M154" s="4">
        <v>3.0</v>
      </c>
      <c r="P154" s="4"/>
      <c r="Q154" s="4">
        <v>3.0</v>
      </c>
      <c r="S154" s="4">
        <v>4.0</v>
      </c>
      <c r="T154" s="4">
        <v>2.0</v>
      </c>
      <c r="U154" s="4">
        <v>3.0</v>
      </c>
      <c r="V154" s="4">
        <v>2.0</v>
      </c>
      <c r="X154" s="102" t="s">
        <v>12</v>
      </c>
      <c r="Y154" s="103">
        <v>11.0</v>
      </c>
      <c r="Z154" s="104"/>
      <c r="AA154" s="104">
        <f t="shared" si="53"/>
        <v>3</v>
      </c>
      <c r="AC154" s="104"/>
      <c r="AD154" s="105">
        <v>3.0</v>
      </c>
    </row>
    <row r="155" ht="22.5" customHeight="1">
      <c r="A155" s="11">
        <v>46114.0</v>
      </c>
      <c r="B155" s="13" t="s">
        <v>13</v>
      </c>
      <c r="C155" s="111">
        <v>25.0</v>
      </c>
      <c r="D155" s="89">
        <f>C155*'Giá NhậpXuất'!$C$13</f>
        <v>325000</v>
      </c>
      <c r="E155" s="13">
        <f t="shared" si="51"/>
        <v>13000</v>
      </c>
      <c r="G155" s="66">
        <f t="shared" si="52"/>
        <v>0</v>
      </c>
      <c r="I155" s="4">
        <v>4.0</v>
      </c>
      <c r="J155" s="4">
        <v>3.0</v>
      </c>
      <c r="K155" s="4">
        <v>5.0</v>
      </c>
      <c r="L155" s="4">
        <v>4.0</v>
      </c>
      <c r="M155" s="4">
        <v>5.0</v>
      </c>
      <c r="N155" s="4">
        <v>4.0</v>
      </c>
      <c r="P155" s="4"/>
      <c r="Q155" s="4">
        <v>2.0</v>
      </c>
      <c r="S155" s="4">
        <v>3.0</v>
      </c>
      <c r="T155" s="4">
        <v>3.0</v>
      </c>
      <c r="U155" s="4">
        <v>5.0</v>
      </c>
      <c r="V155" s="4">
        <v>3.0</v>
      </c>
      <c r="X155" s="102" t="s">
        <v>13</v>
      </c>
      <c r="Y155" s="103">
        <v>12.0</v>
      </c>
      <c r="Z155" s="104"/>
      <c r="AA155" s="104">
        <f t="shared" si="53"/>
        <v>4</v>
      </c>
      <c r="AC155" s="103">
        <v>2.0</v>
      </c>
      <c r="AD155" s="105">
        <v>2.0</v>
      </c>
    </row>
    <row r="156" ht="22.5" customHeight="1">
      <c r="A156" s="11">
        <v>46114.0</v>
      </c>
      <c r="B156" s="13" t="s">
        <v>14</v>
      </c>
      <c r="C156" s="111">
        <v>15.0</v>
      </c>
      <c r="D156" s="89">
        <f>C156*'Giá NhậpXuất'!$C$14</f>
        <v>240000</v>
      </c>
      <c r="E156" s="13">
        <f t="shared" si="51"/>
        <v>16000</v>
      </c>
      <c r="G156" s="66">
        <f t="shared" si="52"/>
        <v>1</v>
      </c>
      <c r="I156" s="4">
        <v>2.0</v>
      </c>
      <c r="K156" s="4">
        <v>4.0</v>
      </c>
      <c r="L156" s="4">
        <v>2.0</v>
      </c>
      <c r="M156" s="4">
        <v>3.0</v>
      </c>
      <c r="N156" s="4">
        <v>2.0</v>
      </c>
      <c r="P156" s="4"/>
      <c r="Q156" s="4">
        <v>1.0</v>
      </c>
      <c r="S156" s="4">
        <v>2.0</v>
      </c>
      <c r="T156" s="4">
        <v>2.0</v>
      </c>
      <c r="U156" s="4">
        <v>2.0</v>
      </c>
      <c r="V156" s="4">
        <v>2.0</v>
      </c>
      <c r="X156" s="102" t="s">
        <v>14</v>
      </c>
      <c r="Y156" s="103">
        <v>8.0</v>
      </c>
      <c r="Z156" s="104"/>
      <c r="AA156" s="104">
        <f t="shared" si="53"/>
        <v>2</v>
      </c>
      <c r="AC156" s="103"/>
      <c r="AD156" s="105">
        <v>2.0</v>
      </c>
    </row>
    <row r="157" ht="22.5" customHeight="1">
      <c r="A157" s="11">
        <v>46114.0</v>
      </c>
      <c r="B157" s="13" t="s">
        <v>15</v>
      </c>
      <c r="C157" s="111">
        <v>170.0</v>
      </c>
      <c r="D157" s="89">
        <f>C157*'Giá NhậpXuất'!$C$15</f>
        <v>2210000</v>
      </c>
      <c r="E157" s="13">
        <f t="shared" si="51"/>
        <v>13000</v>
      </c>
      <c r="G157" s="66">
        <f t="shared" si="52"/>
        <v>0</v>
      </c>
      <c r="I157" s="4">
        <v>25.0</v>
      </c>
      <c r="J157" s="4">
        <v>25.0</v>
      </c>
      <c r="K157" s="4">
        <v>45.0</v>
      </c>
      <c r="L157" s="4">
        <v>30.0</v>
      </c>
      <c r="M157" s="4">
        <v>30.0</v>
      </c>
      <c r="N157" s="4">
        <v>30.0</v>
      </c>
      <c r="P157" s="4"/>
      <c r="Q157" s="4">
        <v>9.0</v>
      </c>
      <c r="S157" s="4">
        <v>10.0</v>
      </c>
      <c r="T157" s="4">
        <v>10.0</v>
      </c>
      <c r="U157" s="4">
        <v>10.0</v>
      </c>
      <c r="V157" s="4">
        <v>10.0</v>
      </c>
      <c r="X157" s="102" t="s">
        <v>15</v>
      </c>
      <c r="Y157" s="103">
        <v>30.0</v>
      </c>
      <c r="Z157" s="104"/>
      <c r="AA157" s="104">
        <f t="shared" si="53"/>
        <v>19</v>
      </c>
      <c r="AB157" s="105">
        <v>1.0</v>
      </c>
      <c r="AC157" s="103">
        <v>7.0</v>
      </c>
      <c r="AD157" s="105">
        <v>11.0</v>
      </c>
    </row>
    <row r="158" ht="22.5" customHeight="1">
      <c r="C158" s="13">
        <f t="shared" ref="C158:D158" si="54">sum(C146:C157)</f>
        <v>450</v>
      </c>
      <c r="D158" s="6">
        <f t="shared" si="54"/>
        <v>5895000</v>
      </c>
      <c r="I158" s="97">
        <f t="shared" ref="I158:N158" si="55">sum(I146:I157)</f>
        <v>66</v>
      </c>
      <c r="J158" s="97">
        <f t="shared" si="55"/>
        <v>51</v>
      </c>
      <c r="K158" s="97">
        <f t="shared" si="55"/>
        <v>111</v>
      </c>
      <c r="L158" s="97">
        <f t="shared" si="55"/>
        <v>71</v>
      </c>
      <c r="M158" s="97">
        <f t="shared" si="55"/>
        <v>81</v>
      </c>
      <c r="N158" s="97">
        <f t="shared" si="55"/>
        <v>61</v>
      </c>
      <c r="Q158" s="13">
        <f t="shared" ref="Q158:V158" si="56">sum(Q146:Q157)</f>
        <v>31</v>
      </c>
      <c r="R158" s="13">
        <f t="shared" si="56"/>
        <v>0</v>
      </c>
      <c r="S158" s="13">
        <f t="shared" si="56"/>
        <v>42</v>
      </c>
      <c r="T158" s="13">
        <f t="shared" si="56"/>
        <v>41</v>
      </c>
      <c r="U158" s="13">
        <f t="shared" si="56"/>
        <v>44</v>
      </c>
      <c r="V158" s="13">
        <f t="shared" si="56"/>
        <v>33</v>
      </c>
      <c r="X158" s="106"/>
      <c r="Y158" s="109">
        <f>sum(Table3[Chưa Quay])</f>
        <v>133</v>
      </c>
      <c r="Z158" s="108"/>
      <c r="AA158" s="109">
        <f>sum(Table3[Tổng Tồn])</f>
        <v>60</v>
      </c>
      <c r="AB158" s="108">
        <f>sum(Table3[Tồn XL])</f>
        <v>11</v>
      </c>
      <c r="AC158" s="109">
        <f>sum(Table3[Tồn XĐ sau])</f>
        <v>11</v>
      </c>
      <c r="AD158" s="108">
        <f>sum(Table3[Tồn VTD])</f>
        <v>38</v>
      </c>
      <c r="AE158" s="108">
        <f>sum(Table3[Tồn CN A])</f>
        <v>0</v>
      </c>
      <c r="AF158" s="108">
        <f>sum(Table3[Tồn CN B])</f>
        <v>0</v>
      </c>
      <c r="AG158" s="108">
        <f>sum(Table3[Tồn ĐN])</f>
        <v>0</v>
      </c>
    </row>
    <row r="159">
      <c r="A159" s="53"/>
      <c r="B159" s="53"/>
      <c r="C159" s="53"/>
      <c r="D159" s="86"/>
      <c r="E159" s="53"/>
      <c r="F159" s="53"/>
      <c r="G159" s="53"/>
      <c r="M159" s="4" t="s">
        <v>249</v>
      </c>
    </row>
    <row r="160">
      <c r="D160" s="6"/>
    </row>
    <row r="161">
      <c r="C161" s="4" t="s">
        <v>243</v>
      </c>
      <c r="D161" s="6"/>
    </row>
    <row r="162">
      <c r="A162" s="11">
        <v>46117.0</v>
      </c>
      <c r="B162" s="13" t="s">
        <v>4</v>
      </c>
      <c r="C162" s="111">
        <v>5.0</v>
      </c>
      <c r="D162" s="89">
        <f>C162*'Giá NhậpXuất'!$C$4</f>
        <v>65000</v>
      </c>
    </row>
    <row r="163">
      <c r="A163" s="11">
        <v>46117.0</v>
      </c>
      <c r="B163" s="13" t="s">
        <v>5</v>
      </c>
      <c r="C163" s="111">
        <v>2.0</v>
      </c>
      <c r="D163" s="89">
        <f>C163*'Giá NhậpXuất'!$C$5</f>
        <v>26000</v>
      </c>
    </row>
    <row r="164">
      <c r="A164" s="11">
        <v>46117.0</v>
      </c>
      <c r="B164" s="13" t="s">
        <v>6</v>
      </c>
      <c r="C164" s="111"/>
      <c r="D164" s="89">
        <f>C164*'Giá NhậpXuất'!$C$6</f>
        <v>0</v>
      </c>
    </row>
    <row r="165">
      <c r="A165" s="11">
        <v>46117.0</v>
      </c>
      <c r="B165" s="13" t="s">
        <v>7</v>
      </c>
      <c r="C165" s="111"/>
      <c r="D165" s="89">
        <f>C165*'Giá NhậpXuất'!$C$7</f>
        <v>0</v>
      </c>
    </row>
    <row r="166">
      <c r="A166" s="11">
        <v>46117.0</v>
      </c>
      <c r="B166" s="13" t="s">
        <v>8</v>
      </c>
      <c r="C166" s="111">
        <v>2.0</v>
      </c>
      <c r="D166" s="89">
        <f>C166*'Giá NhậpXuất'!$C$8</f>
        <v>26000</v>
      </c>
    </row>
    <row r="167">
      <c r="A167" s="11">
        <v>46117.0</v>
      </c>
      <c r="B167" s="13" t="s">
        <v>9</v>
      </c>
      <c r="C167" s="111">
        <v>5.0</v>
      </c>
      <c r="D167" s="89">
        <f>C167*'Giá NhậpXuất'!$C$9</f>
        <v>65000</v>
      </c>
    </row>
    <row r="168">
      <c r="A168" s="11">
        <v>46117.0</v>
      </c>
      <c r="B168" s="13" t="s">
        <v>10</v>
      </c>
      <c r="C168" s="111">
        <v>2.0</v>
      </c>
      <c r="D168" s="89">
        <f>C168*'Giá NhậpXuất'!$C$10</f>
        <v>26000</v>
      </c>
    </row>
    <row r="169">
      <c r="A169" s="11">
        <v>46117.0</v>
      </c>
      <c r="B169" s="13" t="s">
        <v>11</v>
      </c>
      <c r="C169" s="111"/>
      <c r="D169" s="89">
        <f>C169*'Giá NhậpXuất'!$C$11</f>
        <v>0</v>
      </c>
    </row>
    <row r="170">
      <c r="A170" s="11">
        <v>46117.0</v>
      </c>
      <c r="B170" s="13" t="s">
        <v>12</v>
      </c>
      <c r="C170" s="111">
        <v>2.0</v>
      </c>
      <c r="D170" s="89">
        <f>C170*'Giá NhậpXuất'!$C$12</f>
        <v>26000</v>
      </c>
    </row>
    <row r="171">
      <c r="A171" s="11">
        <v>46117.0</v>
      </c>
      <c r="B171" s="13" t="s">
        <v>13</v>
      </c>
      <c r="C171" s="111">
        <v>5.0</v>
      </c>
      <c r="D171" s="89">
        <f>C171*'Giá NhậpXuất'!$C$13</f>
        <v>65000</v>
      </c>
    </row>
    <row r="172">
      <c r="A172" s="11">
        <v>46117.0</v>
      </c>
      <c r="B172" s="13" t="s">
        <v>14</v>
      </c>
      <c r="C172" s="111">
        <v>2.0</v>
      </c>
      <c r="D172" s="89">
        <f>C172*'Giá NhậpXuất'!$C$14</f>
        <v>32000</v>
      </c>
    </row>
    <row r="173">
      <c r="A173" s="11">
        <v>46117.0</v>
      </c>
      <c r="B173" s="13" t="s">
        <v>15</v>
      </c>
      <c r="C173" s="111">
        <v>25.0</v>
      </c>
      <c r="D173" s="89">
        <f>C173*'Giá NhậpXuất'!$C$15</f>
        <v>325000</v>
      </c>
    </row>
    <row r="174">
      <c r="C174" s="13">
        <f t="shared" ref="C174:D174" si="57">sum(C162:C173)</f>
        <v>50</v>
      </c>
      <c r="D174" s="6">
        <f t="shared" si="57"/>
        <v>656000</v>
      </c>
      <c r="I174" s="95" t="s">
        <v>113</v>
      </c>
    </row>
    <row r="175" ht="22.5" customHeight="1">
      <c r="C175" s="4" t="s">
        <v>250</v>
      </c>
      <c r="D175" s="6"/>
      <c r="F175" s="4" t="s">
        <v>251</v>
      </c>
      <c r="G175" s="4" t="s">
        <v>252</v>
      </c>
      <c r="H175" s="4" t="s">
        <v>245</v>
      </c>
      <c r="J175" s="4" t="s">
        <v>93</v>
      </c>
      <c r="K175" s="4" t="s">
        <v>227</v>
      </c>
      <c r="L175" s="110" t="s">
        <v>89</v>
      </c>
      <c r="M175" s="4" t="s">
        <v>80</v>
      </c>
      <c r="N175" s="4" t="s">
        <v>81</v>
      </c>
      <c r="O175" s="4" t="s">
        <v>232</v>
      </c>
      <c r="R175" s="99" t="s">
        <v>236</v>
      </c>
      <c r="S175" s="100" t="s">
        <v>233</v>
      </c>
      <c r="T175" s="100" t="s">
        <v>234</v>
      </c>
      <c r="U175" s="100" t="s">
        <v>238</v>
      </c>
      <c r="V175" s="100" t="s">
        <v>231</v>
      </c>
      <c r="W175" s="100" t="s">
        <v>239</v>
      </c>
      <c r="X175" s="100" t="s">
        <v>246</v>
      </c>
      <c r="Y175" s="100" t="s">
        <v>247</v>
      </c>
      <c r="Z175" s="100" t="s">
        <v>248</v>
      </c>
    </row>
    <row r="176" ht="22.5" customHeight="1">
      <c r="A176" s="11">
        <v>46117.0</v>
      </c>
      <c r="B176" s="114" t="s">
        <v>4</v>
      </c>
      <c r="C176" s="115">
        <v>43.0</v>
      </c>
      <c r="D176" s="89">
        <f>C176*'Giá NhậpXuất'!$C$4</f>
        <v>559000</v>
      </c>
      <c r="E176" s="114"/>
      <c r="F176" s="114">
        <f t="shared" ref="F176:F187" si="58">C162+C176</f>
        <v>48</v>
      </c>
      <c r="G176" s="116">
        <f t="shared" ref="G176:G186" si="59">F176-H176</f>
        <v>32</v>
      </c>
      <c r="H176" s="117">
        <f t="shared" ref="H176:H187" si="60">S176+T176</f>
        <v>16</v>
      </c>
      <c r="J176" s="115">
        <v>6.0</v>
      </c>
      <c r="K176" s="115"/>
      <c r="L176" s="115">
        <v>7.0</v>
      </c>
      <c r="M176" s="115">
        <v>7.0</v>
      </c>
      <c r="N176" s="115">
        <v>7.0</v>
      </c>
      <c r="O176" s="115">
        <v>7.0</v>
      </c>
      <c r="R176" s="102" t="s">
        <v>4</v>
      </c>
      <c r="S176" s="103">
        <v>12.0</v>
      </c>
      <c r="T176" s="104">
        <f t="shared" ref="T176:T187" si="61">sum(U176:Z176)</f>
        <v>4</v>
      </c>
      <c r="V176" s="103"/>
      <c r="W176" s="105">
        <v>0.0</v>
      </c>
      <c r="X176" s="105">
        <v>0.0</v>
      </c>
      <c r="Y176" s="105">
        <v>0.0</v>
      </c>
      <c r="Z176" s="105">
        <v>4.0</v>
      </c>
    </row>
    <row r="177" ht="22.5" customHeight="1">
      <c r="A177" s="11">
        <v>46117.0</v>
      </c>
      <c r="B177" s="13" t="s">
        <v>5</v>
      </c>
      <c r="C177" s="4">
        <v>20.0</v>
      </c>
      <c r="D177" s="89">
        <f>C177*'Giá NhậpXuất'!$C$5</f>
        <v>260000</v>
      </c>
      <c r="F177" s="13">
        <f t="shared" si="58"/>
        <v>22</v>
      </c>
      <c r="G177" s="66">
        <f t="shared" si="59"/>
        <v>17</v>
      </c>
      <c r="H177" s="118">
        <f t="shared" si="60"/>
        <v>5</v>
      </c>
      <c r="J177" s="4">
        <v>3.0</v>
      </c>
      <c r="L177" s="4">
        <v>3.0</v>
      </c>
      <c r="M177" s="4">
        <v>3.0</v>
      </c>
      <c r="N177" s="4">
        <v>3.0</v>
      </c>
      <c r="O177" s="4">
        <v>3.0</v>
      </c>
      <c r="R177" s="102" t="s">
        <v>5</v>
      </c>
      <c r="S177" s="103"/>
      <c r="T177" s="104">
        <f t="shared" si="61"/>
        <v>5</v>
      </c>
      <c r="U177" s="105">
        <v>2.0</v>
      </c>
      <c r="V177" s="103"/>
      <c r="W177" s="105">
        <v>0.0</v>
      </c>
      <c r="X177" s="105">
        <v>0.0</v>
      </c>
      <c r="Y177" s="105">
        <v>0.0</v>
      </c>
      <c r="Z177" s="105">
        <v>3.0</v>
      </c>
    </row>
    <row r="178" ht="22.5" customHeight="1">
      <c r="A178" s="11">
        <v>46117.0</v>
      </c>
      <c r="B178" s="114" t="s">
        <v>6</v>
      </c>
      <c r="C178" s="115">
        <v>20.0</v>
      </c>
      <c r="D178" s="89">
        <f>C178*'Giá NhậpXuất'!$C$6</f>
        <v>260000</v>
      </c>
      <c r="E178" s="114"/>
      <c r="F178" s="114">
        <f t="shared" si="58"/>
        <v>20</v>
      </c>
      <c r="G178" s="116">
        <f t="shared" si="59"/>
        <v>13</v>
      </c>
      <c r="H178" s="117">
        <f t="shared" si="60"/>
        <v>7</v>
      </c>
      <c r="J178" s="115">
        <v>2.0</v>
      </c>
      <c r="K178" s="115"/>
      <c r="L178" s="115">
        <v>3.0</v>
      </c>
      <c r="M178" s="115">
        <v>4.0</v>
      </c>
      <c r="N178" s="115">
        <v>3.0</v>
      </c>
      <c r="O178" s="115">
        <v>3.0</v>
      </c>
      <c r="R178" s="102" t="s">
        <v>6</v>
      </c>
      <c r="S178" s="103">
        <v>4.0</v>
      </c>
      <c r="T178" s="104">
        <f t="shared" si="61"/>
        <v>3</v>
      </c>
      <c r="U178" s="105">
        <v>1.0</v>
      </c>
      <c r="V178" s="103"/>
      <c r="W178" s="105">
        <v>0.0</v>
      </c>
      <c r="X178" s="105">
        <v>0.0</v>
      </c>
      <c r="Y178" s="105">
        <v>0.0</v>
      </c>
      <c r="Z178" s="105">
        <v>2.0</v>
      </c>
    </row>
    <row r="179" ht="22.5" customHeight="1">
      <c r="A179" s="11">
        <v>46117.0</v>
      </c>
      <c r="B179" s="13" t="s">
        <v>7</v>
      </c>
      <c r="C179" s="13">
        <v>15.0</v>
      </c>
      <c r="D179" s="89">
        <f>C179*'Giá NhậpXuất'!$C$7</f>
        <v>195000</v>
      </c>
      <c r="F179" s="13">
        <f t="shared" si="58"/>
        <v>15</v>
      </c>
      <c r="G179" s="66">
        <f t="shared" si="59"/>
        <v>12</v>
      </c>
      <c r="H179" s="118">
        <f t="shared" si="60"/>
        <v>3</v>
      </c>
      <c r="J179" s="4">
        <v>3.0</v>
      </c>
      <c r="L179" s="4">
        <v>3.0</v>
      </c>
      <c r="M179" s="4">
        <v>3.0</v>
      </c>
      <c r="N179" s="4">
        <v>3.0</v>
      </c>
      <c r="O179" s="4">
        <v>3.0</v>
      </c>
      <c r="R179" s="102" t="s">
        <v>7</v>
      </c>
      <c r="S179" s="103"/>
      <c r="T179" s="104">
        <f t="shared" si="61"/>
        <v>3</v>
      </c>
      <c r="V179" s="103"/>
      <c r="W179" s="105">
        <v>0.0</v>
      </c>
      <c r="X179" s="105">
        <v>0.0</v>
      </c>
      <c r="Y179" s="105">
        <v>0.0</v>
      </c>
      <c r="Z179" s="105">
        <v>3.0</v>
      </c>
    </row>
    <row r="180" ht="22.5" customHeight="1">
      <c r="A180" s="11">
        <v>46117.0</v>
      </c>
      <c r="B180" s="114" t="s">
        <v>8</v>
      </c>
      <c r="C180" s="115">
        <v>30.0</v>
      </c>
      <c r="D180" s="89">
        <f>C180*'Giá NhậpXuất'!$C$8</f>
        <v>390000</v>
      </c>
      <c r="E180" s="114"/>
      <c r="F180" s="114">
        <f t="shared" si="58"/>
        <v>32</v>
      </c>
      <c r="G180" s="116">
        <f t="shared" si="59"/>
        <v>19</v>
      </c>
      <c r="H180" s="117">
        <f t="shared" si="60"/>
        <v>13</v>
      </c>
      <c r="J180" s="115">
        <v>4.0</v>
      </c>
      <c r="K180" s="115"/>
      <c r="L180" s="115">
        <v>5.0</v>
      </c>
      <c r="M180" s="115">
        <v>4.0</v>
      </c>
      <c r="N180" s="115">
        <v>6.0</v>
      </c>
      <c r="O180" s="115">
        <v>5.0</v>
      </c>
      <c r="R180" s="102" t="s">
        <v>8</v>
      </c>
      <c r="S180" s="103">
        <v>12.0</v>
      </c>
      <c r="T180" s="104">
        <f t="shared" si="61"/>
        <v>1</v>
      </c>
      <c r="V180" s="103"/>
      <c r="W180" s="105">
        <v>0.0</v>
      </c>
      <c r="X180" s="105">
        <v>0.0</v>
      </c>
      <c r="Y180" s="105">
        <v>0.0</v>
      </c>
      <c r="Z180" s="105">
        <v>1.0</v>
      </c>
    </row>
    <row r="181" ht="22.5" customHeight="1">
      <c r="A181" s="11">
        <v>46117.0</v>
      </c>
      <c r="B181" s="13" t="s">
        <v>9</v>
      </c>
      <c r="C181" s="4">
        <v>40.0</v>
      </c>
      <c r="D181" s="89">
        <f>C181*'Giá NhậpXuất'!$C$9</f>
        <v>520000</v>
      </c>
      <c r="F181" s="13">
        <f t="shared" si="58"/>
        <v>45</v>
      </c>
      <c r="G181" s="66">
        <f t="shared" si="59"/>
        <v>24</v>
      </c>
      <c r="H181" s="118">
        <f t="shared" si="60"/>
        <v>21</v>
      </c>
      <c r="J181" s="4">
        <v>5.0</v>
      </c>
      <c r="L181" s="4">
        <v>5.0</v>
      </c>
      <c r="M181" s="4">
        <v>6.0</v>
      </c>
      <c r="N181" s="4">
        <v>7.0</v>
      </c>
      <c r="O181" s="4">
        <v>5.0</v>
      </c>
      <c r="R181" s="102" t="s">
        <v>9</v>
      </c>
      <c r="S181" s="103">
        <v>16.0</v>
      </c>
      <c r="T181" s="104">
        <f t="shared" si="61"/>
        <v>5</v>
      </c>
      <c r="U181" s="105">
        <v>1.0</v>
      </c>
      <c r="V181" s="103"/>
      <c r="W181" s="105">
        <v>0.0</v>
      </c>
      <c r="X181" s="105">
        <v>0.0</v>
      </c>
      <c r="Y181" s="105">
        <v>0.0</v>
      </c>
      <c r="Z181" s="105">
        <v>4.0</v>
      </c>
    </row>
    <row r="182" ht="22.5" customHeight="1">
      <c r="A182" s="11">
        <v>46117.0</v>
      </c>
      <c r="B182" s="114" t="s">
        <v>10</v>
      </c>
      <c r="C182" s="115">
        <v>15.0</v>
      </c>
      <c r="D182" s="89">
        <f>C182*'Giá NhậpXuất'!$C$10</f>
        <v>195000</v>
      </c>
      <c r="E182" s="114"/>
      <c r="F182" s="114">
        <f t="shared" si="58"/>
        <v>17</v>
      </c>
      <c r="G182" s="116">
        <f t="shared" si="59"/>
        <v>5</v>
      </c>
      <c r="H182" s="117">
        <f t="shared" si="60"/>
        <v>12</v>
      </c>
      <c r="J182" s="115">
        <v>3.0</v>
      </c>
      <c r="K182" s="115"/>
      <c r="L182" s="115">
        <v>2.0</v>
      </c>
      <c r="M182" s="115">
        <v>3.0</v>
      </c>
      <c r="N182" s="115">
        <v>3.0</v>
      </c>
      <c r="O182" s="115">
        <v>3.0</v>
      </c>
      <c r="R182" s="102" t="s">
        <v>10</v>
      </c>
      <c r="S182" s="103">
        <v>8.0</v>
      </c>
      <c r="T182" s="104">
        <f t="shared" si="61"/>
        <v>4</v>
      </c>
      <c r="U182" s="105">
        <v>2.0</v>
      </c>
      <c r="V182" s="104"/>
      <c r="W182" s="105">
        <v>0.0</v>
      </c>
      <c r="X182" s="105">
        <v>0.0</v>
      </c>
      <c r="Y182" s="105">
        <v>0.0</v>
      </c>
      <c r="Z182" s="105">
        <v>2.0</v>
      </c>
    </row>
    <row r="183" ht="22.5" customHeight="1">
      <c r="A183" s="11">
        <v>46117.0</v>
      </c>
      <c r="B183" s="13" t="s">
        <v>11</v>
      </c>
      <c r="C183" s="13">
        <v>12.0</v>
      </c>
      <c r="D183" s="89">
        <f>C183*'Giá NhậpXuất'!$C$11</f>
        <v>156000</v>
      </c>
      <c r="F183" s="13">
        <f t="shared" si="58"/>
        <v>12</v>
      </c>
      <c r="G183" s="66">
        <f t="shared" si="59"/>
        <v>10</v>
      </c>
      <c r="H183" s="118">
        <f t="shared" si="60"/>
        <v>2</v>
      </c>
      <c r="J183" s="4">
        <v>2.0</v>
      </c>
      <c r="L183" s="4">
        <v>3.0</v>
      </c>
      <c r="M183" s="4">
        <v>2.0</v>
      </c>
      <c r="N183" s="4">
        <v>3.0</v>
      </c>
      <c r="O183" s="4">
        <v>3.0</v>
      </c>
      <c r="R183" s="102" t="s">
        <v>11</v>
      </c>
      <c r="S183" s="103"/>
      <c r="T183" s="104">
        <f t="shared" si="61"/>
        <v>2</v>
      </c>
      <c r="U183" s="105">
        <v>2.0</v>
      </c>
      <c r="V183" s="104"/>
      <c r="W183" s="105">
        <v>0.0</v>
      </c>
      <c r="X183" s="105">
        <v>0.0</v>
      </c>
      <c r="Y183" s="105">
        <v>0.0</v>
      </c>
      <c r="Z183" s="105">
        <v>0.0</v>
      </c>
    </row>
    <row r="184" ht="22.5" customHeight="1">
      <c r="A184" s="11">
        <v>46117.0</v>
      </c>
      <c r="B184" s="114" t="s">
        <v>12</v>
      </c>
      <c r="C184" s="115">
        <v>20.0</v>
      </c>
      <c r="D184" s="89">
        <f>C184*'Giá NhậpXuất'!$C$12</f>
        <v>260000</v>
      </c>
      <c r="E184" s="114"/>
      <c r="F184" s="114">
        <f t="shared" si="58"/>
        <v>22</v>
      </c>
      <c r="G184" s="116">
        <f t="shared" si="59"/>
        <v>15</v>
      </c>
      <c r="H184" s="117">
        <f t="shared" si="60"/>
        <v>7</v>
      </c>
      <c r="J184" s="115">
        <v>2.0</v>
      </c>
      <c r="K184" s="115"/>
      <c r="L184" s="115">
        <v>7.0</v>
      </c>
      <c r="M184" s="115">
        <v>3.0</v>
      </c>
      <c r="N184" s="115">
        <v>3.0</v>
      </c>
      <c r="O184" s="115">
        <v>3.0</v>
      </c>
      <c r="R184" s="102" t="s">
        <v>12</v>
      </c>
      <c r="S184" s="103">
        <v>4.0</v>
      </c>
      <c r="T184" s="104">
        <f t="shared" si="61"/>
        <v>3</v>
      </c>
      <c r="V184" s="104"/>
      <c r="W184" s="105">
        <v>0.0</v>
      </c>
      <c r="X184" s="105">
        <v>0.0</v>
      </c>
      <c r="Y184" s="105">
        <v>0.0</v>
      </c>
      <c r="Z184" s="105">
        <v>3.0</v>
      </c>
    </row>
    <row r="185" ht="22.5" customHeight="1">
      <c r="A185" s="11">
        <v>46117.0</v>
      </c>
      <c r="B185" s="13" t="s">
        <v>13</v>
      </c>
      <c r="C185" s="4">
        <v>20.0</v>
      </c>
      <c r="D185" s="89">
        <f>C185*'Giá NhậpXuất'!$C$13</f>
        <v>260000</v>
      </c>
      <c r="F185" s="13">
        <f t="shared" si="58"/>
        <v>25</v>
      </c>
      <c r="G185" s="66">
        <f t="shared" si="59"/>
        <v>12</v>
      </c>
      <c r="H185" s="118">
        <f t="shared" si="60"/>
        <v>13</v>
      </c>
      <c r="J185" s="4">
        <v>3.0</v>
      </c>
      <c r="L185" s="4">
        <v>3.0</v>
      </c>
      <c r="M185" s="4">
        <v>4.0</v>
      </c>
      <c r="N185" s="4">
        <v>5.0</v>
      </c>
      <c r="O185" s="4">
        <v>4.0</v>
      </c>
      <c r="R185" s="102" t="s">
        <v>13</v>
      </c>
      <c r="S185" s="103">
        <v>12.0</v>
      </c>
      <c r="T185" s="104">
        <f t="shared" si="61"/>
        <v>1</v>
      </c>
      <c r="U185" s="105">
        <v>1.0</v>
      </c>
      <c r="V185" s="103"/>
      <c r="W185" s="105">
        <v>0.0</v>
      </c>
      <c r="X185" s="105">
        <v>0.0</v>
      </c>
      <c r="Y185" s="105">
        <v>0.0</v>
      </c>
      <c r="Z185" s="105">
        <v>0.0</v>
      </c>
    </row>
    <row r="186" ht="22.5" customHeight="1">
      <c r="A186" s="11">
        <v>46117.0</v>
      </c>
      <c r="B186" s="114" t="s">
        <v>14</v>
      </c>
      <c r="C186" s="115">
        <v>15.0</v>
      </c>
      <c r="D186" s="89">
        <f>C186*'Giá NhậpXuất'!$C$14</f>
        <v>240000</v>
      </c>
      <c r="E186" s="114"/>
      <c r="F186" s="114">
        <f t="shared" si="58"/>
        <v>17</v>
      </c>
      <c r="G186" s="116">
        <f t="shared" si="59"/>
        <v>11</v>
      </c>
      <c r="H186" s="117">
        <f t="shared" si="60"/>
        <v>6</v>
      </c>
      <c r="J186" s="115">
        <v>2.0</v>
      </c>
      <c r="K186" s="115"/>
      <c r="L186" s="115">
        <v>3.0</v>
      </c>
      <c r="M186" s="115">
        <v>2.0</v>
      </c>
      <c r="N186" s="115">
        <v>3.0</v>
      </c>
      <c r="O186" s="115">
        <v>2.0</v>
      </c>
      <c r="R186" s="102" t="s">
        <v>14</v>
      </c>
      <c r="S186" s="103">
        <v>5.0</v>
      </c>
      <c r="T186" s="104">
        <f t="shared" si="61"/>
        <v>1</v>
      </c>
      <c r="V186" s="103"/>
      <c r="W186" s="105">
        <v>0.0</v>
      </c>
      <c r="X186" s="105">
        <v>0.0</v>
      </c>
      <c r="Y186" s="105">
        <v>0.0</v>
      </c>
      <c r="Z186" s="105">
        <v>1.0</v>
      </c>
    </row>
    <row r="187" ht="22.5" customHeight="1">
      <c r="A187" s="11">
        <v>46117.0</v>
      </c>
      <c r="B187" s="13" t="s">
        <v>15</v>
      </c>
      <c r="C187" s="4">
        <v>200.0</v>
      </c>
      <c r="D187" s="89">
        <f>C187*'Giá NhậpXuất'!$C$15</f>
        <v>2600000</v>
      </c>
      <c r="F187" s="13">
        <f t="shared" si="58"/>
        <v>225</v>
      </c>
      <c r="G187" s="13">
        <f>sum(J187:Q187)</f>
        <v>140</v>
      </c>
      <c r="H187" s="118">
        <f t="shared" si="60"/>
        <v>97</v>
      </c>
      <c r="J187" s="4">
        <v>20.0</v>
      </c>
      <c r="L187" s="4">
        <v>30.0</v>
      </c>
      <c r="M187" s="4">
        <v>30.0</v>
      </c>
      <c r="N187" s="4">
        <v>30.0</v>
      </c>
      <c r="O187" s="4">
        <v>30.0</v>
      </c>
      <c r="R187" s="102" t="s">
        <v>15</v>
      </c>
      <c r="S187" s="103">
        <f>49+33</f>
        <v>82</v>
      </c>
      <c r="T187" s="104">
        <f t="shared" si="61"/>
        <v>15</v>
      </c>
      <c r="U187" s="105">
        <v>1.0</v>
      </c>
      <c r="V187" s="103"/>
      <c r="W187" s="105">
        <v>0.0</v>
      </c>
      <c r="X187" s="105">
        <v>0.0</v>
      </c>
      <c r="Y187" s="105">
        <v>0.0</v>
      </c>
      <c r="Z187" s="105">
        <v>14.0</v>
      </c>
    </row>
    <row r="188" ht="22.5" customHeight="1">
      <c r="B188" s="4" t="s">
        <v>16</v>
      </c>
      <c r="C188" s="13">
        <f t="shared" ref="C188:D188" si="62">sum(C176:C187)</f>
        <v>450</v>
      </c>
      <c r="D188" s="6">
        <f t="shared" si="62"/>
        <v>5895000</v>
      </c>
      <c r="H188" s="118">
        <f>sum(H176:H187)</f>
        <v>202</v>
      </c>
      <c r="J188" s="97">
        <f>sum(J176:J187)</f>
        <v>55</v>
      </c>
      <c r="K188" s="97"/>
      <c r="L188" s="97">
        <f t="shared" ref="L188:O188" si="63">sum(L176:L187)</f>
        <v>74</v>
      </c>
      <c r="M188" s="97">
        <f t="shared" si="63"/>
        <v>71</v>
      </c>
      <c r="N188" s="97">
        <f t="shared" si="63"/>
        <v>76</v>
      </c>
      <c r="O188" s="97">
        <f t="shared" si="63"/>
        <v>71</v>
      </c>
      <c r="R188" s="106"/>
      <c r="S188" s="109">
        <f>sum(Table4[Chưa Quay])</f>
        <v>155</v>
      </c>
      <c r="T188" s="109">
        <f>sum(Table4[Tổng Tồn])</f>
        <v>47</v>
      </c>
      <c r="U188" s="108">
        <f>sum(Table4[Tồn XL])</f>
        <v>10</v>
      </c>
      <c r="V188" s="109">
        <f>sum(Table4[Tồn XĐ sau])</f>
        <v>0</v>
      </c>
      <c r="W188" s="108">
        <f>sum(Table4[Tồn VTD])</f>
        <v>0</v>
      </c>
      <c r="X188" s="108">
        <f>sum(Table4[Tồn CN A])</f>
        <v>0</v>
      </c>
      <c r="Y188" s="108">
        <f>sum(Table4[Tồn CN B])</f>
        <v>0</v>
      </c>
      <c r="Z188" s="108">
        <f>sum(Table4[Tồn ĐN])</f>
        <v>37</v>
      </c>
    </row>
    <row r="189">
      <c r="D189" s="6"/>
      <c r="J189" s="13">
        <f>J188-Table4[[#TOTALS],[Tồn XL]]</f>
        <v>45</v>
      </c>
      <c r="K189" s="66">
        <f>K188-Table4[[#TOTALS],[Tồn XĐ sau]]</f>
        <v>0</v>
      </c>
      <c r="L189" s="13">
        <f>L188-Table4[[#TOTALS],[Tồn VTD]]</f>
        <v>74</v>
      </c>
      <c r="M189" s="13">
        <f>M188-Table4[[#TOTALS],[Tồn CN A]]</f>
        <v>71</v>
      </c>
      <c r="N189" s="13">
        <f>N188-Table4[[#TOTALS],[Tồn CN B]]</f>
        <v>76</v>
      </c>
      <c r="O189" s="13">
        <f>O188-Table4[[#TOTALS],[Tồn ĐN]]</f>
        <v>34</v>
      </c>
    </row>
    <row r="190">
      <c r="D190" s="6"/>
      <c r="I190" s="62"/>
      <c r="J190" s="62" t="s">
        <v>114</v>
      </c>
    </row>
    <row r="191" ht="22.5" customHeight="1">
      <c r="D191" s="6"/>
      <c r="I191" s="75" t="s">
        <v>253</v>
      </c>
      <c r="J191" s="4" t="s">
        <v>93</v>
      </c>
      <c r="K191" s="4" t="s">
        <v>227</v>
      </c>
      <c r="L191" s="4" t="s">
        <v>89</v>
      </c>
      <c r="M191" s="4" t="s">
        <v>80</v>
      </c>
      <c r="N191" s="4" t="s">
        <v>81</v>
      </c>
      <c r="O191" s="4" t="s">
        <v>232</v>
      </c>
      <c r="R191" s="99" t="s">
        <v>236</v>
      </c>
      <c r="S191" s="100" t="s">
        <v>233</v>
      </c>
      <c r="T191" s="100" t="s">
        <v>234</v>
      </c>
      <c r="U191" s="100" t="s">
        <v>238</v>
      </c>
      <c r="V191" s="100" t="s">
        <v>231</v>
      </c>
      <c r="W191" s="100" t="s">
        <v>239</v>
      </c>
      <c r="X191" s="100" t="s">
        <v>246</v>
      </c>
      <c r="Y191" s="100" t="s">
        <v>247</v>
      </c>
      <c r="Z191" s="100" t="s">
        <v>248</v>
      </c>
    </row>
    <row r="192" ht="22.5" customHeight="1">
      <c r="I192" s="119">
        <f t="shared" ref="I192:I203" si="64">S192+T192</f>
        <v>5</v>
      </c>
      <c r="L192" s="4">
        <v>5.0</v>
      </c>
      <c r="M192" s="4">
        <v>4.0</v>
      </c>
      <c r="N192" s="66">
        <v>4.0</v>
      </c>
      <c r="R192" s="102" t="s">
        <v>4</v>
      </c>
      <c r="S192" s="103">
        <v>3.0</v>
      </c>
      <c r="T192" s="104">
        <f t="shared" ref="T192:T203" si="65">sum(U192:Z192)</f>
        <v>2</v>
      </c>
      <c r="V192" s="103"/>
      <c r="W192" s="105">
        <v>2.0</v>
      </c>
      <c r="X192" s="105">
        <v>0.0</v>
      </c>
      <c r="Y192" s="105">
        <v>0.0</v>
      </c>
    </row>
    <row r="193" ht="22.5" customHeight="1">
      <c r="I193" s="119">
        <f t="shared" si="64"/>
        <v>2</v>
      </c>
      <c r="L193" s="4">
        <v>1.0</v>
      </c>
      <c r="M193" s="4">
        <v>2.0</v>
      </c>
      <c r="N193" s="67">
        <v>2.0</v>
      </c>
      <c r="R193" s="102" t="s">
        <v>5</v>
      </c>
      <c r="S193" s="103"/>
      <c r="T193" s="104">
        <f t="shared" si="65"/>
        <v>2</v>
      </c>
      <c r="V193" s="103"/>
      <c r="W193" s="105">
        <v>0.0</v>
      </c>
      <c r="X193" s="105">
        <v>1.0</v>
      </c>
      <c r="Y193" s="105">
        <v>1.0</v>
      </c>
    </row>
    <row r="194" ht="22.5" customHeight="1">
      <c r="I194" s="119">
        <f t="shared" si="64"/>
        <v>1</v>
      </c>
      <c r="L194" s="4">
        <v>2.0</v>
      </c>
      <c r="M194" s="4">
        <v>2.0</v>
      </c>
      <c r="N194" s="66">
        <v>3.0</v>
      </c>
      <c r="R194" s="102" t="s">
        <v>6</v>
      </c>
      <c r="S194" s="103"/>
      <c r="T194" s="104">
        <f t="shared" si="65"/>
        <v>1</v>
      </c>
      <c r="V194" s="103"/>
      <c r="W194" s="105">
        <v>0.0</v>
      </c>
      <c r="X194" s="105">
        <v>0.0</v>
      </c>
      <c r="Y194" s="105">
        <v>1.0</v>
      </c>
    </row>
    <row r="195" ht="22.5" customHeight="1">
      <c r="I195" s="119">
        <f t="shared" si="64"/>
        <v>0</v>
      </c>
      <c r="N195" s="66">
        <v>3.0</v>
      </c>
      <c r="R195" s="102" t="s">
        <v>7</v>
      </c>
      <c r="S195" s="103"/>
      <c r="T195" s="104">
        <f t="shared" si="65"/>
        <v>0</v>
      </c>
      <c r="V195" s="103"/>
      <c r="W195" s="105">
        <v>0.0</v>
      </c>
      <c r="X195" s="105">
        <v>0.0</v>
      </c>
      <c r="Y195" s="105">
        <v>0.0</v>
      </c>
    </row>
    <row r="196" ht="22.5" customHeight="1">
      <c r="I196" s="119">
        <f t="shared" si="64"/>
        <v>7</v>
      </c>
      <c r="L196" s="4">
        <v>5.0</v>
      </c>
      <c r="M196" s="4">
        <v>3.0</v>
      </c>
      <c r="N196" s="66">
        <v>1.0</v>
      </c>
      <c r="R196" s="102" t="s">
        <v>8</v>
      </c>
      <c r="S196" s="103">
        <v>4.0</v>
      </c>
      <c r="T196" s="104">
        <f t="shared" si="65"/>
        <v>3</v>
      </c>
      <c r="V196" s="103"/>
      <c r="W196" s="105">
        <v>3.0</v>
      </c>
      <c r="X196" s="105">
        <v>0.0</v>
      </c>
      <c r="Y196" s="105">
        <v>0.0</v>
      </c>
    </row>
    <row r="197" ht="22.5" customHeight="1">
      <c r="I197" s="119">
        <f t="shared" si="64"/>
        <v>10</v>
      </c>
      <c r="L197" s="4">
        <v>5.0</v>
      </c>
      <c r="M197" s="4">
        <v>4.0</v>
      </c>
      <c r="N197" s="66">
        <v>5.0</v>
      </c>
      <c r="R197" s="102" t="s">
        <v>9</v>
      </c>
      <c r="S197" s="103">
        <v>7.0</v>
      </c>
      <c r="T197" s="104">
        <f t="shared" si="65"/>
        <v>3</v>
      </c>
      <c r="V197" s="103"/>
      <c r="W197" s="105">
        <v>3.0</v>
      </c>
      <c r="X197" s="105">
        <v>0.0</v>
      </c>
      <c r="Y197" s="105">
        <v>0.0</v>
      </c>
    </row>
    <row r="198" ht="22.5" customHeight="1">
      <c r="I198" s="119">
        <f t="shared" si="64"/>
        <v>8</v>
      </c>
      <c r="L198" s="4">
        <v>3.0</v>
      </c>
      <c r="M198" s="4">
        <v>2.0</v>
      </c>
      <c r="N198" s="66">
        <v>4.0</v>
      </c>
      <c r="R198" s="102" t="s">
        <v>10</v>
      </c>
      <c r="S198" s="103">
        <v>3.0</v>
      </c>
      <c r="T198" s="104">
        <f t="shared" si="65"/>
        <v>5</v>
      </c>
      <c r="V198" s="104"/>
      <c r="W198" s="105">
        <v>3.0</v>
      </c>
      <c r="X198" s="105">
        <v>0.0</v>
      </c>
      <c r="Y198" s="105">
        <v>2.0</v>
      </c>
    </row>
    <row r="199" ht="22.5" customHeight="1">
      <c r="I199" s="119">
        <f t="shared" si="64"/>
        <v>0</v>
      </c>
      <c r="N199" s="66">
        <v>2.0</v>
      </c>
      <c r="R199" s="102" t="s">
        <v>11</v>
      </c>
      <c r="S199" s="103"/>
      <c r="T199" s="104">
        <f t="shared" si="65"/>
        <v>0</v>
      </c>
      <c r="V199" s="104"/>
      <c r="W199" s="105">
        <v>0.0</v>
      </c>
      <c r="X199" s="105">
        <v>0.0</v>
      </c>
      <c r="Y199" s="105">
        <v>0.0</v>
      </c>
    </row>
    <row r="200" ht="22.5" customHeight="1">
      <c r="I200" s="119">
        <f t="shared" si="64"/>
        <v>4</v>
      </c>
      <c r="L200" s="4">
        <v>3.0</v>
      </c>
      <c r="M200" s="4">
        <v>1.0</v>
      </c>
      <c r="N200" s="66">
        <v>3.0</v>
      </c>
      <c r="R200" s="102" t="s">
        <v>12</v>
      </c>
      <c r="S200" s="103"/>
      <c r="T200" s="104">
        <f t="shared" si="65"/>
        <v>4</v>
      </c>
      <c r="V200" s="104"/>
      <c r="W200" s="105">
        <v>2.0</v>
      </c>
      <c r="X200" s="105">
        <v>0.0</v>
      </c>
      <c r="Y200" s="105">
        <v>2.0</v>
      </c>
    </row>
    <row r="201" ht="22.5" customHeight="1">
      <c r="I201" s="119">
        <f t="shared" si="64"/>
        <v>10</v>
      </c>
      <c r="L201" s="4">
        <v>3.0</v>
      </c>
      <c r="M201" s="4">
        <v>4.0</v>
      </c>
      <c r="N201" s="66">
        <v>1.0</v>
      </c>
      <c r="R201" s="102" t="s">
        <v>13</v>
      </c>
      <c r="S201" s="103">
        <v>5.0</v>
      </c>
      <c r="T201" s="104">
        <f t="shared" si="65"/>
        <v>5</v>
      </c>
      <c r="V201" s="103"/>
      <c r="W201" s="105">
        <v>3.0</v>
      </c>
      <c r="X201" s="105">
        <v>2.0</v>
      </c>
      <c r="Y201" s="105">
        <v>0.0</v>
      </c>
    </row>
    <row r="202" ht="22.5" customHeight="1">
      <c r="I202" s="119">
        <f t="shared" si="64"/>
        <v>2</v>
      </c>
      <c r="L202" s="4">
        <v>2.0</v>
      </c>
      <c r="M202" s="4">
        <v>2.0</v>
      </c>
      <c r="N202" s="66">
        <v>1.0</v>
      </c>
      <c r="R202" s="102" t="s">
        <v>14</v>
      </c>
      <c r="S202" s="103">
        <v>1.0</v>
      </c>
      <c r="T202" s="104">
        <f t="shared" si="65"/>
        <v>1</v>
      </c>
      <c r="V202" s="103"/>
      <c r="W202" s="105">
        <v>1.0</v>
      </c>
      <c r="X202" s="105">
        <v>0.0</v>
      </c>
      <c r="Y202" s="105">
        <v>0.0</v>
      </c>
    </row>
    <row r="203" ht="22.5" customHeight="1">
      <c r="I203" s="119">
        <f t="shared" si="64"/>
        <v>37</v>
      </c>
      <c r="L203" s="4">
        <v>20.0</v>
      </c>
      <c r="M203" s="4">
        <v>20.0</v>
      </c>
      <c r="N203" s="67">
        <v>20.0</v>
      </c>
      <c r="R203" s="102" t="s">
        <v>15</v>
      </c>
      <c r="S203" s="103">
        <v>37.0</v>
      </c>
      <c r="T203" s="104">
        <f t="shared" si="65"/>
        <v>0</v>
      </c>
      <c r="V203" s="103"/>
      <c r="W203" s="105">
        <v>0.0</v>
      </c>
      <c r="X203" s="105">
        <v>0.0</v>
      </c>
      <c r="Y203" s="105">
        <v>0.0</v>
      </c>
    </row>
    <row r="204" ht="22.5" customHeight="1">
      <c r="I204" s="66">
        <f t="shared" ref="I204:J204" si="66">sum(I192:I203)</f>
        <v>86</v>
      </c>
      <c r="J204" s="97">
        <f t="shared" si="66"/>
        <v>0</v>
      </c>
      <c r="K204" s="97"/>
      <c r="L204" s="97">
        <f t="shared" ref="L204:O204" si="67">sum(L192:L203)</f>
        <v>49</v>
      </c>
      <c r="M204" s="97">
        <f t="shared" si="67"/>
        <v>44</v>
      </c>
      <c r="N204" s="118">
        <f t="shared" si="67"/>
        <v>49</v>
      </c>
      <c r="O204" s="97">
        <f t="shared" si="67"/>
        <v>0</v>
      </c>
      <c r="R204" s="106"/>
      <c r="S204" s="109">
        <f>sum(Table5[Chưa Quay])</f>
        <v>60</v>
      </c>
      <c r="T204" s="109">
        <f>sum(Table5[Tổng Tồn])</f>
        <v>26</v>
      </c>
      <c r="U204" s="108">
        <f>sum(Table5[Tồn XL])</f>
        <v>0</v>
      </c>
      <c r="V204" s="109">
        <f>sum(Table5[Tồn XĐ sau])</f>
        <v>0</v>
      </c>
      <c r="W204" s="108">
        <f>sum(Table5[Tồn VTD])</f>
        <v>17</v>
      </c>
      <c r="X204" s="108">
        <f>sum(Table5[Tồn CN A])</f>
        <v>3</v>
      </c>
      <c r="Y204" s="108">
        <f>sum(Table5[Tồn CN B])</f>
        <v>6</v>
      </c>
      <c r="Z204" s="108">
        <f>sum(Table5[Tồn ĐN])</f>
        <v>0</v>
      </c>
    </row>
    <row r="205">
      <c r="J205" s="13">
        <f>J204-Table5[[#TOTALS],[Tồn XL]]</f>
        <v>0</v>
      </c>
      <c r="K205" s="66">
        <f>K204-Table5[[#TOTALS],[Tồn XĐ sau]]</f>
        <v>0</v>
      </c>
      <c r="L205" s="13">
        <f>L204-Table5[[#TOTALS],[Tồn VTD]]</f>
        <v>32</v>
      </c>
      <c r="M205" s="13">
        <f>M204-Table5[[#TOTALS],[Tồn CN A]]</f>
        <v>41</v>
      </c>
      <c r="N205" s="66">
        <f>N204-Table5[[#TOTALS],[Tồn CN B]]</f>
        <v>43</v>
      </c>
      <c r="O205" s="13">
        <f>O204-Table5[[#TOTALS],[Tồn ĐN]]</f>
        <v>0</v>
      </c>
    </row>
    <row r="206">
      <c r="D206" s="6"/>
      <c r="I206" s="95" t="s">
        <v>113</v>
      </c>
    </row>
    <row r="207" ht="22.5" customHeight="1">
      <c r="C207" s="4" t="s">
        <v>250</v>
      </c>
      <c r="D207" s="6"/>
      <c r="F207" s="4" t="s">
        <v>251</v>
      </c>
      <c r="G207" s="4" t="s">
        <v>252</v>
      </c>
      <c r="H207" s="4" t="s">
        <v>245</v>
      </c>
      <c r="J207" s="4" t="s">
        <v>93</v>
      </c>
      <c r="K207" s="4" t="s">
        <v>227</v>
      </c>
      <c r="L207" s="110" t="s">
        <v>89</v>
      </c>
      <c r="M207" s="4" t="s">
        <v>80</v>
      </c>
      <c r="N207" s="4" t="s">
        <v>81</v>
      </c>
      <c r="O207" s="4" t="s">
        <v>232</v>
      </c>
      <c r="R207" s="99" t="s">
        <v>236</v>
      </c>
      <c r="S207" s="100" t="s">
        <v>233</v>
      </c>
      <c r="T207" s="100" t="s">
        <v>234</v>
      </c>
      <c r="U207" s="100" t="s">
        <v>238</v>
      </c>
      <c r="V207" s="100" t="s">
        <v>231</v>
      </c>
      <c r="W207" s="100" t="s">
        <v>239</v>
      </c>
      <c r="X207" s="100" t="s">
        <v>246</v>
      </c>
      <c r="Y207" s="100" t="s">
        <v>247</v>
      </c>
      <c r="Z207" s="100" t="s">
        <v>248</v>
      </c>
    </row>
    <row r="208" ht="22.5" customHeight="1">
      <c r="A208" s="11">
        <v>46118.0</v>
      </c>
      <c r="B208" s="114" t="s">
        <v>4</v>
      </c>
      <c r="C208" s="115">
        <v>60.0</v>
      </c>
      <c r="D208" s="89">
        <f>C208*'Giá NhậpXuất'!$C$4</f>
        <v>780000</v>
      </c>
      <c r="F208" s="66">
        <f t="shared" ref="F208:F220" si="68">I192</f>
        <v>5</v>
      </c>
      <c r="G208" s="13">
        <f t="shared" ref="G208:G220" si="69">sum(J208:O208)</f>
        <v>36</v>
      </c>
      <c r="H208" s="66">
        <f t="shared" ref="H208:H219" si="70">C208+F208-G208+T208</f>
        <v>37</v>
      </c>
      <c r="J208" s="115"/>
      <c r="K208" s="115">
        <v>6.0</v>
      </c>
      <c r="L208" s="115">
        <v>9.0</v>
      </c>
      <c r="M208" s="115">
        <v>7.0</v>
      </c>
      <c r="N208" s="115">
        <v>7.0</v>
      </c>
      <c r="O208" s="115">
        <v>7.0</v>
      </c>
      <c r="R208" s="102" t="s">
        <v>4</v>
      </c>
      <c r="S208" s="103"/>
      <c r="T208" s="104">
        <f t="shared" ref="T208:T219" si="71">sum(U208:Z208)</f>
        <v>8</v>
      </c>
      <c r="V208" s="103">
        <v>3.0</v>
      </c>
      <c r="Z208" s="105">
        <v>5.0</v>
      </c>
    </row>
    <row r="209" ht="22.5" customHeight="1">
      <c r="A209" s="11">
        <v>46118.0</v>
      </c>
      <c r="B209" s="13" t="s">
        <v>5</v>
      </c>
      <c r="C209" s="4">
        <v>25.0</v>
      </c>
      <c r="D209" s="89">
        <f>C209*'Giá NhậpXuất'!$C$5</f>
        <v>325000</v>
      </c>
      <c r="F209" s="66">
        <f t="shared" si="68"/>
        <v>2</v>
      </c>
      <c r="G209" s="13">
        <f t="shared" si="69"/>
        <v>15</v>
      </c>
      <c r="H209" s="66">
        <f t="shared" si="70"/>
        <v>12</v>
      </c>
      <c r="K209" s="4">
        <v>3.0</v>
      </c>
      <c r="L209" s="4">
        <v>3.0</v>
      </c>
      <c r="M209" s="4">
        <v>3.0</v>
      </c>
      <c r="N209" s="4">
        <v>3.0</v>
      </c>
      <c r="O209" s="4">
        <v>3.0</v>
      </c>
      <c r="R209" s="102" t="s">
        <v>5</v>
      </c>
      <c r="S209" s="103"/>
      <c r="T209" s="104">
        <f t="shared" si="71"/>
        <v>0</v>
      </c>
      <c r="V209" s="103"/>
    </row>
    <row r="210" ht="22.5" customHeight="1">
      <c r="A210" s="11">
        <v>46118.0</v>
      </c>
      <c r="B210" s="114" t="s">
        <v>6</v>
      </c>
      <c r="C210" s="115">
        <v>20.0</v>
      </c>
      <c r="D210" s="89">
        <f>C210*'Giá NhậpXuất'!$C$6</f>
        <v>260000</v>
      </c>
      <c r="F210" s="66">
        <f t="shared" si="68"/>
        <v>1</v>
      </c>
      <c r="G210" s="13">
        <f t="shared" si="69"/>
        <v>14</v>
      </c>
      <c r="H210" s="66">
        <f t="shared" si="70"/>
        <v>10</v>
      </c>
      <c r="J210" s="115"/>
      <c r="K210" s="115">
        <v>2.0</v>
      </c>
      <c r="L210" s="115">
        <v>2.0</v>
      </c>
      <c r="M210" s="115">
        <v>4.0</v>
      </c>
      <c r="N210" s="115">
        <v>3.0</v>
      </c>
      <c r="O210" s="115">
        <v>3.0</v>
      </c>
      <c r="R210" s="102" t="s">
        <v>6</v>
      </c>
      <c r="S210" s="103"/>
      <c r="T210" s="104">
        <f t="shared" si="71"/>
        <v>3</v>
      </c>
      <c r="V210" s="103"/>
      <c r="Z210" s="105">
        <v>3.0</v>
      </c>
    </row>
    <row r="211" ht="22.5" customHeight="1">
      <c r="A211" s="11">
        <v>46118.0</v>
      </c>
      <c r="B211" s="13" t="s">
        <v>7</v>
      </c>
      <c r="C211" s="4">
        <v>20.0</v>
      </c>
      <c r="D211" s="89">
        <f>C211*'Giá NhậpXuất'!$C$7</f>
        <v>260000</v>
      </c>
      <c r="F211" s="66">
        <f t="shared" si="68"/>
        <v>0</v>
      </c>
      <c r="G211" s="13">
        <f t="shared" si="69"/>
        <v>15</v>
      </c>
      <c r="H211" s="66">
        <f t="shared" si="70"/>
        <v>7</v>
      </c>
      <c r="K211" s="4">
        <v>3.0</v>
      </c>
      <c r="L211" s="4">
        <v>3.0</v>
      </c>
      <c r="M211" s="4">
        <v>3.0</v>
      </c>
      <c r="N211" s="4">
        <v>3.0</v>
      </c>
      <c r="O211" s="4">
        <v>3.0</v>
      </c>
      <c r="R211" s="102" t="s">
        <v>7</v>
      </c>
      <c r="S211" s="103"/>
      <c r="T211" s="104">
        <f t="shared" si="71"/>
        <v>2</v>
      </c>
      <c r="V211" s="103">
        <v>2.0</v>
      </c>
    </row>
    <row r="212" ht="22.5" customHeight="1">
      <c r="A212" s="11">
        <v>46118.0</v>
      </c>
      <c r="B212" s="114" t="s">
        <v>8</v>
      </c>
      <c r="C212" s="115">
        <v>35.0</v>
      </c>
      <c r="D212" s="89">
        <f>C212*'Giá NhậpXuất'!$C$8</f>
        <v>455000</v>
      </c>
      <c r="F212" s="66">
        <f t="shared" si="68"/>
        <v>7</v>
      </c>
      <c r="G212" s="13">
        <f t="shared" si="69"/>
        <v>28</v>
      </c>
      <c r="H212" s="66">
        <f t="shared" si="70"/>
        <v>16</v>
      </c>
      <c r="J212" s="115"/>
      <c r="K212" s="115">
        <v>4.0</v>
      </c>
      <c r="L212" s="115">
        <v>6.0</v>
      </c>
      <c r="M212" s="115">
        <v>6.0</v>
      </c>
      <c r="N212" s="115">
        <v>6.0</v>
      </c>
      <c r="O212" s="115">
        <v>6.0</v>
      </c>
      <c r="R212" s="102" t="s">
        <v>8</v>
      </c>
      <c r="S212" s="103"/>
      <c r="T212" s="104">
        <f t="shared" si="71"/>
        <v>2</v>
      </c>
      <c r="V212" s="103">
        <v>1.0</v>
      </c>
      <c r="Z212" s="105">
        <v>1.0</v>
      </c>
    </row>
    <row r="213" ht="22.5" customHeight="1">
      <c r="A213" s="11">
        <v>46118.0</v>
      </c>
      <c r="B213" s="13" t="s">
        <v>9</v>
      </c>
      <c r="C213" s="4">
        <v>50.0</v>
      </c>
      <c r="D213" s="89">
        <f>C213*'Giá NhậpXuất'!$C$9</f>
        <v>650000</v>
      </c>
      <c r="F213" s="66">
        <f t="shared" si="68"/>
        <v>10</v>
      </c>
      <c r="G213" s="13">
        <f t="shared" si="69"/>
        <v>33</v>
      </c>
      <c r="H213" s="66">
        <f t="shared" si="70"/>
        <v>29</v>
      </c>
      <c r="K213" s="4">
        <v>5.0</v>
      </c>
      <c r="L213" s="4">
        <v>7.0</v>
      </c>
      <c r="M213" s="4">
        <v>7.0</v>
      </c>
      <c r="N213" s="4">
        <v>7.0</v>
      </c>
      <c r="O213" s="4">
        <v>7.0</v>
      </c>
      <c r="R213" s="102" t="s">
        <v>9</v>
      </c>
      <c r="S213" s="103"/>
      <c r="T213" s="104">
        <f t="shared" si="71"/>
        <v>2</v>
      </c>
      <c r="V213" s="103"/>
      <c r="Z213" s="105">
        <v>2.0</v>
      </c>
    </row>
    <row r="214" ht="22.5" customHeight="1">
      <c r="A214" s="11">
        <v>46118.0</v>
      </c>
      <c r="B214" s="114" t="s">
        <v>10</v>
      </c>
      <c r="C214" s="115">
        <v>20.0</v>
      </c>
      <c r="D214" s="89">
        <f>C214*'Giá NhậpXuất'!$C$10</f>
        <v>260000</v>
      </c>
      <c r="F214" s="66">
        <f t="shared" si="68"/>
        <v>8</v>
      </c>
      <c r="G214" s="13">
        <f t="shared" si="69"/>
        <v>16</v>
      </c>
      <c r="H214" s="66">
        <f t="shared" si="70"/>
        <v>13</v>
      </c>
      <c r="J214" s="115"/>
      <c r="K214" s="115">
        <v>3.0</v>
      </c>
      <c r="L214" s="115">
        <v>4.0</v>
      </c>
      <c r="M214" s="115">
        <v>3.0</v>
      </c>
      <c r="N214" s="115">
        <v>3.0</v>
      </c>
      <c r="O214" s="115">
        <v>3.0</v>
      </c>
      <c r="R214" s="102" t="s">
        <v>10</v>
      </c>
      <c r="S214" s="103"/>
      <c r="T214" s="104">
        <f t="shared" si="71"/>
        <v>1</v>
      </c>
      <c r="V214" s="104"/>
      <c r="Z214" s="105">
        <v>1.0</v>
      </c>
    </row>
    <row r="215" ht="22.5" customHeight="1">
      <c r="A215" s="11">
        <v>46118.0</v>
      </c>
      <c r="B215" s="13" t="s">
        <v>11</v>
      </c>
      <c r="C215" s="4">
        <v>15.0</v>
      </c>
      <c r="D215" s="89">
        <f>C215*'Giá NhậpXuất'!$C$11</f>
        <v>195000</v>
      </c>
      <c r="F215" s="66">
        <f t="shared" si="68"/>
        <v>0</v>
      </c>
      <c r="G215" s="13">
        <f t="shared" si="69"/>
        <v>11</v>
      </c>
      <c r="H215" s="66">
        <f t="shared" si="70"/>
        <v>4</v>
      </c>
      <c r="L215" s="4">
        <v>3.0</v>
      </c>
      <c r="M215" s="4">
        <v>2.0</v>
      </c>
      <c r="N215" s="4">
        <v>3.0</v>
      </c>
      <c r="O215" s="4">
        <v>3.0</v>
      </c>
      <c r="R215" s="102" t="s">
        <v>11</v>
      </c>
      <c r="S215" s="103"/>
      <c r="T215" s="104">
        <f t="shared" si="71"/>
        <v>0</v>
      </c>
      <c r="V215" s="104"/>
    </row>
    <row r="216" ht="22.5" customHeight="1">
      <c r="A216" s="11">
        <v>46118.0</v>
      </c>
      <c r="B216" s="114" t="s">
        <v>12</v>
      </c>
      <c r="C216" s="115">
        <v>15.0</v>
      </c>
      <c r="D216" s="89">
        <f>C216*'Giá NhậpXuất'!$C$12</f>
        <v>195000</v>
      </c>
      <c r="F216" s="66">
        <f t="shared" si="68"/>
        <v>4</v>
      </c>
      <c r="G216" s="13">
        <f t="shared" si="69"/>
        <v>17</v>
      </c>
      <c r="H216" s="66">
        <f t="shared" si="70"/>
        <v>3</v>
      </c>
      <c r="J216" s="115"/>
      <c r="K216" s="115">
        <v>2.0</v>
      </c>
      <c r="L216" s="115">
        <v>6.0</v>
      </c>
      <c r="M216" s="115">
        <v>3.0</v>
      </c>
      <c r="N216" s="115">
        <v>3.0</v>
      </c>
      <c r="O216" s="115">
        <v>3.0</v>
      </c>
      <c r="R216" s="102" t="s">
        <v>12</v>
      </c>
      <c r="S216" s="103"/>
      <c r="T216" s="104">
        <f t="shared" si="71"/>
        <v>1</v>
      </c>
      <c r="V216" s="104"/>
      <c r="Z216" s="105">
        <v>1.0</v>
      </c>
    </row>
    <row r="217" ht="22.5" customHeight="1">
      <c r="A217" s="11">
        <v>46118.0</v>
      </c>
      <c r="B217" s="13" t="s">
        <v>13</v>
      </c>
      <c r="C217" s="4">
        <v>20.0</v>
      </c>
      <c r="D217" s="89">
        <f>C217*'Giá NhậpXuất'!$C$13</f>
        <v>260000</v>
      </c>
      <c r="F217" s="66">
        <f t="shared" si="68"/>
        <v>10</v>
      </c>
      <c r="G217" s="13">
        <f t="shared" si="69"/>
        <v>19</v>
      </c>
      <c r="H217" s="66">
        <f t="shared" si="70"/>
        <v>16</v>
      </c>
      <c r="K217" s="4">
        <v>3.0</v>
      </c>
      <c r="L217" s="4">
        <v>3.0</v>
      </c>
      <c r="M217" s="4">
        <v>4.0</v>
      </c>
      <c r="N217" s="4">
        <v>5.0</v>
      </c>
      <c r="O217" s="4">
        <v>4.0</v>
      </c>
      <c r="R217" s="102" t="s">
        <v>13</v>
      </c>
      <c r="S217" s="103"/>
      <c r="T217" s="104">
        <f t="shared" si="71"/>
        <v>5</v>
      </c>
      <c r="V217" s="103">
        <v>3.0</v>
      </c>
      <c r="Z217" s="105">
        <v>2.0</v>
      </c>
    </row>
    <row r="218" ht="22.5" customHeight="1">
      <c r="A218" s="11">
        <v>46118.0</v>
      </c>
      <c r="B218" s="114" t="s">
        <v>14</v>
      </c>
      <c r="C218" s="115">
        <v>20.0</v>
      </c>
      <c r="D218" s="89">
        <f>C218*'Giá NhậpXuất'!$C$14</f>
        <v>320000</v>
      </c>
      <c r="F218" s="66">
        <f t="shared" si="68"/>
        <v>2</v>
      </c>
      <c r="G218" s="13">
        <f t="shared" si="69"/>
        <v>13</v>
      </c>
      <c r="H218" s="66">
        <f t="shared" si="70"/>
        <v>12</v>
      </c>
      <c r="J218" s="115"/>
      <c r="K218" s="115">
        <v>1.0</v>
      </c>
      <c r="L218" s="115">
        <v>3.0</v>
      </c>
      <c r="M218" s="115">
        <v>3.0</v>
      </c>
      <c r="N218" s="115">
        <v>3.0</v>
      </c>
      <c r="O218" s="115">
        <v>3.0</v>
      </c>
      <c r="R218" s="102" t="s">
        <v>14</v>
      </c>
      <c r="S218" s="103"/>
      <c r="T218" s="104">
        <f t="shared" si="71"/>
        <v>3</v>
      </c>
      <c r="V218" s="103"/>
      <c r="Z218" s="105">
        <v>3.0</v>
      </c>
    </row>
    <row r="219" ht="22.5" customHeight="1">
      <c r="A219" s="11">
        <v>46118.0</v>
      </c>
      <c r="B219" s="13" t="s">
        <v>15</v>
      </c>
      <c r="C219" s="4">
        <v>250.0</v>
      </c>
      <c r="D219" s="89">
        <f>C219*'Giá NhậpXuất'!$C$15</f>
        <v>3250000</v>
      </c>
      <c r="F219" s="66">
        <f t="shared" si="68"/>
        <v>37</v>
      </c>
      <c r="G219" s="13">
        <f t="shared" si="69"/>
        <v>160</v>
      </c>
      <c r="H219" s="66">
        <f t="shared" si="70"/>
        <v>152</v>
      </c>
      <c r="K219" s="4">
        <v>25.0</v>
      </c>
      <c r="L219" s="4">
        <v>40.0</v>
      </c>
      <c r="M219" s="4">
        <v>30.0</v>
      </c>
      <c r="N219" s="4">
        <v>35.0</v>
      </c>
      <c r="O219" s="4">
        <v>30.0</v>
      </c>
      <c r="R219" s="102" t="s">
        <v>15</v>
      </c>
      <c r="S219" s="103"/>
      <c r="T219" s="104">
        <f t="shared" si="71"/>
        <v>25</v>
      </c>
      <c r="V219" s="103">
        <v>10.0</v>
      </c>
      <c r="W219" s="105">
        <v>1.0</v>
      </c>
      <c r="Z219" s="105">
        <v>14.0</v>
      </c>
    </row>
    <row r="220" ht="22.5" customHeight="1">
      <c r="B220" s="4" t="s">
        <v>16</v>
      </c>
      <c r="C220" s="13">
        <f t="shared" ref="C220:D220" si="72">sum(C208:C219)</f>
        <v>550</v>
      </c>
      <c r="D220" s="6">
        <f t="shared" si="72"/>
        <v>7210000</v>
      </c>
      <c r="F220" s="66">
        <f t="shared" si="68"/>
        <v>86</v>
      </c>
      <c r="G220" s="13">
        <f t="shared" si="69"/>
        <v>377</v>
      </c>
      <c r="J220" s="97">
        <f t="shared" ref="J220:O220" si="73">sum(J208:J219)</f>
        <v>0</v>
      </c>
      <c r="K220" s="97">
        <f t="shared" si="73"/>
        <v>57</v>
      </c>
      <c r="L220" s="97">
        <f t="shared" si="73"/>
        <v>89</v>
      </c>
      <c r="M220" s="97">
        <f t="shared" si="73"/>
        <v>75</v>
      </c>
      <c r="N220" s="97">
        <f t="shared" si="73"/>
        <v>81</v>
      </c>
      <c r="O220" s="97">
        <f t="shared" si="73"/>
        <v>75</v>
      </c>
      <c r="R220" s="106"/>
      <c r="S220" s="109">
        <f>sum(Table6[Chưa Quay])</f>
        <v>0</v>
      </c>
      <c r="T220" s="109">
        <f>sum(Table6[Tổng Tồn])</f>
        <v>52</v>
      </c>
      <c r="U220" s="108">
        <f>sum(Table6[Tồn XL])</f>
        <v>0</v>
      </c>
      <c r="V220" s="109">
        <f>sum(Table6[Tồn XĐ sau])</f>
        <v>19</v>
      </c>
      <c r="W220" s="108">
        <f>sum(Table6[Tồn VTD])</f>
        <v>1</v>
      </c>
      <c r="X220" s="108">
        <f>sum(Table6[Tồn CN A])</f>
        <v>0</v>
      </c>
      <c r="Y220" s="108">
        <f>sum(Table6[Tồn CN B])</f>
        <v>0</v>
      </c>
      <c r="Z220" s="108">
        <f>sum(Table6[Tồn ĐN])</f>
        <v>32</v>
      </c>
    </row>
    <row r="221">
      <c r="D221" s="6"/>
      <c r="J221" s="13">
        <f>J220-Table6[[#TOTALS],[Tồn XL]]</f>
        <v>0</v>
      </c>
      <c r="K221" s="66">
        <f>K220-Table6[[#TOTALS],[Tồn XĐ sau]]</f>
        <v>38</v>
      </c>
      <c r="L221" s="13">
        <f>L220-Table6[[#TOTALS],[Tồn VTD]]</f>
        <v>88</v>
      </c>
      <c r="M221" s="13">
        <f>M220-Table6[[#TOTALS],[Tồn CN A]]</f>
        <v>75</v>
      </c>
      <c r="N221" s="13">
        <f>N220-Table6[[#TOTALS],[Tồn CN B]]</f>
        <v>81</v>
      </c>
      <c r="O221" s="13">
        <f>O220-Table6[[#TOTALS],[Tồn ĐN]]</f>
        <v>43</v>
      </c>
    </row>
    <row r="222">
      <c r="D222" s="6"/>
      <c r="I222" s="62"/>
      <c r="J222" s="62" t="s">
        <v>114</v>
      </c>
    </row>
    <row r="223" ht="22.5" customHeight="1">
      <c r="D223" s="6"/>
      <c r="I223" s="75" t="s">
        <v>253</v>
      </c>
      <c r="J223" s="4" t="s">
        <v>93</v>
      </c>
      <c r="K223" s="4" t="s">
        <v>227</v>
      </c>
      <c r="L223" s="4" t="s">
        <v>89</v>
      </c>
      <c r="M223" s="4" t="s">
        <v>80</v>
      </c>
      <c r="N223" s="4" t="s">
        <v>81</v>
      </c>
      <c r="O223" s="4" t="s">
        <v>232</v>
      </c>
      <c r="R223" s="99" t="s">
        <v>236</v>
      </c>
      <c r="S223" s="100" t="s">
        <v>233</v>
      </c>
      <c r="T223" s="100" t="s">
        <v>234</v>
      </c>
      <c r="U223" s="100" t="s">
        <v>238</v>
      </c>
      <c r="V223" s="100" t="s">
        <v>231</v>
      </c>
      <c r="W223" s="100" t="s">
        <v>239</v>
      </c>
      <c r="X223" s="100" t="s">
        <v>246</v>
      </c>
      <c r="Y223" s="100" t="s">
        <v>247</v>
      </c>
      <c r="Z223" s="100" t="s">
        <v>248</v>
      </c>
    </row>
    <row r="224" ht="22.5" customHeight="1">
      <c r="B224" s="114" t="s">
        <v>4</v>
      </c>
      <c r="D224" s="120"/>
      <c r="I224" s="119">
        <f t="shared" ref="I224:I230" si="74">H208-sum(J224:O224)</f>
        <v>14</v>
      </c>
      <c r="J224" s="4">
        <v>5.0</v>
      </c>
      <c r="K224" s="4">
        <v>2.0</v>
      </c>
      <c r="L224" s="4">
        <v>5.0</v>
      </c>
      <c r="M224" s="4">
        <v>4.0</v>
      </c>
      <c r="N224" s="66">
        <v>4.0</v>
      </c>
      <c r="O224" s="4">
        <v>3.0</v>
      </c>
      <c r="R224" s="102" t="s">
        <v>4</v>
      </c>
      <c r="S224" s="103">
        <v>7.0</v>
      </c>
      <c r="T224" s="104">
        <f t="shared" ref="T224:T235" si="75">sum(U224:Z224)</f>
        <v>7</v>
      </c>
      <c r="U224" s="105">
        <v>5.0</v>
      </c>
      <c r="V224" s="103"/>
      <c r="Y224" s="105">
        <v>1.0</v>
      </c>
      <c r="Z224" s="105">
        <v>1.0</v>
      </c>
    </row>
    <row r="225" ht="22.5" customHeight="1">
      <c r="B225" s="13" t="s">
        <v>5</v>
      </c>
      <c r="D225" s="120"/>
      <c r="I225" s="119">
        <f t="shared" si="74"/>
        <v>1</v>
      </c>
      <c r="J225" s="4">
        <v>2.0</v>
      </c>
      <c r="K225" s="4">
        <v>1.0</v>
      </c>
      <c r="L225" s="4">
        <v>2.0</v>
      </c>
      <c r="M225" s="4">
        <v>2.0</v>
      </c>
      <c r="N225" s="67">
        <v>2.0</v>
      </c>
      <c r="O225" s="67">
        <v>2.0</v>
      </c>
      <c r="R225" s="102" t="s">
        <v>5</v>
      </c>
      <c r="S225" s="103">
        <v>2.0</v>
      </c>
      <c r="T225" s="104">
        <f t="shared" si="75"/>
        <v>6</v>
      </c>
      <c r="U225" s="105">
        <v>1.0</v>
      </c>
      <c r="V225" s="103"/>
      <c r="X225" s="105">
        <v>3.0</v>
      </c>
      <c r="Z225" s="105">
        <v>2.0</v>
      </c>
    </row>
    <row r="226" ht="22.5" customHeight="1">
      <c r="B226" s="114" t="s">
        <v>6</v>
      </c>
      <c r="D226" s="120"/>
      <c r="I226" s="119">
        <f t="shared" si="74"/>
        <v>0</v>
      </c>
      <c r="J226" s="4">
        <v>2.0</v>
      </c>
      <c r="K226" s="4">
        <v>1.0</v>
      </c>
      <c r="L226" s="4">
        <v>2.0</v>
      </c>
      <c r="M226" s="4">
        <v>2.0</v>
      </c>
      <c r="N226" s="66">
        <v>3.0</v>
      </c>
      <c r="O226" s="67"/>
      <c r="R226" s="102" t="s">
        <v>6</v>
      </c>
      <c r="S226" s="103"/>
      <c r="T226" s="104">
        <f t="shared" si="75"/>
        <v>0</v>
      </c>
      <c r="V226" s="103"/>
    </row>
    <row r="227" ht="22.5" customHeight="1">
      <c r="B227" s="13" t="s">
        <v>7</v>
      </c>
      <c r="D227" s="120"/>
      <c r="I227" s="119">
        <f t="shared" si="74"/>
        <v>0</v>
      </c>
      <c r="J227" s="4">
        <v>2.0</v>
      </c>
      <c r="K227" s="4">
        <v>1.0</v>
      </c>
      <c r="N227" s="66">
        <v>2.0</v>
      </c>
      <c r="O227" s="67">
        <v>2.0</v>
      </c>
      <c r="R227" s="102" t="s">
        <v>7</v>
      </c>
      <c r="S227" s="103"/>
      <c r="T227" s="104">
        <f t="shared" si="75"/>
        <v>3</v>
      </c>
      <c r="U227" s="105">
        <v>1.0</v>
      </c>
      <c r="V227" s="103"/>
      <c r="Z227" s="105">
        <v>2.0</v>
      </c>
    </row>
    <row r="228" ht="22.5" customHeight="1">
      <c r="B228" s="114" t="s">
        <v>8</v>
      </c>
      <c r="D228" s="120"/>
      <c r="I228" s="119">
        <f t="shared" si="74"/>
        <v>2</v>
      </c>
      <c r="J228" s="4">
        <v>2.0</v>
      </c>
      <c r="K228" s="4">
        <v>2.0</v>
      </c>
      <c r="L228" s="4">
        <v>3.0</v>
      </c>
      <c r="M228" s="4">
        <v>3.0</v>
      </c>
      <c r="N228" s="66">
        <v>2.0</v>
      </c>
      <c r="O228" s="67">
        <v>2.0</v>
      </c>
      <c r="R228" s="102" t="s">
        <v>8</v>
      </c>
      <c r="S228" s="103">
        <v>4.0</v>
      </c>
      <c r="T228" s="104">
        <f t="shared" si="75"/>
        <v>0</v>
      </c>
      <c r="V228" s="103"/>
    </row>
    <row r="229" ht="22.5" customHeight="1">
      <c r="B229" s="13" t="s">
        <v>9</v>
      </c>
      <c r="D229" s="120"/>
      <c r="I229" s="119">
        <f t="shared" si="74"/>
        <v>6</v>
      </c>
      <c r="J229" s="4">
        <v>3.0</v>
      </c>
      <c r="K229" s="4">
        <v>3.0</v>
      </c>
      <c r="L229" s="4">
        <v>5.0</v>
      </c>
      <c r="M229" s="4">
        <v>4.0</v>
      </c>
      <c r="N229" s="67">
        <v>5.0</v>
      </c>
      <c r="O229" s="67">
        <v>3.0</v>
      </c>
      <c r="R229" s="102" t="s">
        <v>9</v>
      </c>
      <c r="S229" s="103">
        <v>5.0</v>
      </c>
      <c r="T229" s="104">
        <f t="shared" si="75"/>
        <v>8</v>
      </c>
      <c r="U229" s="105">
        <v>3.0</v>
      </c>
      <c r="V229" s="103"/>
      <c r="Y229" s="105">
        <v>2.0</v>
      </c>
      <c r="Z229" s="105">
        <v>3.0</v>
      </c>
    </row>
    <row r="230" ht="22.5" customHeight="1">
      <c r="B230" s="114" t="s">
        <v>10</v>
      </c>
      <c r="D230" s="120"/>
      <c r="I230" s="119">
        <f t="shared" si="74"/>
        <v>0</v>
      </c>
      <c r="J230" s="4">
        <v>2.0</v>
      </c>
      <c r="K230" s="4">
        <v>2.0</v>
      </c>
      <c r="L230" s="4">
        <v>3.0</v>
      </c>
      <c r="M230" s="4">
        <v>2.0</v>
      </c>
      <c r="N230" s="66">
        <v>1.0</v>
      </c>
      <c r="O230" s="67">
        <v>3.0</v>
      </c>
      <c r="R230" s="102" t="s">
        <v>10</v>
      </c>
      <c r="S230" s="103"/>
      <c r="T230" s="104">
        <f t="shared" si="75"/>
        <v>6</v>
      </c>
      <c r="U230" s="105">
        <v>1.0</v>
      </c>
      <c r="V230" s="104"/>
      <c r="X230" s="105">
        <v>2.0</v>
      </c>
      <c r="Z230" s="105">
        <v>3.0</v>
      </c>
    </row>
    <row r="231" ht="22.5" customHeight="1">
      <c r="B231" s="13" t="s">
        <v>11</v>
      </c>
      <c r="D231" s="120"/>
      <c r="I231" s="119">
        <f>H215-sum(K231:O231)</f>
        <v>0</v>
      </c>
      <c r="K231" s="4">
        <v>2.0</v>
      </c>
      <c r="N231" s="66">
        <v>0.0</v>
      </c>
      <c r="O231" s="67">
        <v>2.0</v>
      </c>
      <c r="R231" s="102" t="s">
        <v>11</v>
      </c>
      <c r="S231" s="103"/>
      <c r="T231" s="104">
        <f t="shared" si="75"/>
        <v>0</v>
      </c>
      <c r="V231" s="104"/>
    </row>
    <row r="232" ht="22.5" customHeight="1">
      <c r="B232" s="114" t="s">
        <v>12</v>
      </c>
      <c r="D232" s="120"/>
      <c r="I232" s="119">
        <f t="shared" ref="I232:I235" si="76">H216-sum(J232:O232)</f>
        <v>0</v>
      </c>
      <c r="L232" s="4">
        <v>3.0</v>
      </c>
      <c r="N232" s="66"/>
      <c r="O232" s="66"/>
      <c r="R232" s="102" t="s">
        <v>12</v>
      </c>
      <c r="S232" s="103"/>
      <c r="T232" s="104">
        <f t="shared" si="75"/>
        <v>0</v>
      </c>
      <c r="V232" s="104"/>
    </row>
    <row r="233" ht="22.5" customHeight="1">
      <c r="B233" s="13" t="s">
        <v>13</v>
      </c>
      <c r="D233" s="120"/>
      <c r="I233" s="119">
        <f t="shared" si="76"/>
        <v>0</v>
      </c>
      <c r="J233" s="4">
        <v>1.0</v>
      </c>
      <c r="K233" s="4">
        <v>2.0</v>
      </c>
      <c r="L233" s="4">
        <v>3.0</v>
      </c>
      <c r="M233" s="4">
        <v>4.0</v>
      </c>
      <c r="N233" s="67">
        <v>4.0</v>
      </c>
      <c r="O233" s="67">
        <v>2.0</v>
      </c>
      <c r="R233" s="102" t="s">
        <v>13</v>
      </c>
      <c r="S233" s="103"/>
      <c r="T233" s="104">
        <f t="shared" si="75"/>
        <v>2</v>
      </c>
      <c r="V233" s="103"/>
      <c r="X233" s="105">
        <v>1.0</v>
      </c>
      <c r="Z233" s="105">
        <v>1.0</v>
      </c>
    </row>
    <row r="234" ht="22.5" customHeight="1">
      <c r="B234" s="114" t="s">
        <v>14</v>
      </c>
      <c r="D234" s="120"/>
      <c r="I234" s="119">
        <f t="shared" si="76"/>
        <v>1</v>
      </c>
      <c r="J234" s="4">
        <v>1.0</v>
      </c>
      <c r="K234" s="4">
        <v>2.0</v>
      </c>
      <c r="L234" s="4">
        <v>2.0</v>
      </c>
      <c r="M234" s="4">
        <v>2.0</v>
      </c>
      <c r="N234" s="66">
        <v>3.0</v>
      </c>
      <c r="O234" s="67">
        <v>1.0</v>
      </c>
      <c r="R234" s="102" t="s">
        <v>14</v>
      </c>
      <c r="S234" s="103"/>
      <c r="T234" s="104">
        <f t="shared" si="75"/>
        <v>0</v>
      </c>
      <c r="V234" s="103"/>
    </row>
    <row r="235" ht="22.5" customHeight="1">
      <c r="B235" s="13" t="s">
        <v>15</v>
      </c>
      <c r="D235" s="120"/>
      <c r="I235" s="119">
        <f t="shared" si="76"/>
        <v>42</v>
      </c>
      <c r="J235" s="4">
        <v>15.0</v>
      </c>
      <c r="K235" s="4">
        <v>15.0</v>
      </c>
      <c r="L235" s="4">
        <v>20.0</v>
      </c>
      <c r="M235" s="4">
        <v>20.0</v>
      </c>
      <c r="N235" s="67">
        <v>20.0</v>
      </c>
      <c r="O235" s="67">
        <v>20.0</v>
      </c>
      <c r="R235" s="102" t="s">
        <v>15</v>
      </c>
      <c r="S235" s="103">
        <f>5+36</f>
        <v>41</v>
      </c>
      <c r="T235" s="104">
        <f t="shared" si="75"/>
        <v>33</v>
      </c>
      <c r="U235" s="105">
        <v>8.0</v>
      </c>
      <c r="V235" s="103"/>
      <c r="X235" s="105">
        <v>5.0</v>
      </c>
      <c r="Y235" s="105">
        <v>7.0</v>
      </c>
      <c r="Z235" s="105">
        <v>13.0</v>
      </c>
    </row>
    <row r="236" ht="22.5" customHeight="1">
      <c r="D236" s="6"/>
      <c r="I236" s="66">
        <f t="shared" ref="I236:O236" si="77">sum(I224:I235)</f>
        <v>66</v>
      </c>
      <c r="J236" s="97">
        <f t="shared" si="77"/>
        <v>35</v>
      </c>
      <c r="K236" s="97">
        <f t="shared" si="77"/>
        <v>33</v>
      </c>
      <c r="L236" s="97">
        <f t="shared" si="77"/>
        <v>48</v>
      </c>
      <c r="M236" s="97">
        <f t="shared" si="77"/>
        <v>43</v>
      </c>
      <c r="N236" s="118">
        <f t="shared" si="77"/>
        <v>46</v>
      </c>
      <c r="O236" s="97">
        <f t="shared" si="77"/>
        <v>40</v>
      </c>
      <c r="R236" s="106"/>
      <c r="S236" s="109">
        <f>sum(Table7[Chưa Quay])</f>
        <v>59</v>
      </c>
      <c r="T236" s="109">
        <f>sum(Table7[Tổng Tồn])</f>
        <v>65</v>
      </c>
      <c r="U236" s="108">
        <f>sum(Table7[Tồn XL])</f>
        <v>19</v>
      </c>
      <c r="V236" s="109">
        <f>sum(Table7[Tồn XĐ sau])</f>
        <v>0</v>
      </c>
      <c r="W236" s="108">
        <f>sum(Table7[Tồn VTD])</f>
        <v>0</v>
      </c>
      <c r="X236" s="108">
        <f>sum(Table7[Tồn CN A])</f>
        <v>11</v>
      </c>
      <c r="Y236" s="108">
        <f>sum(Table7[Tồn CN B])</f>
        <v>10</v>
      </c>
      <c r="Z236" s="108">
        <f>sum(Table7[Tồn ĐN])</f>
        <v>25</v>
      </c>
    </row>
    <row r="237">
      <c r="D237" s="6"/>
    </row>
    <row r="238">
      <c r="D238" s="6"/>
      <c r="I238" s="95" t="s">
        <v>113</v>
      </c>
    </row>
    <row r="239" ht="22.5" customHeight="1">
      <c r="C239" s="4" t="s">
        <v>250</v>
      </c>
      <c r="D239" s="6"/>
      <c r="F239" s="4" t="s">
        <v>251</v>
      </c>
      <c r="G239" s="4" t="s">
        <v>252</v>
      </c>
      <c r="H239" s="4" t="s">
        <v>245</v>
      </c>
      <c r="J239" s="4" t="s">
        <v>93</v>
      </c>
      <c r="K239" s="4" t="s">
        <v>227</v>
      </c>
      <c r="L239" s="110" t="s">
        <v>89</v>
      </c>
      <c r="M239" s="4" t="s">
        <v>80</v>
      </c>
      <c r="N239" s="4" t="s">
        <v>254</v>
      </c>
      <c r="O239" s="4" t="s">
        <v>232</v>
      </c>
      <c r="P239" s="4"/>
      <c r="Q239" s="4" t="s">
        <v>255</v>
      </c>
      <c r="R239" s="99" t="s">
        <v>236</v>
      </c>
      <c r="S239" s="100" t="s">
        <v>233</v>
      </c>
      <c r="T239" s="100" t="s">
        <v>234</v>
      </c>
      <c r="U239" s="100" t="s">
        <v>238</v>
      </c>
      <c r="V239" s="100" t="s">
        <v>231</v>
      </c>
      <c r="W239" s="100" t="s">
        <v>239</v>
      </c>
      <c r="X239" s="100" t="s">
        <v>246</v>
      </c>
      <c r="Y239" s="100" t="s">
        <v>247</v>
      </c>
      <c r="Z239" s="101" t="s">
        <v>256</v>
      </c>
      <c r="AA239" s="100" t="s">
        <v>248</v>
      </c>
    </row>
    <row r="240" ht="22.5" customHeight="1">
      <c r="A240" s="11">
        <v>46119.0</v>
      </c>
      <c r="B240" s="114" t="s">
        <v>4</v>
      </c>
      <c r="C240" s="115">
        <v>65.0</v>
      </c>
      <c r="D240" s="120">
        <f>C240*'Giá NhậpXuất'!$C$4</f>
        <v>845000</v>
      </c>
      <c r="F240" s="66">
        <f t="shared" ref="F240:F252" si="78">S224+T224</f>
        <v>14</v>
      </c>
      <c r="G240" s="13">
        <f t="shared" ref="G240:G251" si="79">sum(J240:O240)</f>
        <v>40</v>
      </c>
      <c r="H240" s="66">
        <f t="shared" ref="H240:H251" si="80">C240+F240-G240+T240</f>
        <v>49</v>
      </c>
      <c r="J240" s="115">
        <v>6.0</v>
      </c>
      <c r="K240" s="115">
        <v>6.0</v>
      </c>
      <c r="L240" s="115">
        <v>10.0</v>
      </c>
      <c r="M240" s="115">
        <v>5.0</v>
      </c>
      <c r="N240" s="115">
        <v>8.0</v>
      </c>
      <c r="O240" s="115">
        <v>5.0</v>
      </c>
      <c r="P240" s="4"/>
      <c r="Q240" s="4">
        <v>7.0</v>
      </c>
      <c r="R240" s="102" t="s">
        <v>4</v>
      </c>
      <c r="S240" s="103">
        <v>47.0</v>
      </c>
      <c r="T240" s="104">
        <f t="shared" ref="T240:T251" si="81">sum(U240:AA240)</f>
        <v>10</v>
      </c>
      <c r="V240" s="103">
        <v>4.0</v>
      </c>
      <c r="W240" s="105">
        <v>3.0</v>
      </c>
      <c r="Z240" s="105">
        <v>3.0</v>
      </c>
    </row>
    <row r="241" ht="22.5" customHeight="1">
      <c r="A241" s="11">
        <v>46119.0</v>
      </c>
      <c r="B241" s="13" t="s">
        <v>5</v>
      </c>
      <c r="C241" s="4">
        <v>25.0</v>
      </c>
      <c r="D241" s="120">
        <f>C241*'Giá NhậpXuất'!$C$5</f>
        <v>325000</v>
      </c>
      <c r="F241" s="66">
        <f t="shared" si="78"/>
        <v>8</v>
      </c>
      <c r="G241" s="13">
        <f t="shared" si="79"/>
        <v>21</v>
      </c>
      <c r="H241" s="66">
        <f t="shared" si="80"/>
        <v>18</v>
      </c>
      <c r="J241" s="4">
        <v>3.0</v>
      </c>
      <c r="K241" s="4">
        <v>3.0</v>
      </c>
      <c r="L241" s="4">
        <v>5.0</v>
      </c>
      <c r="M241" s="4">
        <v>3.0</v>
      </c>
      <c r="N241" s="4">
        <v>4.0</v>
      </c>
      <c r="O241" s="4">
        <v>3.0</v>
      </c>
      <c r="P241" s="4"/>
      <c r="Q241" s="4">
        <v>2.0</v>
      </c>
      <c r="R241" s="102" t="s">
        <v>5</v>
      </c>
      <c r="S241" s="103">
        <v>10.0</v>
      </c>
      <c r="T241" s="104">
        <f t="shared" si="81"/>
        <v>6</v>
      </c>
      <c r="V241" s="103">
        <v>1.0</v>
      </c>
      <c r="W241" s="105">
        <v>2.0</v>
      </c>
      <c r="Y241" s="105">
        <v>1.0</v>
      </c>
      <c r="Z241" s="105">
        <v>2.0</v>
      </c>
    </row>
    <row r="242" ht="22.5" customHeight="1">
      <c r="A242" s="11">
        <v>46119.0</v>
      </c>
      <c r="B242" s="114" t="s">
        <v>6</v>
      </c>
      <c r="C242" s="115">
        <v>20.0</v>
      </c>
      <c r="D242" s="120">
        <f>C242*'Giá NhậpXuất'!$C$6</f>
        <v>260000</v>
      </c>
      <c r="F242" s="66">
        <f t="shared" si="78"/>
        <v>0</v>
      </c>
      <c r="G242" s="13">
        <f t="shared" si="79"/>
        <v>19</v>
      </c>
      <c r="H242" s="66">
        <f t="shared" si="80"/>
        <v>4</v>
      </c>
      <c r="J242" s="115">
        <v>2.0</v>
      </c>
      <c r="K242" s="115">
        <v>2.0</v>
      </c>
      <c r="L242" s="115">
        <v>5.0</v>
      </c>
      <c r="M242" s="115">
        <v>4.0</v>
      </c>
      <c r="N242" s="115">
        <v>3.0</v>
      </c>
      <c r="O242" s="115">
        <v>3.0</v>
      </c>
      <c r="P242" s="4"/>
      <c r="Q242" s="4">
        <v>2.0</v>
      </c>
      <c r="R242" s="102" t="s">
        <v>6</v>
      </c>
      <c r="S242" s="103"/>
      <c r="T242" s="104">
        <f t="shared" si="81"/>
        <v>3</v>
      </c>
      <c r="U242" s="105">
        <v>1.0</v>
      </c>
      <c r="V242" s="103">
        <v>2.0</v>
      </c>
    </row>
    <row r="243" ht="22.5" customHeight="1">
      <c r="A243" s="11">
        <v>46119.0</v>
      </c>
      <c r="B243" s="13" t="s">
        <v>7</v>
      </c>
      <c r="C243" s="4">
        <v>20.0</v>
      </c>
      <c r="D243" s="120">
        <f>C243*'Giá NhậpXuất'!$C$7</f>
        <v>260000</v>
      </c>
      <c r="F243" s="66">
        <f t="shared" si="78"/>
        <v>3</v>
      </c>
      <c r="G243" s="13">
        <f t="shared" si="79"/>
        <v>18</v>
      </c>
      <c r="H243" s="66">
        <f t="shared" si="80"/>
        <v>13</v>
      </c>
      <c r="J243" s="4">
        <v>3.0</v>
      </c>
      <c r="K243" s="4">
        <v>3.0</v>
      </c>
      <c r="L243" s="4">
        <v>4.0</v>
      </c>
      <c r="M243" s="4">
        <v>3.0</v>
      </c>
      <c r="N243" s="4">
        <v>3.0</v>
      </c>
      <c r="O243" s="4">
        <v>2.0</v>
      </c>
      <c r="P243" s="4"/>
      <c r="Q243" s="4">
        <v>2.0</v>
      </c>
      <c r="R243" s="102" t="s">
        <v>7</v>
      </c>
      <c r="S243" s="103">
        <v>3.0</v>
      </c>
      <c r="T243" s="104">
        <f t="shared" si="81"/>
        <v>8</v>
      </c>
      <c r="U243" s="105">
        <v>2.0</v>
      </c>
      <c r="V243" s="103">
        <v>3.0</v>
      </c>
      <c r="W243" s="105">
        <v>2.0</v>
      </c>
      <c r="Z243" s="105">
        <v>1.0</v>
      </c>
    </row>
    <row r="244" ht="22.5" customHeight="1">
      <c r="A244" s="11">
        <v>46119.0</v>
      </c>
      <c r="B244" s="114" t="s">
        <v>8</v>
      </c>
      <c r="C244" s="115">
        <v>45.0</v>
      </c>
      <c r="D244" s="120">
        <f>C244*'Giá NhậpXuất'!$C$8</f>
        <v>585000</v>
      </c>
      <c r="F244" s="66">
        <f t="shared" si="78"/>
        <v>4</v>
      </c>
      <c r="G244" s="13">
        <f t="shared" si="79"/>
        <v>30</v>
      </c>
      <c r="H244" s="66">
        <f t="shared" si="80"/>
        <v>27</v>
      </c>
      <c r="J244" s="115">
        <v>4.0</v>
      </c>
      <c r="K244" s="115">
        <v>4.0</v>
      </c>
      <c r="L244" s="115">
        <v>6.0</v>
      </c>
      <c r="M244" s="115">
        <v>5.0</v>
      </c>
      <c r="N244" s="115">
        <v>6.0</v>
      </c>
      <c r="O244" s="115">
        <v>5.0</v>
      </c>
      <c r="P244" s="4"/>
      <c r="Q244" s="4">
        <v>3.0</v>
      </c>
      <c r="R244" s="102" t="s">
        <v>8</v>
      </c>
      <c r="S244" s="103">
        <v>12.0</v>
      </c>
      <c r="T244" s="104">
        <f t="shared" si="81"/>
        <v>8</v>
      </c>
      <c r="U244" s="105">
        <v>2.0</v>
      </c>
      <c r="V244" s="103">
        <v>2.0</v>
      </c>
      <c r="W244" s="105">
        <v>2.0</v>
      </c>
      <c r="Z244" s="105">
        <v>2.0</v>
      </c>
    </row>
    <row r="245" ht="22.5" customHeight="1">
      <c r="A245" s="11">
        <v>46119.0</v>
      </c>
      <c r="B245" s="13" t="s">
        <v>9</v>
      </c>
      <c r="C245" s="4">
        <v>55.0</v>
      </c>
      <c r="D245" s="120">
        <f>C245*'Giá NhậpXuất'!$C$9</f>
        <v>715000</v>
      </c>
      <c r="F245" s="66">
        <f t="shared" si="78"/>
        <v>13</v>
      </c>
      <c r="G245" s="13">
        <f t="shared" si="79"/>
        <v>34</v>
      </c>
      <c r="H245" s="66">
        <f t="shared" si="80"/>
        <v>41</v>
      </c>
      <c r="J245" s="4">
        <v>5.0</v>
      </c>
      <c r="K245" s="4">
        <v>5.0</v>
      </c>
      <c r="L245" s="4">
        <v>8.0</v>
      </c>
      <c r="M245" s="4">
        <v>5.0</v>
      </c>
      <c r="N245" s="4">
        <v>6.0</v>
      </c>
      <c r="O245" s="4">
        <v>5.0</v>
      </c>
      <c r="P245" s="4"/>
      <c r="Q245" s="4">
        <v>4.0</v>
      </c>
      <c r="R245" s="102" t="s">
        <v>9</v>
      </c>
      <c r="S245" s="103">
        <v>27.0</v>
      </c>
      <c r="T245" s="104">
        <f t="shared" si="81"/>
        <v>7</v>
      </c>
      <c r="U245" s="105">
        <v>2.0</v>
      </c>
      <c r="V245" s="103"/>
      <c r="W245" s="105">
        <v>5.0</v>
      </c>
    </row>
    <row r="246" ht="22.5" customHeight="1">
      <c r="A246" s="11">
        <v>46119.0</v>
      </c>
      <c r="B246" s="114" t="s">
        <v>10</v>
      </c>
      <c r="C246" s="115">
        <v>20.0</v>
      </c>
      <c r="D246" s="120">
        <f>C246*'Giá NhậpXuất'!$C$10</f>
        <v>260000</v>
      </c>
      <c r="F246" s="66">
        <f t="shared" si="78"/>
        <v>6</v>
      </c>
      <c r="G246" s="13">
        <f t="shared" si="79"/>
        <v>20</v>
      </c>
      <c r="H246" s="66">
        <f t="shared" si="80"/>
        <v>17</v>
      </c>
      <c r="J246" s="115">
        <v>3.0</v>
      </c>
      <c r="K246" s="115">
        <v>3.0</v>
      </c>
      <c r="L246" s="115">
        <v>5.0</v>
      </c>
      <c r="M246" s="115">
        <v>3.0</v>
      </c>
      <c r="N246" s="115">
        <v>3.0</v>
      </c>
      <c r="O246" s="115">
        <v>3.0</v>
      </c>
      <c r="P246" s="4"/>
      <c r="Q246" s="4">
        <v>2.0</v>
      </c>
      <c r="R246" s="102" t="s">
        <v>10</v>
      </c>
      <c r="S246" s="103">
        <v>3.0</v>
      </c>
      <c r="T246" s="104">
        <f t="shared" si="81"/>
        <v>11</v>
      </c>
      <c r="U246" s="105">
        <v>3.0</v>
      </c>
      <c r="V246" s="103">
        <v>2.0</v>
      </c>
      <c r="W246" s="105">
        <v>3.0</v>
      </c>
      <c r="Y246" s="105">
        <v>1.0</v>
      </c>
      <c r="Z246" s="105">
        <v>2.0</v>
      </c>
    </row>
    <row r="247" ht="22.5" customHeight="1">
      <c r="A247" s="11">
        <v>46119.0</v>
      </c>
      <c r="B247" s="13" t="s">
        <v>11</v>
      </c>
      <c r="C247" s="4">
        <v>15.0</v>
      </c>
      <c r="D247" s="120">
        <f>C247*'Giá NhậpXuất'!$C$11</f>
        <v>195000</v>
      </c>
      <c r="F247" s="66">
        <f t="shared" si="78"/>
        <v>0</v>
      </c>
      <c r="G247" s="13">
        <f t="shared" si="79"/>
        <v>15</v>
      </c>
      <c r="H247" s="66">
        <f t="shared" si="80"/>
        <v>6</v>
      </c>
      <c r="J247" s="4">
        <v>3.0</v>
      </c>
      <c r="L247" s="4">
        <v>4.0</v>
      </c>
      <c r="M247" s="4">
        <v>2.0</v>
      </c>
      <c r="N247" s="4">
        <v>3.0</v>
      </c>
      <c r="O247" s="4">
        <v>3.0</v>
      </c>
      <c r="P247" s="4"/>
      <c r="Q247" s="4">
        <v>2.0</v>
      </c>
      <c r="R247" s="102" t="s">
        <v>11</v>
      </c>
      <c r="S247" s="103"/>
      <c r="T247" s="104">
        <f t="shared" si="81"/>
        <v>6</v>
      </c>
      <c r="U247" s="105">
        <v>1.0</v>
      </c>
      <c r="V247" s="103">
        <v>3.0</v>
      </c>
      <c r="Z247" s="105">
        <v>2.0</v>
      </c>
    </row>
    <row r="248" ht="22.5" customHeight="1">
      <c r="A248" s="11">
        <v>46119.0</v>
      </c>
      <c r="B248" s="114" t="s">
        <v>12</v>
      </c>
      <c r="C248" s="115">
        <v>15.0</v>
      </c>
      <c r="D248" s="120">
        <f>C248*'Giá NhậpXuất'!$C$12</f>
        <v>195000</v>
      </c>
      <c r="F248" s="66">
        <f t="shared" si="78"/>
        <v>0</v>
      </c>
      <c r="G248" s="13">
        <f t="shared" si="79"/>
        <v>21</v>
      </c>
      <c r="H248" s="66">
        <f t="shared" si="80"/>
        <v>-6</v>
      </c>
      <c r="J248" s="115">
        <v>2.0</v>
      </c>
      <c r="K248" s="115">
        <v>2.0</v>
      </c>
      <c r="L248" s="115">
        <v>7.0</v>
      </c>
      <c r="M248" s="115">
        <v>3.0</v>
      </c>
      <c r="N248" s="115">
        <v>5.0</v>
      </c>
      <c r="O248" s="115">
        <v>2.0</v>
      </c>
      <c r="R248" s="102" t="s">
        <v>12</v>
      </c>
      <c r="S248" s="103"/>
      <c r="T248" s="104">
        <f t="shared" si="81"/>
        <v>0</v>
      </c>
      <c r="V248" s="104"/>
    </row>
    <row r="249" ht="22.5" customHeight="1">
      <c r="A249" s="11">
        <v>46119.0</v>
      </c>
      <c r="B249" s="13" t="s">
        <v>13</v>
      </c>
      <c r="C249" s="4">
        <v>20.0</v>
      </c>
      <c r="D249" s="120">
        <f>C249*'Giá NhậpXuất'!$C$13</f>
        <v>260000</v>
      </c>
      <c r="F249" s="66">
        <f t="shared" si="78"/>
        <v>2</v>
      </c>
      <c r="G249" s="13">
        <f t="shared" si="79"/>
        <v>23</v>
      </c>
      <c r="H249" s="66">
        <f t="shared" si="80"/>
        <v>-1</v>
      </c>
      <c r="J249" s="4">
        <v>3.0</v>
      </c>
      <c r="K249" s="4">
        <v>3.0</v>
      </c>
      <c r="L249" s="4">
        <v>5.0</v>
      </c>
      <c r="M249" s="4">
        <v>4.0</v>
      </c>
      <c r="N249" s="4">
        <v>4.0</v>
      </c>
      <c r="O249" s="4">
        <v>4.0</v>
      </c>
      <c r="P249" s="4"/>
      <c r="Q249" s="4">
        <v>2.0</v>
      </c>
      <c r="R249" s="102" t="s">
        <v>13</v>
      </c>
      <c r="S249" s="103"/>
      <c r="T249" s="104">
        <f t="shared" si="81"/>
        <v>0</v>
      </c>
      <c r="V249" s="103"/>
    </row>
    <row r="250" ht="22.5" customHeight="1">
      <c r="A250" s="11">
        <v>46119.0</v>
      </c>
      <c r="B250" s="114" t="s">
        <v>14</v>
      </c>
      <c r="C250" s="115">
        <v>20.0</v>
      </c>
      <c r="D250" s="120">
        <f>C250*'Giá NhậpXuất'!$C$14</f>
        <v>320000</v>
      </c>
      <c r="F250" s="66">
        <f t="shared" si="78"/>
        <v>0</v>
      </c>
      <c r="G250" s="13">
        <f t="shared" si="79"/>
        <v>17</v>
      </c>
      <c r="H250" s="66">
        <f t="shared" si="80"/>
        <v>4</v>
      </c>
      <c r="J250" s="115">
        <v>2.0</v>
      </c>
      <c r="K250" s="115">
        <v>1.0</v>
      </c>
      <c r="L250" s="115">
        <v>5.0</v>
      </c>
      <c r="M250" s="115">
        <v>3.0</v>
      </c>
      <c r="N250" s="115">
        <v>3.0</v>
      </c>
      <c r="O250" s="115">
        <v>3.0</v>
      </c>
      <c r="P250" s="4"/>
      <c r="Q250" s="4">
        <v>2.0</v>
      </c>
      <c r="R250" s="102" t="s">
        <v>14</v>
      </c>
      <c r="S250" s="103">
        <v>4.0</v>
      </c>
      <c r="T250" s="104">
        <f t="shared" si="81"/>
        <v>1</v>
      </c>
      <c r="V250" s="103">
        <v>1.0</v>
      </c>
    </row>
    <row r="251" ht="22.5" customHeight="1">
      <c r="A251" s="11">
        <v>46119.0</v>
      </c>
      <c r="B251" s="13" t="s">
        <v>15</v>
      </c>
      <c r="C251" s="4">
        <v>280.0</v>
      </c>
      <c r="D251" s="120">
        <f>C251*'Giá NhậpXuất'!$C$15</f>
        <v>3640000</v>
      </c>
      <c r="F251" s="66">
        <f t="shared" si="78"/>
        <v>74</v>
      </c>
      <c r="G251" s="13">
        <f t="shared" si="79"/>
        <v>185</v>
      </c>
      <c r="H251" s="66">
        <f t="shared" si="80"/>
        <v>178</v>
      </c>
      <c r="J251" s="4">
        <v>25.0</v>
      </c>
      <c r="K251" s="4">
        <v>25.0</v>
      </c>
      <c r="L251" s="4">
        <v>45.0</v>
      </c>
      <c r="M251" s="4">
        <v>30.0</v>
      </c>
      <c r="N251" s="4">
        <v>35.0</v>
      </c>
      <c r="O251" s="4">
        <v>25.0</v>
      </c>
      <c r="P251" s="4"/>
      <c r="Q251" s="4">
        <v>20.0</v>
      </c>
      <c r="R251" s="102" t="s">
        <v>15</v>
      </c>
      <c r="S251" s="103">
        <v>160.0</v>
      </c>
      <c r="T251" s="104">
        <f t="shared" si="81"/>
        <v>9</v>
      </c>
      <c r="V251" s="103">
        <v>8.0</v>
      </c>
      <c r="Z251" s="105">
        <v>1.0</v>
      </c>
    </row>
    <row r="252" ht="22.5" customHeight="1">
      <c r="B252" s="4" t="s">
        <v>16</v>
      </c>
      <c r="C252" s="13">
        <f t="shared" ref="C252:D252" si="82">sum(C240:C251)</f>
        <v>600</v>
      </c>
      <c r="D252" s="6">
        <f t="shared" si="82"/>
        <v>7860000</v>
      </c>
      <c r="F252" s="66">
        <f t="shared" si="78"/>
        <v>124</v>
      </c>
      <c r="J252" s="97">
        <f t="shared" ref="J252:O252" si="83">sum(J240:J251)</f>
        <v>61</v>
      </c>
      <c r="K252" s="97">
        <f t="shared" si="83"/>
        <v>57</v>
      </c>
      <c r="L252" s="97">
        <f t="shared" si="83"/>
        <v>109</v>
      </c>
      <c r="M252" s="97">
        <f t="shared" si="83"/>
        <v>70</v>
      </c>
      <c r="N252" s="97">
        <f t="shared" si="83"/>
        <v>83</v>
      </c>
      <c r="O252" s="97">
        <f t="shared" si="83"/>
        <v>63</v>
      </c>
      <c r="P252" s="97"/>
      <c r="Q252" s="97">
        <f>sum(Q240:Q251)</f>
        <v>48</v>
      </c>
      <c r="R252" s="106"/>
      <c r="S252" s="109">
        <f>sum(Table8[Chưa Quay])</f>
        <v>266</v>
      </c>
      <c r="T252" s="109">
        <f>sum(Table8[Tổng Tồn])</f>
        <v>69</v>
      </c>
      <c r="U252" s="108">
        <f>sum(Table8[Tồn XL])</f>
        <v>11</v>
      </c>
      <c r="V252" s="109">
        <f>sum(Table8[Tồn XĐ sau])</f>
        <v>26</v>
      </c>
      <c r="W252" s="108">
        <f>sum(Table8[Tồn VTD])</f>
        <v>17</v>
      </c>
      <c r="X252" s="108">
        <f>sum(Table8[Tồn CN A])</f>
        <v>0</v>
      </c>
      <c r="Y252" s="108">
        <f>sum(Table8[Tồn CN B])</f>
        <v>2</v>
      </c>
      <c r="Z252" s="108">
        <f>sum(Table8[Tồn CN B2])</f>
        <v>13</v>
      </c>
      <c r="AA252" s="108">
        <f>sum(Table8[Tồn ĐN])</f>
        <v>0</v>
      </c>
    </row>
    <row r="253">
      <c r="D253" s="6"/>
      <c r="J253" s="13">
        <f>J252-Table8[[#TOTALS],[Tồn XL]]</f>
        <v>50</v>
      </c>
      <c r="K253" s="66">
        <f>K252-Table8[[#TOTALS],[Tồn XĐ sau]]</f>
        <v>31</v>
      </c>
      <c r="L253" s="13">
        <f>L252-Table8[[#TOTALS],[Tồn VTD]]</f>
        <v>92</v>
      </c>
      <c r="M253" s="13">
        <f>M252-Table8[[#TOTALS],[Tồn CN A]]</f>
        <v>70</v>
      </c>
      <c r="N253" s="13">
        <f>N252-Table8[[#TOTALS],[Tồn CN B]]</f>
        <v>81</v>
      </c>
      <c r="O253" s="13">
        <f>O252-Table8[[#TOTALS],[Tồn ĐN]]</f>
        <v>63</v>
      </c>
      <c r="Q253" s="13">
        <f>Q252-Table8[[#TOTALS],[Tồn CN B2]]</f>
        <v>35</v>
      </c>
    </row>
    <row r="254">
      <c r="D254" s="6"/>
      <c r="I254" s="62"/>
      <c r="J254" s="62" t="s">
        <v>114</v>
      </c>
    </row>
    <row r="255" ht="22.5" customHeight="1">
      <c r="D255" s="6"/>
      <c r="H255" s="4" t="s">
        <v>251</v>
      </c>
      <c r="I255" s="75" t="s">
        <v>253</v>
      </c>
      <c r="J255" s="4" t="s">
        <v>93</v>
      </c>
      <c r="K255" s="4" t="s">
        <v>227</v>
      </c>
      <c r="L255" s="4" t="s">
        <v>89</v>
      </c>
      <c r="M255" s="4" t="s">
        <v>80</v>
      </c>
      <c r="N255" s="4" t="s">
        <v>81</v>
      </c>
      <c r="O255" s="4" t="s">
        <v>232</v>
      </c>
      <c r="R255" s="99" t="s">
        <v>236</v>
      </c>
      <c r="S255" s="100" t="s">
        <v>233</v>
      </c>
      <c r="T255" s="100" t="s">
        <v>234</v>
      </c>
      <c r="U255" s="100" t="s">
        <v>238</v>
      </c>
      <c r="V255" s="100" t="s">
        <v>231</v>
      </c>
      <c r="W255" s="100" t="s">
        <v>239</v>
      </c>
      <c r="X255" s="100" t="s">
        <v>246</v>
      </c>
      <c r="Y255" s="100" t="s">
        <v>247</v>
      </c>
      <c r="Z255" s="101" t="s">
        <v>256</v>
      </c>
      <c r="AA255" s="100" t="s">
        <v>248</v>
      </c>
    </row>
    <row r="256" ht="22.5" customHeight="1">
      <c r="B256" s="114" t="s">
        <v>4</v>
      </c>
      <c r="D256" s="6"/>
      <c r="H256" s="66">
        <f t="shared" ref="H256:H267" si="84">S240+T240</f>
        <v>57</v>
      </c>
      <c r="I256" s="119">
        <f t="shared" ref="I256:I267" si="85">H256-sum(J256:O256)</f>
        <v>36</v>
      </c>
      <c r="J256" s="4">
        <v>3.0</v>
      </c>
      <c r="K256" s="4">
        <v>4.0</v>
      </c>
      <c r="L256" s="4">
        <v>3.0</v>
      </c>
      <c r="M256" s="4">
        <v>3.0</v>
      </c>
      <c r="N256" s="67">
        <v>5.0</v>
      </c>
      <c r="O256" s="4">
        <v>3.0</v>
      </c>
      <c r="R256" s="102" t="s">
        <v>4</v>
      </c>
      <c r="S256" s="103">
        <v>38.0</v>
      </c>
      <c r="T256" s="104">
        <f t="shared" ref="T256:T267" si="86">sum(U256:AA256)</f>
        <v>6</v>
      </c>
      <c r="U256" s="105">
        <v>1.0</v>
      </c>
      <c r="V256" s="103">
        <v>3.0</v>
      </c>
      <c r="X256" s="105">
        <v>1.0</v>
      </c>
      <c r="AA256" s="105">
        <v>1.0</v>
      </c>
    </row>
    <row r="257" ht="22.5" customHeight="1">
      <c r="B257" s="13" t="s">
        <v>5</v>
      </c>
      <c r="D257" s="6"/>
      <c r="H257" s="66">
        <f t="shared" si="84"/>
        <v>16</v>
      </c>
      <c r="I257" s="119">
        <f t="shared" si="85"/>
        <v>3</v>
      </c>
      <c r="J257" s="4">
        <v>2.0</v>
      </c>
      <c r="K257" s="4">
        <v>2.0</v>
      </c>
      <c r="L257" s="4">
        <v>2.0</v>
      </c>
      <c r="M257" s="4">
        <v>2.0</v>
      </c>
      <c r="N257" s="67">
        <v>3.0</v>
      </c>
      <c r="O257" s="67">
        <v>2.0</v>
      </c>
      <c r="R257" s="102" t="s">
        <v>5</v>
      </c>
      <c r="S257" s="103">
        <v>3.0</v>
      </c>
      <c r="T257" s="104">
        <f t="shared" si="86"/>
        <v>3</v>
      </c>
      <c r="U257" s="105">
        <v>2.0</v>
      </c>
      <c r="V257" s="103"/>
      <c r="X257" s="105">
        <v>1.0</v>
      </c>
    </row>
    <row r="258" ht="22.5" customHeight="1">
      <c r="B258" s="114" t="s">
        <v>6</v>
      </c>
      <c r="D258" s="6"/>
      <c r="H258" s="66">
        <f t="shared" si="84"/>
        <v>3</v>
      </c>
      <c r="I258" s="119">
        <f t="shared" si="85"/>
        <v>0</v>
      </c>
      <c r="L258" s="4">
        <v>2.0</v>
      </c>
      <c r="N258" s="66"/>
      <c r="O258" s="4">
        <v>1.0</v>
      </c>
      <c r="R258" s="102" t="s">
        <v>6</v>
      </c>
      <c r="S258" s="103"/>
      <c r="T258" s="104">
        <f t="shared" si="86"/>
        <v>3</v>
      </c>
      <c r="V258" s="103"/>
      <c r="W258" s="105">
        <v>2.0</v>
      </c>
      <c r="AA258" s="105">
        <v>1.0</v>
      </c>
    </row>
    <row r="259" ht="22.5" customHeight="1">
      <c r="B259" s="13" t="s">
        <v>7</v>
      </c>
      <c r="D259" s="6"/>
      <c r="H259" s="66">
        <f t="shared" si="84"/>
        <v>11</v>
      </c>
      <c r="I259" s="119">
        <f t="shared" si="85"/>
        <v>0</v>
      </c>
      <c r="J259" s="4">
        <v>2.0</v>
      </c>
      <c r="K259" s="4">
        <v>2.0</v>
      </c>
      <c r="L259" s="4">
        <v>1.0</v>
      </c>
      <c r="M259" s="4">
        <v>2.0</v>
      </c>
      <c r="N259" s="66">
        <v>2.0</v>
      </c>
      <c r="O259" s="67">
        <v>2.0</v>
      </c>
      <c r="R259" s="102" t="s">
        <v>7</v>
      </c>
      <c r="S259" s="103"/>
      <c r="T259" s="104">
        <f t="shared" si="86"/>
        <v>3</v>
      </c>
      <c r="V259" s="103">
        <v>1.0</v>
      </c>
      <c r="X259" s="105">
        <v>2.0</v>
      </c>
    </row>
    <row r="260" ht="22.5" customHeight="1">
      <c r="B260" s="114" t="s">
        <v>8</v>
      </c>
      <c r="D260" s="6"/>
      <c r="H260" s="66">
        <f t="shared" si="84"/>
        <v>20</v>
      </c>
      <c r="I260" s="119">
        <f t="shared" si="85"/>
        <v>3</v>
      </c>
      <c r="J260" s="4">
        <v>2.0</v>
      </c>
      <c r="K260" s="4">
        <v>4.0</v>
      </c>
      <c r="L260" s="4">
        <v>3.0</v>
      </c>
      <c r="M260" s="4">
        <v>3.0</v>
      </c>
      <c r="N260" s="66">
        <v>2.0</v>
      </c>
      <c r="O260" s="67">
        <v>3.0</v>
      </c>
      <c r="R260" s="102" t="s">
        <v>8</v>
      </c>
      <c r="S260" s="103">
        <v>6.0</v>
      </c>
      <c r="T260" s="104">
        <f t="shared" si="86"/>
        <v>3</v>
      </c>
      <c r="V260" s="103">
        <v>1.0</v>
      </c>
      <c r="X260" s="105">
        <v>2.0</v>
      </c>
    </row>
    <row r="261" ht="22.5" customHeight="1">
      <c r="B261" s="13" t="s">
        <v>9</v>
      </c>
      <c r="D261" s="6"/>
      <c r="H261" s="66">
        <f t="shared" si="84"/>
        <v>34</v>
      </c>
      <c r="I261" s="119">
        <f t="shared" si="85"/>
        <v>11</v>
      </c>
      <c r="J261" s="4">
        <v>3.0</v>
      </c>
      <c r="K261" s="4">
        <v>4.0</v>
      </c>
      <c r="L261" s="4">
        <v>3.0</v>
      </c>
      <c r="M261" s="4">
        <v>5.0</v>
      </c>
      <c r="N261" s="67">
        <v>5.0</v>
      </c>
      <c r="O261" s="67">
        <v>3.0</v>
      </c>
      <c r="R261" s="102" t="s">
        <v>9</v>
      </c>
      <c r="S261" s="103">
        <v>11.0</v>
      </c>
      <c r="T261" s="104">
        <f t="shared" si="86"/>
        <v>8</v>
      </c>
      <c r="U261" s="105">
        <v>2.0</v>
      </c>
      <c r="V261" s="103">
        <v>2.0</v>
      </c>
      <c r="X261" s="105">
        <v>4.0</v>
      </c>
    </row>
    <row r="262" ht="22.5" customHeight="1">
      <c r="B262" s="114" t="s">
        <v>10</v>
      </c>
      <c r="D262" s="6"/>
      <c r="H262" s="66">
        <f t="shared" si="84"/>
        <v>14</v>
      </c>
      <c r="I262" s="119">
        <f t="shared" si="85"/>
        <v>0</v>
      </c>
      <c r="J262" s="4">
        <v>2.0</v>
      </c>
      <c r="K262" s="4">
        <v>1.0</v>
      </c>
      <c r="L262" s="4">
        <v>3.0</v>
      </c>
      <c r="M262" s="4">
        <v>4.0</v>
      </c>
      <c r="N262" s="66">
        <v>1.0</v>
      </c>
      <c r="O262" s="67">
        <v>3.0</v>
      </c>
      <c r="R262" s="102" t="s">
        <v>10</v>
      </c>
      <c r="S262" s="103">
        <v>3.0</v>
      </c>
      <c r="T262" s="104">
        <f t="shared" si="86"/>
        <v>2</v>
      </c>
      <c r="V262" s="103"/>
      <c r="W262" s="105">
        <v>1.0</v>
      </c>
      <c r="X262" s="105">
        <v>1.0</v>
      </c>
    </row>
    <row r="263" ht="22.5" customHeight="1">
      <c r="B263" s="13" t="s">
        <v>11</v>
      </c>
      <c r="D263" s="6"/>
      <c r="H263" s="66">
        <f t="shared" si="84"/>
        <v>6</v>
      </c>
      <c r="I263" s="119">
        <f t="shared" si="85"/>
        <v>0</v>
      </c>
      <c r="L263" s="4">
        <v>2.0</v>
      </c>
      <c r="M263" s="4">
        <v>2.0</v>
      </c>
      <c r="N263" s="66"/>
      <c r="O263" s="67">
        <v>2.0</v>
      </c>
      <c r="R263" s="102" t="s">
        <v>11</v>
      </c>
      <c r="S263" s="103"/>
      <c r="T263" s="104">
        <f t="shared" si="86"/>
        <v>2</v>
      </c>
      <c r="V263" s="103"/>
      <c r="X263" s="105">
        <v>1.0</v>
      </c>
      <c r="AA263" s="105">
        <v>1.0</v>
      </c>
    </row>
    <row r="264" ht="22.5" customHeight="1">
      <c r="B264" s="114" t="s">
        <v>12</v>
      </c>
      <c r="D264" s="6"/>
      <c r="H264" s="66">
        <f t="shared" si="84"/>
        <v>0</v>
      </c>
      <c r="I264" s="119">
        <f t="shared" si="85"/>
        <v>0</v>
      </c>
      <c r="N264" s="66"/>
      <c r="O264" s="66"/>
      <c r="R264" s="102" t="s">
        <v>12</v>
      </c>
      <c r="S264" s="103"/>
      <c r="T264" s="104">
        <f t="shared" si="86"/>
        <v>0</v>
      </c>
      <c r="V264" s="104"/>
    </row>
    <row r="265" ht="22.5" customHeight="1">
      <c r="B265" s="13" t="s">
        <v>13</v>
      </c>
      <c r="D265" s="6"/>
      <c r="H265" s="66">
        <f t="shared" si="84"/>
        <v>0</v>
      </c>
      <c r="I265" s="119">
        <f t="shared" si="85"/>
        <v>0</v>
      </c>
      <c r="N265" s="67"/>
      <c r="O265" s="67"/>
      <c r="R265" s="102" t="s">
        <v>13</v>
      </c>
      <c r="S265" s="103"/>
      <c r="T265" s="104">
        <f t="shared" si="86"/>
        <v>0</v>
      </c>
      <c r="V265" s="103"/>
    </row>
    <row r="266" ht="22.5" customHeight="1">
      <c r="B266" s="114" t="s">
        <v>14</v>
      </c>
      <c r="D266" s="6"/>
      <c r="H266" s="66">
        <f t="shared" si="84"/>
        <v>5</v>
      </c>
      <c r="I266" s="119">
        <f t="shared" si="85"/>
        <v>0</v>
      </c>
      <c r="L266" s="4">
        <v>2.0</v>
      </c>
      <c r="M266" s="4">
        <v>2.0</v>
      </c>
      <c r="N266" s="67">
        <v>1.0</v>
      </c>
      <c r="O266" s="67"/>
      <c r="R266" s="102" t="s">
        <v>14</v>
      </c>
      <c r="S266" s="103"/>
      <c r="T266" s="104">
        <f t="shared" si="86"/>
        <v>1</v>
      </c>
      <c r="V266" s="103"/>
      <c r="X266" s="105">
        <v>1.0</v>
      </c>
    </row>
    <row r="267" ht="22.5" customHeight="1">
      <c r="B267" s="13" t="s">
        <v>15</v>
      </c>
      <c r="D267" s="6"/>
      <c r="H267" s="66">
        <f t="shared" si="84"/>
        <v>169</v>
      </c>
      <c r="I267" s="119">
        <f t="shared" si="85"/>
        <v>56</v>
      </c>
      <c r="J267" s="4">
        <v>17.0</v>
      </c>
      <c r="K267" s="4">
        <v>18.0</v>
      </c>
      <c r="L267" s="4">
        <v>20.0</v>
      </c>
      <c r="M267" s="4">
        <v>20.0</v>
      </c>
      <c r="N267" s="67">
        <v>22.0</v>
      </c>
      <c r="O267" s="67">
        <v>16.0</v>
      </c>
      <c r="R267" s="102" t="s">
        <v>15</v>
      </c>
      <c r="S267" s="103">
        <v>55.0</v>
      </c>
      <c r="T267" s="104">
        <f t="shared" si="86"/>
        <v>45</v>
      </c>
      <c r="U267" s="105">
        <v>6.0</v>
      </c>
      <c r="V267" s="103">
        <v>13.0</v>
      </c>
      <c r="W267" s="105">
        <v>4.0</v>
      </c>
      <c r="X267" s="105">
        <v>14.0</v>
      </c>
      <c r="AA267" s="105">
        <v>8.0</v>
      </c>
    </row>
    <row r="268" ht="22.5" customHeight="1">
      <c r="D268" s="6"/>
      <c r="I268" s="66">
        <f t="shared" ref="I268:O268" si="87">sum(I256:I267)</f>
        <v>109</v>
      </c>
      <c r="J268" s="97">
        <f t="shared" si="87"/>
        <v>31</v>
      </c>
      <c r="K268" s="97">
        <f t="shared" si="87"/>
        <v>35</v>
      </c>
      <c r="L268" s="97">
        <f t="shared" si="87"/>
        <v>41</v>
      </c>
      <c r="M268" s="97">
        <f t="shared" si="87"/>
        <v>43</v>
      </c>
      <c r="N268" s="118">
        <f t="shared" si="87"/>
        <v>41</v>
      </c>
      <c r="O268" s="97">
        <f t="shared" si="87"/>
        <v>35</v>
      </c>
      <c r="R268" s="106"/>
      <c r="S268" s="109">
        <f>sum(Table9[Chưa Quay])</f>
        <v>116</v>
      </c>
      <c r="T268" s="109">
        <f>sum(Table9[Tổng Tồn])</f>
        <v>76</v>
      </c>
      <c r="U268" s="108">
        <f>sum(Table9[Tồn XL])</f>
        <v>11</v>
      </c>
      <c r="V268" s="109">
        <f>sum(Table9[Tồn XĐ sau])</f>
        <v>20</v>
      </c>
      <c r="W268" s="108">
        <f>sum(Table9[Tồn VTD])</f>
        <v>7</v>
      </c>
      <c r="X268" s="108">
        <f>sum(Table9[Tồn CN A])</f>
        <v>27</v>
      </c>
      <c r="Y268" s="108">
        <f>sum(Table9[Tồn CN B])</f>
        <v>0</v>
      </c>
      <c r="Z268" s="108">
        <f>sum(Table9[Tồn CN B])</f>
        <v>0</v>
      </c>
      <c r="AA268" s="108">
        <f>sum(Table9[Tồn ĐN])</f>
        <v>11</v>
      </c>
    </row>
    <row r="269">
      <c r="D269" s="6"/>
    </row>
    <row r="270">
      <c r="I270" s="95" t="s">
        <v>113</v>
      </c>
    </row>
    <row r="271" ht="22.5" customHeight="1">
      <c r="C271" s="4" t="s">
        <v>250</v>
      </c>
      <c r="F271" s="4" t="s">
        <v>251</v>
      </c>
      <c r="G271" s="4" t="s">
        <v>252</v>
      </c>
      <c r="H271" s="4" t="s">
        <v>245</v>
      </c>
      <c r="J271" s="4" t="s">
        <v>93</v>
      </c>
      <c r="K271" s="4" t="s">
        <v>227</v>
      </c>
      <c r="L271" s="110" t="s">
        <v>89</v>
      </c>
      <c r="M271" s="4" t="s">
        <v>80</v>
      </c>
      <c r="N271" s="4" t="s">
        <v>254</v>
      </c>
      <c r="O271" s="4" t="s">
        <v>232</v>
      </c>
      <c r="R271" s="99" t="s">
        <v>236</v>
      </c>
      <c r="S271" s="100" t="s">
        <v>233</v>
      </c>
      <c r="T271" s="100" t="s">
        <v>234</v>
      </c>
      <c r="U271" s="100" t="s">
        <v>238</v>
      </c>
      <c r="V271" s="100" t="s">
        <v>231</v>
      </c>
      <c r="W271" s="100" t="s">
        <v>239</v>
      </c>
      <c r="X271" s="100" t="s">
        <v>246</v>
      </c>
      <c r="Y271" s="100" t="s">
        <v>247</v>
      </c>
      <c r="Z271" s="101" t="s">
        <v>256</v>
      </c>
      <c r="AA271" s="100" t="s">
        <v>248</v>
      </c>
    </row>
    <row r="272" ht="22.5" customHeight="1">
      <c r="A272" s="11">
        <v>46120.0</v>
      </c>
      <c r="B272" s="114" t="s">
        <v>4</v>
      </c>
      <c r="C272" s="115">
        <v>30.0</v>
      </c>
      <c r="D272" s="120">
        <f>C272*'Giá NhậpXuất'!$C$4</f>
        <v>390000</v>
      </c>
      <c r="F272" s="66">
        <f t="shared" ref="F272:F283" si="88">S256+T256</f>
        <v>44</v>
      </c>
      <c r="G272" s="13">
        <f t="shared" ref="G272:G283" si="89">sum(J272:O272)</f>
        <v>40</v>
      </c>
      <c r="H272" s="66">
        <f t="shared" ref="H272:H283" si="90">C272+F272-G272+T272</f>
        <v>41</v>
      </c>
      <c r="J272" s="115">
        <v>6.0</v>
      </c>
      <c r="K272" s="115">
        <v>6.0</v>
      </c>
      <c r="L272" s="115">
        <v>7.0</v>
      </c>
      <c r="M272" s="115">
        <v>5.0</v>
      </c>
      <c r="N272" s="115">
        <v>9.0</v>
      </c>
      <c r="O272" s="115">
        <v>7.0</v>
      </c>
      <c r="R272" s="102" t="s">
        <v>4</v>
      </c>
      <c r="S272" s="103">
        <v>47.0</v>
      </c>
      <c r="T272" s="104">
        <f t="shared" ref="T272:T283" si="91">sum(U272:AA272)</f>
        <v>7</v>
      </c>
      <c r="U272" s="105">
        <v>2.0</v>
      </c>
      <c r="V272" s="103">
        <v>5.0</v>
      </c>
    </row>
    <row r="273" ht="22.5" customHeight="1">
      <c r="A273" s="11">
        <v>46120.0</v>
      </c>
      <c r="B273" s="13" t="s">
        <v>5</v>
      </c>
      <c r="C273" s="4">
        <v>25.0</v>
      </c>
      <c r="D273" s="120">
        <f>C273*'Giá NhậpXuất'!$C$5</f>
        <v>325000</v>
      </c>
      <c r="F273" s="66">
        <f t="shared" si="88"/>
        <v>6</v>
      </c>
      <c r="G273" s="13">
        <f t="shared" si="89"/>
        <v>22</v>
      </c>
      <c r="H273" s="66">
        <f t="shared" si="90"/>
        <v>12</v>
      </c>
      <c r="J273" s="4">
        <v>3.0</v>
      </c>
      <c r="K273" s="4">
        <v>3.0</v>
      </c>
      <c r="L273" s="4">
        <v>4.0</v>
      </c>
      <c r="M273" s="4">
        <v>5.0</v>
      </c>
      <c r="N273" s="4">
        <v>4.0</v>
      </c>
      <c r="O273" s="4">
        <v>3.0</v>
      </c>
      <c r="R273" s="102" t="s">
        <v>5</v>
      </c>
      <c r="S273" s="103">
        <v>6.0</v>
      </c>
      <c r="T273" s="104">
        <f t="shared" si="91"/>
        <v>3</v>
      </c>
      <c r="U273" s="105">
        <v>1.0</v>
      </c>
      <c r="V273" s="103">
        <v>2.0</v>
      </c>
    </row>
    <row r="274" ht="22.5" customHeight="1">
      <c r="A274" s="11">
        <v>46120.0</v>
      </c>
      <c r="B274" s="114" t="s">
        <v>6</v>
      </c>
      <c r="C274" s="115">
        <v>20.0</v>
      </c>
      <c r="D274" s="120">
        <f>C274*'Giá NhậpXuất'!$C$6</f>
        <v>260000</v>
      </c>
      <c r="F274" s="66">
        <f t="shared" si="88"/>
        <v>3</v>
      </c>
      <c r="G274" s="13">
        <f t="shared" si="89"/>
        <v>19</v>
      </c>
      <c r="H274" s="66">
        <f t="shared" si="90"/>
        <v>4</v>
      </c>
      <c r="J274" s="115">
        <v>2.0</v>
      </c>
      <c r="K274" s="115">
        <v>2.0</v>
      </c>
      <c r="L274" s="115">
        <v>5.0</v>
      </c>
      <c r="M274" s="115">
        <v>4.0</v>
      </c>
      <c r="N274" s="115">
        <v>3.0</v>
      </c>
      <c r="O274" s="115">
        <v>3.0</v>
      </c>
      <c r="R274" s="102" t="s">
        <v>6</v>
      </c>
      <c r="S274" s="103">
        <v>4.0</v>
      </c>
      <c r="T274" s="104">
        <f t="shared" si="91"/>
        <v>0</v>
      </c>
      <c r="V274" s="103"/>
    </row>
    <row r="275" ht="22.5" customHeight="1">
      <c r="A275" s="11">
        <v>46120.0</v>
      </c>
      <c r="B275" s="13" t="s">
        <v>7</v>
      </c>
      <c r="C275" s="4">
        <v>20.0</v>
      </c>
      <c r="D275" s="120">
        <f>C275*'Giá NhậpXuất'!$C$7</f>
        <v>260000</v>
      </c>
      <c r="F275" s="66">
        <f t="shared" si="88"/>
        <v>3</v>
      </c>
      <c r="G275" s="13">
        <f t="shared" si="89"/>
        <v>23</v>
      </c>
      <c r="H275" s="66">
        <f t="shared" si="90"/>
        <v>3</v>
      </c>
      <c r="J275" s="4">
        <v>3.0</v>
      </c>
      <c r="K275" s="4">
        <v>3.0</v>
      </c>
      <c r="L275" s="4">
        <v>4.0</v>
      </c>
      <c r="M275" s="4">
        <v>5.0</v>
      </c>
      <c r="N275" s="4">
        <v>3.0</v>
      </c>
      <c r="O275" s="4">
        <v>5.0</v>
      </c>
      <c r="R275" s="102" t="s">
        <v>7</v>
      </c>
      <c r="S275" s="103"/>
      <c r="T275" s="104">
        <f t="shared" si="91"/>
        <v>3</v>
      </c>
      <c r="U275" s="105">
        <v>1.0</v>
      </c>
      <c r="V275" s="103"/>
      <c r="AA275" s="105">
        <v>2.0</v>
      </c>
    </row>
    <row r="276" ht="22.5" customHeight="1">
      <c r="A276" s="11">
        <v>46120.0</v>
      </c>
      <c r="B276" s="114" t="s">
        <v>8</v>
      </c>
      <c r="C276" s="115">
        <v>25.0</v>
      </c>
      <c r="D276" s="120">
        <f>C276*'Giá NhậpXuất'!$C$8</f>
        <v>325000</v>
      </c>
      <c r="F276" s="66">
        <f t="shared" si="88"/>
        <v>9</v>
      </c>
      <c r="G276" s="13">
        <f t="shared" si="89"/>
        <v>30</v>
      </c>
      <c r="H276" s="66">
        <f t="shared" si="90"/>
        <v>8</v>
      </c>
      <c r="J276" s="115">
        <v>6.0</v>
      </c>
      <c r="K276" s="115">
        <v>4.0</v>
      </c>
      <c r="L276" s="115">
        <v>5.0</v>
      </c>
      <c r="M276" s="115">
        <v>5.0</v>
      </c>
      <c r="N276" s="115">
        <v>6.0</v>
      </c>
      <c r="O276" s="115">
        <v>4.0</v>
      </c>
      <c r="R276" s="102" t="s">
        <v>8</v>
      </c>
      <c r="S276" s="103">
        <v>2.0</v>
      </c>
      <c r="T276" s="104">
        <f t="shared" si="91"/>
        <v>4</v>
      </c>
      <c r="U276" s="105">
        <v>2.0</v>
      </c>
      <c r="V276" s="103">
        <v>1.0</v>
      </c>
      <c r="W276" s="105">
        <v>1.0</v>
      </c>
    </row>
    <row r="277" ht="22.5" customHeight="1">
      <c r="A277" s="11">
        <v>46120.0</v>
      </c>
      <c r="B277" s="13" t="s">
        <v>9</v>
      </c>
      <c r="C277" s="4">
        <v>35.0</v>
      </c>
      <c r="D277" s="120">
        <f>C277*'Giá NhậpXuất'!$C$9</f>
        <v>455000</v>
      </c>
      <c r="F277" s="66">
        <f t="shared" si="88"/>
        <v>19</v>
      </c>
      <c r="G277" s="13">
        <f t="shared" si="89"/>
        <v>34</v>
      </c>
      <c r="H277" s="66">
        <f t="shared" si="90"/>
        <v>25</v>
      </c>
      <c r="J277" s="4">
        <v>5.0</v>
      </c>
      <c r="K277" s="4">
        <v>5.0</v>
      </c>
      <c r="L277" s="4">
        <v>8.0</v>
      </c>
      <c r="M277" s="4">
        <v>5.0</v>
      </c>
      <c r="N277" s="4">
        <v>6.0</v>
      </c>
      <c r="O277" s="4">
        <v>5.0</v>
      </c>
      <c r="R277" s="102" t="s">
        <v>9</v>
      </c>
      <c r="S277" s="103">
        <v>8.0</v>
      </c>
      <c r="T277" s="104">
        <f t="shared" si="91"/>
        <v>5</v>
      </c>
      <c r="U277" s="105">
        <v>3.0</v>
      </c>
      <c r="V277" s="103">
        <v>2.0</v>
      </c>
    </row>
    <row r="278" ht="22.5" customHeight="1">
      <c r="A278" s="11">
        <v>46120.0</v>
      </c>
      <c r="B278" s="114" t="s">
        <v>10</v>
      </c>
      <c r="C278" s="115">
        <v>20.0</v>
      </c>
      <c r="D278" s="120">
        <f>C278*'Giá NhậpXuất'!$C$10</f>
        <v>260000</v>
      </c>
      <c r="F278" s="66">
        <f t="shared" si="88"/>
        <v>5</v>
      </c>
      <c r="G278" s="13">
        <f t="shared" si="89"/>
        <v>23</v>
      </c>
      <c r="H278" s="66">
        <f t="shared" si="90"/>
        <v>6</v>
      </c>
      <c r="J278" s="115">
        <v>3.0</v>
      </c>
      <c r="K278" s="115">
        <v>3.0</v>
      </c>
      <c r="L278" s="115">
        <v>5.0</v>
      </c>
      <c r="M278" s="115">
        <v>6.0</v>
      </c>
      <c r="N278" s="115">
        <v>3.0</v>
      </c>
      <c r="O278" s="115">
        <v>3.0</v>
      </c>
      <c r="R278" s="102" t="s">
        <v>10</v>
      </c>
      <c r="S278" s="103"/>
      <c r="T278" s="104">
        <f t="shared" si="91"/>
        <v>4</v>
      </c>
      <c r="U278" s="105">
        <v>3.0</v>
      </c>
      <c r="V278" s="103">
        <v>1.0</v>
      </c>
    </row>
    <row r="279" ht="22.5" customHeight="1">
      <c r="A279" s="11">
        <v>46120.0</v>
      </c>
      <c r="B279" s="13" t="s">
        <v>11</v>
      </c>
      <c r="C279" s="4">
        <v>20.0</v>
      </c>
      <c r="D279" s="120">
        <f>C279*'Giá NhậpXuất'!$C$11</f>
        <v>260000</v>
      </c>
      <c r="F279" s="66">
        <f t="shared" si="88"/>
        <v>2</v>
      </c>
      <c r="G279" s="13">
        <f t="shared" si="89"/>
        <v>15</v>
      </c>
      <c r="H279" s="66">
        <f t="shared" si="90"/>
        <v>10</v>
      </c>
      <c r="J279" s="4">
        <v>3.0</v>
      </c>
      <c r="L279" s="4">
        <v>4.0</v>
      </c>
      <c r="M279" s="4">
        <v>2.0</v>
      </c>
      <c r="N279" s="4">
        <v>3.0</v>
      </c>
      <c r="O279" s="4">
        <v>3.0</v>
      </c>
      <c r="R279" s="102" t="s">
        <v>11</v>
      </c>
      <c r="S279" s="103"/>
      <c r="T279" s="104">
        <f t="shared" si="91"/>
        <v>3</v>
      </c>
      <c r="V279" s="103">
        <v>2.0</v>
      </c>
      <c r="W279" s="105">
        <v>1.0</v>
      </c>
    </row>
    <row r="280" ht="22.5" customHeight="1">
      <c r="A280" s="11">
        <v>46120.0</v>
      </c>
      <c r="B280" s="114" t="s">
        <v>12</v>
      </c>
      <c r="C280" s="115">
        <v>20.0</v>
      </c>
      <c r="D280" s="120">
        <f>C280*'Giá NhậpXuất'!$C$12</f>
        <v>260000</v>
      </c>
      <c r="F280" s="66">
        <f t="shared" si="88"/>
        <v>0</v>
      </c>
      <c r="G280" s="13">
        <f t="shared" si="89"/>
        <v>18</v>
      </c>
      <c r="H280" s="66">
        <f t="shared" si="90"/>
        <v>3</v>
      </c>
      <c r="J280" s="115"/>
      <c r="K280" s="115">
        <v>2.0</v>
      </c>
      <c r="L280" s="115">
        <v>6.0</v>
      </c>
      <c r="M280" s="115">
        <v>3.0</v>
      </c>
      <c r="N280" s="115">
        <v>5.0</v>
      </c>
      <c r="O280" s="115">
        <v>2.0</v>
      </c>
      <c r="R280" s="102" t="s">
        <v>12</v>
      </c>
      <c r="S280" s="103">
        <v>3.0</v>
      </c>
      <c r="T280" s="104">
        <f t="shared" si="91"/>
        <v>1</v>
      </c>
      <c r="V280" s="104"/>
      <c r="AA280" s="105">
        <v>1.0</v>
      </c>
    </row>
    <row r="281" ht="22.5" customHeight="1">
      <c r="A281" s="11">
        <v>46120.0</v>
      </c>
      <c r="B281" s="13" t="s">
        <v>13</v>
      </c>
      <c r="C281" s="4">
        <v>20.0</v>
      </c>
      <c r="D281" s="120">
        <f>C281*'Giá NhậpXuất'!$C$13</f>
        <v>260000</v>
      </c>
      <c r="F281" s="66">
        <f t="shared" si="88"/>
        <v>0</v>
      </c>
      <c r="G281" s="13">
        <f t="shared" si="89"/>
        <v>20</v>
      </c>
      <c r="H281" s="66">
        <f t="shared" si="90"/>
        <v>2</v>
      </c>
      <c r="J281" s="4">
        <v>3.0</v>
      </c>
      <c r="K281" s="4">
        <v>3.0</v>
      </c>
      <c r="L281" s="4">
        <v>5.0</v>
      </c>
      <c r="M281" s="4">
        <v>3.0</v>
      </c>
      <c r="N281" s="4">
        <v>3.0</v>
      </c>
      <c r="O281" s="4">
        <v>3.0</v>
      </c>
      <c r="R281" s="102" t="s">
        <v>13</v>
      </c>
      <c r="S281" s="103"/>
      <c r="T281" s="104">
        <f t="shared" si="91"/>
        <v>2</v>
      </c>
      <c r="V281" s="103">
        <v>2.0</v>
      </c>
    </row>
    <row r="282" ht="22.5" customHeight="1">
      <c r="A282" s="11">
        <v>46120.0</v>
      </c>
      <c r="B282" s="114" t="s">
        <v>14</v>
      </c>
      <c r="C282" s="115">
        <v>20.0</v>
      </c>
      <c r="D282" s="120">
        <f>C282*'Giá NhậpXuất'!$C$14</f>
        <v>320000</v>
      </c>
      <c r="F282" s="66">
        <f t="shared" si="88"/>
        <v>1</v>
      </c>
      <c r="G282" s="13">
        <f t="shared" si="89"/>
        <v>17</v>
      </c>
      <c r="H282" s="66">
        <f t="shared" si="90"/>
        <v>5</v>
      </c>
      <c r="J282" s="115">
        <v>2.0</v>
      </c>
      <c r="K282" s="115">
        <v>1.0</v>
      </c>
      <c r="L282" s="115">
        <v>5.0</v>
      </c>
      <c r="M282" s="115">
        <v>3.0</v>
      </c>
      <c r="N282" s="115">
        <v>3.0</v>
      </c>
      <c r="O282" s="115">
        <v>3.0</v>
      </c>
      <c r="R282" s="102" t="s">
        <v>14</v>
      </c>
      <c r="S282" s="103">
        <v>4.0</v>
      </c>
      <c r="T282" s="104">
        <f t="shared" si="91"/>
        <v>1</v>
      </c>
      <c r="V282" s="103">
        <v>1.0</v>
      </c>
    </row>
    <row r="283" ht="22.5" customHeight="1">
      <c r="A283" s="11">
        <v>46120.0</v>
      </c>
      <c r="B283" s="13" t="s">
        <v>15</v>
      </c>
      <c r="C283" s="4">
        <v>220.0</v>
      </c>
      <c r="D283" s="120">
        <f>C283*'Giá NhậpXuất'!$C$15</f>
        <v>2860000</v>
      </c>
      <c r="F283" s="66">
        <f t="shared" si="88"/>
        <v>100</v>
      </c>
      <c r="G283" s="13">
        <f t="shared" si="89"/>
        <v>195</v>
      </c>
      <c r="H283" s="66">
        <f t="shared" si="90"/>
        <v>136</v>
      </c>
      <c r="J283" s="4">
        <v>25.0</v>
      </c>
      <c r="K283" s="4">
        <v>25.0</v>
      </c>
      <c r="L283" s="4">
        <v>40.0</v>
      </c>
      <c r="M283" s="4">
        <v>35.0</v>
      </c>
      <c r="N283" s="4">
        <v>40.0</v>
      </c>
      <c r="O283" s="4">
        <v>30.0</v>
      </c>
      <c r="R283" s="102" t="s">
        <v>15</v>
      </c>
      <c r="S283" s="103">
        <f>30+30+30+30+20+6</f>
        <v>146</v>
      </c>
      <c r="T283" s="104">
        <f t="shared" si="91"/>
        <v>11</v>
      </c>
      <c r="U283" s="105">
        <v>7.0</v>
      </c>
      <c r="V283" s="103">
        <v>4.0</v>
      </c>
    </row>
    <row r="284" ht="22.5" customHeight="1">
      <c r="B284" s="4" t="s">
        <v>16</v>
      </c>
      <c r="C284" s="13">
        <f t="shared" ref="C284:D284" si="92">sum(C272:C283)</f>
        <v>475</v>
      </c>
      <c r="D284" s="6">
        <f t="shared" si="92"/>
        <v>6235000</v>
      </c>
      <c r="J284" s="97">
        <f t="shared" ref="J284:O284" si="93">sum(J272:J283)</f>
        <v>61</v>
      </c>
      <c r="K284" s="97">
        <f t="shared" si="93"/>
        <v>57</v>
      </c>
      <c r="L284" s="97">
        <f t="shared" si="93"/>
        <v>98</v>
      </c>
      <c r="M284" s="97">
        <f t="shared" si="93"/>
        <v>81</v>
      </c>
      <c r="N284" s="97">
        <f t="shared" si="93"/>
        <v>88</v>
      </c>
      <c r="O284" s="97">
        <f t="shared" si="93"/>
        <v>71</v>
      </c>
      <c r="R284" s="106"/>
      <c r="S284" s="109">
        <f>sum(Table10[Chưa Quay])</f>
        <v>220</v>
      </c>
      <c r="T284" s="109">
        <f>sum(Table10[Tổng Tồn])</f>
        <v>44</v>
      </c>
      <c r="U284" s="108">
        <f>sum(Table10[Tồn XL])</f>
        <v>19</v>
      </c>
      <c r="V284" s="109">
        <f>sum(Table10[Tồn XĐ sau])</f>
        <v>20</v>
      </c>
      <c r="W284" s="108">
        <f>sum(Table10[Tồn VTD])</f>
        <v>2</v>
      </c>
      <c r="X284" s="108">
        <f>sum(Table10[Tồn CN A])</f>
        <v>0</v>
      </c>
      <c r="Y284" s="108">
        <f>sum(Table10[Tồn CN B])</f>
        <v>0</v>
      </c>
      <c r="Z284" s="108">
        <f>sum(Table10[Tồn CN B])</f>
        <v>0</v>
      </c>
      <c r="AA284" s="108">
        <f>sum(Table10[Tồn ĐN])</f>
        <v>3</v>
      </c>
    </row>
    <row r="285">
      <c r="D285" s="6"/>
      <c r="J285" s="13">
        <f>J284-Table10[[#TOTALS],[Tồn XL]]</f>
        <v>42</v>
      </c>
      <c r="K285" s="66">
        <f>K284-Table10[[#TOTALS],[Tồn XĐ sau]]</f>
        <v>37</v>
      </c>
      <c r="L285" s="13">
        <f>L284-Table10[[#TOTALS],[Tồn VTD]]</f>
        <v>96</v>
      </c>
      <c r="M285" s="13">
        <f>M284-Table10[[#TOTALS],[Tồn CN A]]</f>
        <v>81</v>
      </c>
      <c r="N285" s="13">
        <f>N284-Table10[[#TOTALS],[Tồn CN B]]</f>
        <v>88</v>
      </c>
      <c r="O285" s="13">
        <f>O284-Table10[[#TOTALS],[Tồn ĐN]]</f>
        <v>68</v>
      </c>
    </row>
    <row r="286">
      <c r="D286" s="6"/>
      <c r="I286" s="113"/>
      <c r="J286" s="113"/>
      <c r="K286" s="113"/>
      <c r="L286" s="4" t="s">
        <v>257</v>
      </c>
      <c r="M286" s="113"/>
      <c r="N286" s="113"/>
      <c r="O286" s="113"/>
    </row>
    <row r="287">
      <c r="D287" s="6"/>
      <c r="I287" s="62"/>
      <c r="J287" s="62" t="s">
        <v>114</v>
      </c>
    </row>
    <row r="288" ht="22.5" customHeight="1">
      <c r="D288" s="6"/>
      <c r="H288" s="4" t="s">
        <v>251</v>
      </c>
      <c r="I288" s="75" t="s">
        <v>253</v>
      </c>
      <c r="J288" s="4" t="s">
        <v>93</v>
      </c>
      <c r="K288" s="4" t="s">
        <v>227</v>
      </c>
      <c r="L288" s="4" t="s">
        <v>89</v>
      </c>
      <c r="M288" s="4" t="s">
        <v>80</v>
      </c>
      <c r="N288" s="4" t="s">
        <v>81</v>
      </c>
      <c r="O288" s="4" t="s">
        <v>232</v>
      </c>
      <c r="R288" s="99" t="s">
        <v>236</v>
      </c>
      <c r="S288" s="100" t="s">
        <v>233</v>
      </c>
      <c r="T288" s="100" t="s">
        <v>234</v>
      </c>
      <c r="U288" s="100" t="s">
        <v>238</v>
      </c>
      <c r="V288" s="100" t="s">
        <v>231</v>
      </c>
      <c r="W288" s="100" t="s">
        <v>239</v>
      </c>
      <c r="X288" s="100" t="s">
        <v>246</v>
      </c>
      <c r="Y288" s="100" t="s">
        <v>247</v>
      </c>
      <c r="Z288" s="101" t="s">
        <v>256</v>
      </c>
      <c r="AA288" s="100" t="s">
        <v>248</v>
      </c>
    </row>
    <row r="289" ht="22.5" customHeight="1">
      <c r="B289" s="114" t="s">
        <v>4</v>
      </c>
      <c r="D289" s="6"/>
      <c r="H289" s="66">
        <f t="shared" ref="H289:H300" si="94">S272+T272</f>
        <v>54</v>
      </c>
      <c r="I289" s="119">
        <f t="shared" ref="I289:I300" si="95">H289-sum(J289:O289)</f>
        <v>40</v>
      </c>
      <c r="L289" s="4">
        <v>3.0</v>
      </c>
      <c r="M289" s="4">
        <v>3.0</v>
      </c>
      <c r="N289" s="67">
        <v>5.0</v>
      </c>
      <c r="O289" s="4">
        <v>3.0</v>
      </c>
      <c r="R289" s="102" t="s">
        <v>4</v>
      </c>
      <c r="S289" s="103">
        <v>47.0</v>
      </c>
      <c r="T289" s="104">
        <f t="shared" ref="T289:T300" si="96">sum(U289:AA289)</f>
        <v>1</v>
      </c>
      <c r="V289" s="103"/>
      <c r="X289" s="105">
        <v>1.0</v>
      </c>
    </row>
    <row r="290" ht="22.5" customHeight="1">
      <c r="B290" s="13" t="s">
        <v>5</v>
      </c>
      <c r="D290" s="6"/>
      <c r="H290" s="66">
        <f t="shared" si="94"/>
        <v>9</v>
      </c>
      <c r="I290" s="119">
        <f t="shared" si="95"/>
        <v>0</v>
      </c>
      <c r="L290" s="4">
        <v>2.0</v>
      </c>
      <c r="M290" s="4">
        <v>2.0</v>
      </c>
      <c r="N290" s="67">
        <v>3.0</v>
      </c>
      <c r="O290" s="67">
        <v>2.0</v>
      </c>
      <c r="R290" s="102" t="s">
        <v>5</v>
      </c>
      <c r="S290" s="103">
        <v>6.0</v>
      </c>
      <c r="T290" s="104">
        <f t="shared" si="96"/>
        <v>2</v>
      </c>
      <c r="V290" s="103"/>
      <c r="AA290" s="105">
        <v>2.0</v>
      </c>
    </row>
    <row r="291" ht="22.5" customHeight="1">
      <c r="B291" s="114" t="s">
        <v>6</v>
      </c>
      <c r="D291" s="6"/>
      <c r="H291" s="66">
        <f t="shared" si="94"/>
        <v>4</v>
      </c>
      <c r="I291" s="119">
        <f t="shared" si="95"/>
        <v>0</v>
      </c>
      <c r="M291" s="4">
        <v>2.0</v>
      </c>
      <c r="N291" s="66"/>
      <c r="O291" s="4">
        <v>2.0</v>
      </c>
      <c r="R291" s="102" t="s">
        <v>6</v>
      </c>
      <c r="S291" s="103">
        <v>4.0</v>
      </c>
      <c r="T291" s="104">
        <f t="shared" si="96"/>
        <v>1</v>
      </c>
      <c r="V291" s="103"/>
      <c r="X291" s="105">
        <v>1.0</v>
      </c>
    </row>
    <row r="292" ht="22.5" customHeight="1">
      <c r="B292" s="13" t="s">
        <v>7</v>
      </c>
      <c r="D292" s="6"/>
      <c r="H292" s="66">
        <f t="shared" si="94"/>
        <v>3</v>
      </c>
      <c r="I292" s="119">
        <f t="shared" si="95"/>
        <v>0</v>
      </c>
      <c r="N292" s="67"/>
      <c r="O292" s="67">
        <v>3.0</v>
      </c>
      <c r="R292" s="102" t="s">
        <v>7</v>
      </c>
      <c r="S292" s="103"/>
      <c r="T292" s="104">
        <f t="shared" si="96"/>
        <v>0</v>
      </c>
      <c r="V292" s="103"/>
    </row>
    <row r="293" ht="22.5" customHeight="1">
      <c r="B293" s="114" t="s">
        <v>8</v>
      </c>
      <c r="D293" s="6"/>
      <c r="H293" s="66">
        <f t="shared" si="94"/>
        <v>6</v>
      </c>
      <c r="I293" s="119">
        <f t="shared" si="95"/>
        <v>0</v>
      </c>
      <c r="L293" s="4">
        <v>2.0</v>
      </c>
      <c r="M293" s="4">
        <v>2.0</v>
      </c>
      <c r="N293" s="66">
        <v>2.0</v>
      </c>
      <c r="O293" s="67"/>
      <c r="R293" s="102" t="s">
        <v>8</v>
      </c>
      <c r="S293" s="103">
        <v>2.0</v>
      </c>
      <c r="T293" s="104">
        <f t="shared" si="96"/>
        <v>0</v>
      </c>
      <c r="V293" s="103"/>
    </row>
    <row r="294" ht="22.5" customHeight="1">
      <c r="B294" s="13" t="s">
        <v>9</v>
      </c>
      <c r="D294" s="6"/>
      <c r="H294" s="66">
        <f t="shared" si="94"/>
        <v>13</v>
      </c>
      <c r="I294" s="119">
        <f t="shared" si="95"/>
        <v>1</v>
      </c>
      <c r="L294" s="4">
        <v>3.0</v>
      </c>
      <c r="M294" s="4">
        <v>3.0</v>
      </c>
      <c r="N294" s="67">
        <v>3.0</v>
      </c>
      <c r="O294" s="67">
        <v>3.0</v>
      </c>
      <c r="R294" s="102" t="s">
        <v>9</v>
      </c>
      <c r="S294" s="103">
        <v>8.0</v>
      </c>
      <c r="T294" s="104">
        <f t="shared" si="96"/>
        <v>1</v>
      </c>
      <c r="V294" s="103"/>
      <c r="X294" s="105">
        <v>1.0</v>
      </c>
    </row>
    <row r="295" ht="22.5" customHeight="1">
      <c r="B295" s="114" t="s">
        <v>10</v>
      </c>
      <c r="D295" s="6"/>
      <c r="H295" s="66">
        <f t="shared" si="94"/>
        <v>4</v>
      </c>
      <c r="I295" s="119">
        <f t="shared" si="95"/>
        <v>0</v>
      </c>
      <c r="L295" s="4">
        <v>2.0</v>
      </c>
      <c r="M295" s="4">
        <v>2.0</v>
      </c>
      <c r="O295" s="67"/>
      <c r="R295" s="102" t="s">
        <v>10</v>
      </c>
      <c r="S295" s="103"/>
      <c r="T295" s="104">
        <f t="shared" si="96"/>
        <v>0</v>
      </c>
      <c r="V295" s="103"/>
    </row>
    <row r="296" ht="22.5" customHeight="1">
      <c r="B296" s="13" t="s">
        <v>11</v>
      </c>
      <c r="D296" s="6"/>
      <c r="H296" s="66">
        <f t="shared" si="94"/>
        <v>3</v>
      </c>
      <c r="I296" s="119">
        <f t="shared" si="95"/>
        <v>0</v>
      </c>
      <c r="L296" s="4">
        <v>2.0</v>
      </c>
      <c r="M296" s="4">
        <v>1.0</v>
      </c>
      <c r="N296" s="66"/>
      <c r="O296" s="67"/>
      <c r="R296" s="102" t="s">
        <v>11</v>
      </c>
      <c r="S296" s="103"/>
      <c r="T296" s="104">
        <f t="shared" si="96"/>
        <v>0</v>
      </c>
      <c r="V296" s="103"/>
    </row>
    <row r="297" ht="22.5" customHeight="1">
      <c r="B297" s="114" t="s">
        <v>12</v>
      </c>
      <c r="D297" s="6"/>
      <c r="H297" s="66">
        <f t="shared" si="94"/>
        <v>4</v>
      </c>
      <c r="I297" s="119">
        <f t="shared" si="95"/>
        <v>0</v>
      </c>
      <c r="L297" s="4">
        <v>2.0</v>
      </c>
      <c r="M297" s="4">
        <v>1.0</v>
      </c>
      <c r="N297" s="67">
        <v>1.0</v>
      </c>
      <c r="O297" s="66"/>
      <c r="R297" s="102" t="s">
        <v>12</v>
      </c>
      <c r="S297" s="103">
        <v>3.0</v>
      </c>
      <c r="T297" s="104">
        <f t="shared" si="96"/>
        <v>0</v>
      </c>
      <c r="V297" s="104"/>
    </row>
    <row r="298" ht="22.5" customHeight="1">
      <c r="B298" s="13" t="s">
        <v>13</v>
      </c>
      <c r="D298" s="6"/>
      <c r="H298" s="66">
        <f t="shared" si="94"/>
        <v>2</v>
      </c>
      <c r="I298" s="119">
        <f t="shared" si="95"/>
        <v>0</v>
      </c>
      <c r="M298" s="67">
        <v>1.0</v>
      </c>
      <c r="O298" s="67">
        <v>1.0</v>
      </c>
      <c r="R298" s="102" t="s">
        <v>13</v>
      </c>
      <c r="S298" s="103"/>
      <c r="T298" s="104">
        <f t="shared" si="96"/>
        <v>0</v>
      </c>
      <c r="V298" s="103"/>
    </row>
    <row r="299" ht="22.5" customHeight="1">
      <c r="B299" s="114" t="s">
        <v>14</v>
      </c>
      <c r="D299" s="6"/>
      <c r="H299" s="66">
        <f t="shared" si="94"/>
        <v>5</v>
      </c>
      <c r="I299" s="119">
        <f t="shared" si="95"/>
        <v>0</v>
      </c>
      <c r="L299" s="4">
        <v>2.0</v>
      </c>
      <c r="M299" s="4">
        <v>2.0</v>
      </c>
      <c r="N299" s="67">
        <v>1.0</v>
      </c>
      <c r="O299" s="67"/>
      <c r="R299" s="102" t="s">
        <v>14</v>
      </c>
      <c r="S299" s="103">
        <v>4.0</v>
      </c>
      <c r="T299" s="104">
        <f t="shared" si="96"/>
        <v>1</v>
      </c>
      <c r="V299" s="103"/>
      <c r="X299" s="105">
        <v>1.0</v>
      </c>
    </row>
    <row r="300" ht="22.5" customHeight="1">
      <c r="B300" s="13" t="s">
        <v>15</v>
      </c>
      <c r="D300" s="6"/>
      <c r="H300" s="66">
        <f t="shared" si="94"/>
        <v>157</v>
      </c>
      <c r="I300" s="119">
        <f t="shared" si="95"/>
        <v>87</v>
      </c>
      <c r="L300" s="4">
        <v>15.0</v>
      </c>
      <c r="M300" s="4">
        <v>15.0</v>
      </c>
      <c r="N300" s="67">
        <v>20.0</v>
      </c>
      <c r="O300" s="67">
        <v>20.0</v>
      </c>
      <c r="R300" s="102" t="s">
        <v>15</v>
      </c>
      <c r="S300" s="103">
        <f>30+30+30+30+20+6</f>
        <v>146</v>
      </c>
      <c r="T300" s="104">
        <f t="shared" si="96"/>
        <v>12</v>
      </c>
      <c r="V300" s="103"/>
      <c r="X300" s="105">
        <v>2.0</v>
      </c>
      <c r="AA300" s="105">
        <v>10.0</v>
      </c>
    </row>
    <row r="301" ht="22.5" customHeight="1">
      <c r="D301" s="6"/>
      <c r="I301" s="66">
        <f t="shared" ref="I301:O301" si="97">sum(I289:I300)</f>
        <v>128</v>
      </c>
      <c r="J301" s="97">
        <f t="shared" si="97"/>
        <v>0</v>
      </c>
      <c r="K301" s="97">
        <f t="shared" si="97"/>
        <v>0</v>
      </c>
      <c r="L301" s="97">
        <f t="shared" si="97"/>
        <v>33</v>
      </c>
      <c r="M301" s="97">
        <f t="shared" si="97"/>
        <v>34</v>
      </c>
      <c r="N301" s="118">
        <f t="shared" si="97"/>
        <v>35</v>
      </c>
      <c r="O301" s="97">
        <f t="shared" si="97"/>
        <v>34</v>
      </c>
      <c r="R301" s="106"/>
      <c r="S301" s="109">
        <f>sum(Table11[Chưa Quay])</f>
        <v>220</v>
      </c>
      <c r="T301" s="109">
        <f>sum(Table11[Tổng Tồn])</f>
        <v>18</v>
      </c>
      <c r="U301" s="108">
        <f>sum(Table11[Tồn XL])</f>
        <v>0</v>
      </c>
      <c r="V301" s="109">
        <f>sum(Table11[Tồn XĐ sau])</f>
        <v>0</v>
      </c>
      <c r="W301" s="108">
        <f>sum(Table11[Tồn VTD])</f>
        <v>0</v>
      </c>
      <c r="X301" s="108">
        <f>sum(Table11[Tồn CN A])</f>
        <v>6</v>
      </c>
      <c r="Y301" s="108">
        <f>sum(Table11[Tồn CN B])</f>
        <v>0</v>
      </c>
      <c r="Z301" s="108">
        <f>sum(Table11[Tồn CN B])</f>
        <v>0</v>
      </c>
      <c r="AA301" s="108">
        <f>sum(Table11[Tồn ĐN])</f>
        <v>12</v>
      </c>
    </row>
    <row r="303">
      <c r="D303" s="6"/>
      <c r="I303" s="95" t="s">
        <v>113</v>
      </c>
    </row>
    <row r="304" ht="22.5" customHeight="1">
      <c r="D304" s="6"/>
      <c r="F304" s="4" t="s">
        <v>251</v>
      </c>
      <c r="G304" s="4" t="s">
        <v>252</v>
      </c>
      <c r="H304" s="4" t="s">
        <v>245</v>
      </c>
      <c r="J304" s="4" t="s">
        <v>93</v>
      </c>
      <c r="K304" s="4" t="s">
        <v>227</v>
      </c>
      <c r="L304" s="110" t="s">
        <v>89</v>
      </c>
      <c r="M304" s="4" t="s">
        <v>80</v>
      </c>
      <c r="N304" s="4" t="s">
        <v>254</v>
      </c>
      <c r="O304" s="4" t="s">
        <v>232</v>
      </c>
      <c r="P304" s="4"/>
      <c r="Q304" s="4" t="s">
        <v>255</v>
      </c>
      <c r="R304" s="99" t="s">
        <v>236</v>
      </c>
      <c r="S304" s="100" t="s">
        <v>233</v>
      </c>
      <c r="T304" s="100" t="s">
        <v>234</v>
      </c>
      <c r="U304" s="100" t="s">
        <v>238</v>
      </c>
      <c r="V304" s="100" t="s">
        <v>231</v>
      </c>
      <c r="W304" s="100" t="s">
        <v>239</v>
      </c>
      <c r="X304" s="100" t="s">
        <v>246</v>
      </c>
      <c r="Y304" s="100" t="s">
        <v>247</v>
      </c>
      <c r="Z304" s="101" t="s">
        <v>256</v>
      </c>
      <c r="AA304" s="100" t="s">
        <v>248</v>
      </c>
    </row>
    <row r="305" ht="22.5" customHeight="1">
      <c r="A305" s="11">
        <v>46121.0</v>
      </c>
      <c r="B305" s="114" t="s">
        <v>4</v>
      </c>
      <c r="C305" s="115">
        <v>10.0</v>
      </c>
      <c r="D305" s="120">
        <f>C305*'Giá NhậpXuất'!$C$4</f>
        <v>130000</v>
      </c>
      <c r="F305" s="66">
        <f t="shared" ref="F305:F316" si="98">S289+T289</f>
        <v>48</v>
      </c>
      <c r="G305" s="13">
        <f t="shared" ref="G305:G316" si="99">sum(J305:Q305)</f>
        <v>35</v>
      </c>
      <c r="H305" s="66">
        <f t="shared" ref="H305:H316" si="100">C305+F305-G305+T305</f>
        <v>30</v>
      </c>
      <c r="J305" s="115">
        <v>6.0</v>
      </c>
      <c r="K305" s="115"/>
      <c r="L305" s="115">
        <v>7.0</v>
      </c>
      <c r="M305" s="115">
        <v>7.0</v>
      </c>
      <c r="N305" s="115">
        <v>8.0</v>
      </c>
      <c r="O305" s="115">
        <v>7.0</v>
      </c>
      <c r="R305" s="102" t="s">
        <v>4</v>
      </c>
      <c r="S305" s="103">
        <v>28.0</v>
      </c>
      <c r="T305" s="104">
        <f t="shared" ref="T305:T316" si="101">sum(U305:AA305)</f>
        <v>7</v>
      </c>
      <c r="V305" s="103"/>
      <c r="Y305" s="105">
        <v>7.0</v>
      </c>
    </row>
    <row r="306" ht="22.5" customHeight="1">
      <c r="A306" s="11">
        <v>46121.0</v>
      </c>
      <c r="B306" s="13" t="s">
        <v>5</v>
      </c>
      <c r="C306" s="4">
        <v>20.0</v>
      </c>
      <c r="D306" s="120">
        <f>C306*'Giá NhậpXuất'!$C$5</f>
        <v>260000</v>
      </c>
      <c r="F306" s="66">
        <f t="shared" si="98"/>
        <v>8</v>
      </c>
      <c r="G306" s="13">
        <f t="shared" si="99"/>
        <v>17</v>
      </c>
      <c r="H306" s="66">
        <f t="shared" si="100"/>
        <v>14</v>
      </c>
      <c r="J306" s="4">
        <v>3.0</v>
      </c>
      <c r="L306" s="4">
        <v>4.0</v>
      </c>
      <c r="M306" s="4">
        <v>3.0</v>
      </c>
      <c r="N306" s="4">
        <v>4.0</v>
      </c>
      <c r="O306" s="4">
        <v>3.0</v>
      </c>
      <c r="R306" s="102" t="s">
        <v>5</v>
      </c>
      <c r="S306" s="103">
        <v>4.0</v>
      </c>
      <c r="T306" s="104">
        <f t="shared" si="101"/>
        <v>3</v>
      </c>
      <c r="V306" s="103"/>
      <c r="Y306" s="105">
        <v>3.0</v>
      </c>
    </row>
    <row r="307" ht="22.5" customHeight="1">
      <c r="A307" s="11">
        <v>46121.0</v>
      </c>
      <c r="B307" s="114" t="s">
        <v>6</v>
      </c>
      <c r="C307" s="115">
        <v>15.0</v>
      </c>
      <c r="D307" s="120">
        <f>C307*'Giá NhậpXuất'!$C$6</f>
        <v>195000</v>
      </c>
      <c r="F307" s="66">
        <f t="shared" si="98"/>
        <v>5</v>
      </c>
      <c r="G307" s="13">
        <f t="shared" si="99"/>
        <v>17</v>
      </c>
      <c r="H307" s="66">
        <f t="shared" si="100"/>
        <v>6</v>
      </c>
      <c r="J307" s="115">
        <v>2.0</v>
      </c>
      <c r="K307" s="115"/>
      <c r="L307" s="115">
        <v>5.0</v>
      </c>
      <c r="M307" s="115">
        <v>4.0</v>
      </c>
      <c r="N307" s="115">
        <v>3.0</v>
      </c>
      <c r="O307" s="115">
        <v>3.0</v>
      </c>
      <c r="R307" s="102" t="s">
        <v>6</v>
      </c>
      <c r="S307" s="103">
        <v>2.0</v>
      </c>
      <c r="T307" s="104">
        <f t="shared" si="101"/>
        <v>3</v>
      </c>
      <c r="V307" s="103"/>
      <c r="Y307" s="105">
        <v>3.0</v>
      </c>
    </row>
    <row r="308" ht="22.5" customHeight="1">
      <c r="A308" s="11">
        <v>46121.0</v>
      </c>
      <c r="B308" s="13" t="s">
        <v>7</v>
      </c>
      <c r="C308" s="4">
        <v>20.0</v>
      </c>
      <c r="D308" s="120">
        <f>C308*'Giá NhậpXuất'!$C$7</f>
        <v>260000</v>
      </c>
      <c r="F308" s="66">
        <f t="shared" si="98"/>
        <v>0</v>
      </c>
      <c r="G308" s="13">
        <f t="shared" si="99"/>
        <v>19</v>
      </c>
      <c r="H308" s="66">
        <f t="shared" si="100"/>
        <v>1</v>
      </c>
      <c r="J308" s="4">
        <v>3.0</v>
      </c>
      <c r="L308" s="4">
        <v>4.0</v>
      </c>
      <c r="M308" s="4">
        <v>3.0</v>
      </c>
      <c r="N308" s="4">
        <v>4.0</v>
      </c>
      <c r="O308" s="4">
        <v>5.0</v>
      </c>
      <c r="R308" s="102" t="s">
        <v>7</v>
      </c>
      <c r="S308" s="103"/>
      <c r="T308" s="104">
        <f t="shared" si="101"/>
        <v>0</v>
      </c>
      <c r="V308" s="103"/>
    </row>
    <row r="309" ht="22.5" customHeight="1">
      <c r="A309" s="11">
        <v>46121.0</v>
      </c>
      <c r="B309" s="114" t="s">
        <v>8</v>
      </c>
      <c r="C309" s="115">
        <v>20.0</v>
      </c>
      <c r="D309" s="120">
        <f>C309*'Giá NhậpXuất'!$C$8</f>
        <v>260000</v>
      </c>
      <c r="F309" s="66">
        <f t="shared" si="98"/>
        <v>2</v>
      </c>
      <c r="G309" s="13">
        <f t="shared" si="99"/>
        <v>20</v>
      </c>
      <c r="H309" s="66">
        <f t="shared" si="100"/>
        <v>5</v>
      </c>
      <c r="J309" s="115"/>
      <c r="K309" s="115"/>
      <c r="L309" s="115">
        <v>5.0</v>
      </c>
      <c r="M309" s="115">
        <v>5.0</v>
      </c>
      <c r="N309" s="115">
        <v>6.0</v>
      </c>
      <c r="O309" s="115">
        <v>4.0</v>
      </c>
      <c r="R309" s="102" t="s">
        <v>8</v>
      </c>
      <c r="S309" s="103"/>
      <c r="T309" s="104">
        <f t="shared" si="101"/>
        <v>3</v>
      </c>
      <c r="V309" s="103"/>
      <c r="Y309" s="105">
        <v>3.0</v>
      </c>
    </row>
    <row r="310" ht="22.5" customHeight="1">
      <c r="A310" s="11">
        <v>46121.0</v>
      </c>
      <c r="B310" s="13" t="s">
        <v>9</v>
      </c>
      <c r="C310" s="4">
        <v>30.0</v>
      </c>
      <c r="D310" s="120">
        <f>C310*'Giá NhậpXuất'!$C$9</f>
        <v>390000</v>
      </c>
      <c r="F310" s="66">
        <f t="shared" si="98"/>
        <v>9</v>
      </c>
      <c r="G310" s="13">
        <f t="shared" si="99"/>
        <v>28</v>
      </c>
      <c r="H310" s="66">
        <f t="shared" si="100"/>
        <v>15</v>
      </c>
      <c r="J310" s="4">
        <v>5.0</v>
      </c>
      <c r="L310" s="4">
        <v>7.0</v>
      </c>
      <c r="M310" s="4">
        <v>5.0</v>
      </c>
      <c r="N310" s="4">
        <v>6.0</v>
      </c>
      <c r="O310" s="4">
        <v>5.0</v>
      </c>
      <c r="R310" s="102" t="s">
        <v>9</v>
      </c>
      <c r="S310" s="103">
        <v>13.0</v>
      </c>
      <c r="T310" s="104">
        <f t="shared" si="101"/>
        <v>4</v>
      </c>
      <c r="V310" s="103"/>
      <c r="Y310" s="105">
        <v>4.0</v>
      </c>
    </row>
    <row r="311" ht="22.5" customHeight="1">
      <c r="A311" s="11">
        <v>46121.0</v>
      </c>
      <c r="B311" s="114" t="s">
        <v>10</v>
      </c>
      <c r="C311" s="115">
        <v>15.0</v>
      </c>
      <c r="D311" s="120">
        <f>C311*'Giá NhậpXuất'!$C$10</f>
        <v>195000</v>
      </c>
      <c r="F311" s="66">
        <f t="shared" si="98"/>
        <v>0</v>
      </c>
      <c r="G311" s="13">
        <f t="shared" si="99"/>
        <v>15</v>
      </c>
      <c r="H311" s="66">
        <f t="shared" si="100"/>
        <v>3</v>
      </c>
      <c r="J311" s="115">
        <v>2.0</v>
      </c>
      <c r="K311" s="115"/>
      <c r="L311" s="115">
        <v>4.0</v>
      </c>
      <c r="M311" s="115">
        <v>3.0</v>
      </c>
      <c r="N311" s="115">
        <v>3.0</v>
      </c>
      <c r="O311" s="115">
        <v>3.0</v>
      </c>
      <c r="R311" s="102" t="s">
        <v>10</v>
      </c>
      <c r="S311" s="103">
        <v>2.0</v>
      </c>
      <c r="T311" s="104">
        <f t="shared" si="101"/>
        <v>3</v>
      </c>
      <c r="V311" s="103"/>
      <c r="Y311" s="105">
        <v>3.0</v>
      </c>
    </row>
    <row r="312" ht="22.5" customHeight="1">
      <c r="A312" s="11">
        <v>46121.0</v>
      </c>
      <c r="B312" s="13" t="s">
        <v>11</v>
      </c>
      <c r="C312" s="4">
        <v>15.0</v>
      </c>
      <c r="D312" s="120">
        <f>C312*'Giá NhậpXuất'!$C$11</f>
        <v>195000</v>
      </c>
      <c r="F312" s="66">
        <f t="shared" si="98"/>
        <v>0</v>
      </c>
      <c r="G312" s="13">
        <f t="shared" si="99"/>
        <v>15</v>
      </c>
      <c r="H312" s="66">
        <f t="shared" si="100"/>
        <v>4</v>
      </c>
      <c r="J312" s="4">
        <v>3.0</v>
      </c>
      <c r="L312" s="4">
        <v>4.0</v>
      </c>
      <c r="M312" s="4">
        <v>2.0</v>
      </c>
      <c r="N312" s="4">
        <v>3.0</v>
      </c>
      <c r="O312" s="4">
        <v>3.0</v>
      </c>
      <c r="R312" s="102" t="s">
        <v>11</v>
      </c>
      <c r="S312" s="103"/>
      <c r="T312" s="104">
        <f t="shared" si="101"/>
        <v>4</v>
      </c>
      <c r="V312" s="103"/>
      <c r="Y312" s="105">
        <v>3.0</v>
      </c>
      <c r="AA312" s="105">
        <v>1.0</v>
      </c>
    </row>
    <row r="313" ht="22.5" customHeight="1">
      <c r="A313" s="11">
        <v>46121.0</v>
      </c>
      <c r="B313" s="114" t="s">
        <v>12</v>
      </c>
      <c r="C313" s="115">
        <v>20.0</v>
      </c>
      <c r="D313" s="120">
        <f>C313*'Giá NhậpXuất'!$C$12</f>
        <v>260000</v>
      </c>
      <c r="F313" s="66">
        <f t="shared" si="98"/>
        <v>3</v>
      </c>
      <c r="G313" s="13">
        <f t="shared" si="99"/>
        <v>19</v>
      </c>
      <c r="H313" s="66">
        <f t="shared" si="100"/>
        <v>10</v>
      </c>
      <c r="J313" s="115">
        <v>2.0</v>
      </c>
      <c r="K313" s="115"/>
      <c r="L313" s="115">
        <v>6.0</v>
      </c>
      <c r="M313" s="115">
        <v>4.0</v>
      </c>
      <c r="N313" s="115">
        <v>5.0</v>
      </c>
      <c r="O313" s="115">
        <v>2.0</v>
      </c>
      <c r="R313" s="102" t="s">
        <v>12</v>
      </c>
      <c r="S313" s="103">
        <v>1.0</v>
      </c>
      <c r="T313" s="104">
        <f t="shared" si="101"/>
        <v>6</v>
      </c>
      <c r="V313" s="104"/>
      <c r="Y313" s="105">
        <v>5.0</v>
      </c>
      <c r="AA313" s="105">
        <v>1.0</v>
      </c>
    </row>
    <row r="314" ht="22.5" customHeight="1">
      <c r="A314" s="11">
        <v>46121.0</v>
      </c>
      <c r="B314" s="13" t="s">
        <v>13</v>
      </c>
      <c r="C314" s="4">
        <v>25.0</v>
      </c>
      <c r="D314" s="120">
        <f>C314*'Giá NhậpXuất'!$C$13</f>
        <v>325000</v>
      </c>
      <c r="F314" s="66">
        <f t="shared" si="98"/>
        <v>0</v>
      </c>
      <c r="G314" s="13">
        <f t="shared" si="99"/>
        <v>20</v>
      </c>
      <c r="H314" s="66">
        <f t="shared" si="100"/>
        <v>9</v>
      </c>
      <c r="J314" s="4">
        <v>3.0</v>
      </c>
      <c r="L314" s="4">
        <v>5.0</v>
      </c>
      <c r="M314" s="4">
        <v>4.0</v>
      </c>
      <c r="N314" s="4">
        <v>5.0</v>
      </c>
      <c r="O314" s="4">
        <v>3.0</v>
      </c>
      <c r="R314" s="102" t="s">
        <v>13</v>
      </c>
      <c r="S314" s="103">
        <v>5.0</v>
      </c>
      <c r="T314" s="104">
        <f t="shared" si="101"/>
        <v>4</v>
      </c>
      <c r="V314" s="103"/>
      <c r="Y314" s="105">
        <v>3.0</v>
      </c>
      <c r="AA314" s="105">
        <v>1.0</v>
      </c>
    </row>
    <row r="315" ht="22.5" customHeight="1">
      <c r="A315" s="11">
        <v>46121.0</v>
      </c>
      <c r="B315" s="114" t="s">
        <v>14</v>
      </c>
      <c r="C315" s="115">
        <v>15.0</v>
      </c>
      <c r="D315" s="120">
        <f>C315*'Giá NhậpXuất'!$C$14</f>
        <v>240000</v>
      </c>
      <c r="F315" s="66">
        <f t="shared" si="98"/>
        <v>5</v>
      </c>
      <c r="G315" s="13">
        <f t="shared" si="99"/>
        <v>15</v>
      </c>
      <c r="H315" s="66">
        <f t="shared" si="100"/>
        <v>8</v>
      </c>
      <c r="J315" s="115">
        <v>2.0</v>
      </c>
      <c r="K315" s="115"/>
      <c r="L315" s="115">
        <v>3.0</v>
      </c>
      <c r="M315" s="115">
        <v>3.0</v>
      </c>
      <c r="N315" s="115">
        <v>4.0</v>
      </c>
      <c r="O315" s="115">
        <v>3.0</v>
      </c>
      <c r="R315" s="102" t="s">
        <v>14</v>
      </c>
      <c r="S315" s="103"/>
      <c r="T315" s="104">
        <f t="shared" si="101"/>
        <v>3</v>
      </c>
      <c r="V315" s="103"/>
      <c r="Y315" s="105">
        <v>3.0</v>
      </c>
    </row>
    <row r="316" ht="22.5" customHeight="1">
      <c r="A316" s="11">
        <v>46121.0</v>
      </c>
      <c r="B316" s="13" t="s">
        <v>15</v>
      </c>
      <c r="C316" s="4">
        <v>125.0</v>
      </c>
      <c r="D316" s="120">
        <f>C316*'Giá NhậpXuất'!$C$15</f>
        <v>1625000</v>
      </c>
      <c r="F316" s="66">
        <f t="shared" si="98"/>
        <v>158</v>
      </c>
      <c r="G316" s="13">
        <f t="shared" si="99"/>
        <v>175</v>
      </c>
      <c r="H316" s="66">
        <f t="shared" si="100"/>
        <v>136</v>
      </c>
      <c r="J316" s="4">
        <v>30.0</v>
      </c>
      <c r="L316" s="4">
        <v>35.0</v>
      </c>
      <c r="M316" s="4">
        <v>40.0</v>
      </c>
      <c r="N316" s="4">
        <v>40.0</v>
      </c>
      <c r="O316" s="4">
        <v>30.0</v>
      </c>
      <c r="R316" s="102" t="s">
        <v>15</v>
      </c>
      <c r="S316" s="103">
        <v>46.0</v>
      </c>
      <c r="T316" s="104">
        <f t="shared" si="101"/>
        <v>28</v>
      </c>
      <c r="V316" s="103"/>
      <c r="Y316" s="105">
        <v>28.0</v>
      </c>
    </row>
    <row r="317" ht="22.5" customHeight="1">
      <c r="B317" s="4" t="s">
        <v>16</v>
      </c>
      <c r="C317" s="13">
        <f t="shared" ref="C317:D317" si="102">sum(C305:C316)</f>
        <v>330</v>
      </c>
      <c r="D317" s="6">
        <f t="shared" si="102"/>
        <v>4335000</v>
      </c>
      <c r="J317" s="97">
        <f t="shared" ref="J317:O317" si="103">sum(J305:J316)</f>
        <v>61</v>
      </c>
      <c r="K317" s="97">
        <f t="shared" si="103"/>
        <v>0</v>
      </c>
      <c r="L317" s="97">
        <f t="shared" si="103"/>
        <v>89</v>
      </c>
      <c r="M317" s="97">
        <f t="shared" si="103"/>
        <v>83</v>
      </c>
      <c r="N317" s="97">
        <f t="shared" si="103"/>
        <v>91</v>
      </c>
      <c r="O317" s="97">
        <f t="shared" si="103"/>
        <v>71</v>
      </c>
      <c r="P317" s="97"/>
      <c r="Q317" s="97">
        <f>sum(Q305:Q316)</f>
        <v>0</v>
      </c>
      <c r="R317" s="106"/>
      <c r="S317" s="109">
        <f>sum(Table12[Chưa Quay])</f>
        <v>101</v>
      </c>
      <c r="T317" s="109">
        <f>sum(Table12[Tổng Tồn])</f>
        <v>68</v>
      </c>
      <c r="U317" s="108">
        <f>sum(Table12[Tồn XL])</f>
        <v>0</v>
      </c>
      <c r="V317" s="109">
        <f>sum(Table12[Tồn XĐ sau])</f>
        <v>0</v>
      </c>
      <c r="W317" s="108">
        <f>sum(Table12[Tồn VTD])</f>
        <v>0</v>
      </c>
      <c r="X317" s="108">
        <f>sum(Table12[Tồn CN A])</f>
        <v>0</v>
      </c>
      <c r="Y317" s="108">
        <f>sum(Table12[Tồn CN B])</f>
        <v>65</v>
      </c>
      <c r="Z317" s="108">
        <f>sum(Table12[Tồn CN B])</f>
        <v>65</v>
      </c>
      <c r="AA317" s="108">
        <f>sum(Table12[Tồn ĐN])</f>
        <v>3</v>
      </c>
    </row>
    <row r="318">
      <c r="D318" s="6"/>
      <c r="J318" s="13">
        <f>J317-Table12[[#TOTALS],[Tồn XL]]</f>
        <v>61</v>
      </c>
      <c r="K318" s="66">
        <f>K317-Table12[[#TOTALS],[Tồn XĐ sau]]</f>
        <v>0</v>
      </c>
      <c r="L318" s="13">
        <f>L317-Table12[[#TOTALS],[Tồn VTD]]</f>
        <v>89</v>
      </c>
      <c r="M318" s="13">
        <f>M317-Table12[[#TOTALS],[Tồn CN A]]</f>
        <v>83</v>
      </c>
      <c r="N318" s="13">
        <f>N317-Table12[[#TOTALS],[Tồn CN B]]</f>
        <v>26</v>
      </c>
      <c r="O318" s="13">
        <f>O317-Table12[[#TOTALS],[Tồn ĐN]]</f>
        <v>68</v>
      </c>
      <c r="Y318" s="13">
        <f>N317-19</f>
        <v>72</v>
      </c>
    </row>
    <row r="319">
      <c r="D319" s="6"/>
      <c r="I319" s="62"/>
      <c r="J319" s="62" t="s">
        <v>114</v>
      </c>
    </row>
    <row r="320" ht="22.5" customHeight="1">
      <c r="D320" s="6"/>
      <c r="H320" s="4" t="s">
        <v>251</v>
      </c>
      <c r="I320" s="75" t="s">
        <v>253</v>
      </c>
      <c r="J320" s="4" t="s">
        <v>93</v>
      </c>
      <c r="K320" s="4" t="s">
        <v>227</v>
      </c>
      <c r="L320" s="4" t="s">
        <v>89</v>
      </c>
      <c r="M320" s="4" t="s">
        <v>80</v>
      </c>
      <c r="N320" s="4" t="s">
        <v>81</v>
      </c>
      <c r="O320" s="4" t="s">
        <v>232</v>
      </c>
      <c r="P320" s="4"/>
      <c r="Q320" s="4" t="s">
        <v>258</v>
      </c>
      <c r="R320" s="99" t="s">
        <v>236</v>
      </c>
      <c r="S320" s="100" t="s">
        <v>233</v>
      </c>
      <c r="T320" s="100" t="s">
        <v>234</v>
      </c>
      <c r="U320" s="100" t="s">
        <v>238</v>
      </c>
      <c r="V320" s="100" t="s">
        <v>231</v>
      </c>
      <c r="W320" s="100" t="s">
        <v>239</v>
      </c>
      <c r="X320" s="100" t="s">
        <v>246</v>
      </c>
      <c r="Y320" s="100" t="s">
        <v>247</v>
      </c>
      <c r="Z320" s="101" t="s">
        <v>256</v>
      </c>
      <c r="AA320" s="100" t="s">
        <v>248</v>
      </c>
    </row>
    <row r="321" ht="22.5" customHeight="1">
      <c r="B321" s="114" t="s">
        <v>4</v>
      </c>
      <c r="D321" s="6"/>
      <c r="H321" s="66">
        <f t="shared" ref="H321:H332" si="104">S305+T305</f>
        <v>35</v>
      </c>
      <c r="I321" s="119">
        <f t="shared" ref="I321:I332" si="105">H321-sum(J321:Q321)</f>
        <v>8</v>
      </c>
      <c r="J321" s="4">
        <v>9.0</v>
      </c>
      <c r="L321" s="4">
        <v>5.0</v>
      </c>
      <c r="M321" s="4">
        <v>3.0</v>
      </c>
      <c r="N321" s="67">
        <v>5.0</v>
      </c>
      <c r="O321" s="4">
        <v>5.0</v>
      </c>
      <c r="R321" s="102" t="s">
        <v>4</v>
      </c>
      <c r="S321" s="103">
        <v>47.0</v>
      </c>
      <c r="T321" s="104">
        <f t="shared" ref="T321:T332" si="106">sum(U321:AA321)</f>
        <v>1</v>
      </c>
      <c r="V321" s="103"/>
      <c r="X321" s="105">
        <v>1.0</v>
      </c>
    </row>
    <row r="322" ht="22.5" customHeight="1">
      <c r="B322" s="13" t="s">
        <v>5</v>
      </c>
      <c r="D322" s="6"/>
      <c r="H322" s="66">
        <f t="shared" si="104"/>
        <v>7</v>
      </c>
      <c r="I322" s="119">
        <f t="shared" si="105"/>
        <v>0</v>
      </c>
      <c r="M322" s="4">
        <v>2.0</v>
      </c>
      <c r="N322" s="67">
        <v>3.0</v>
      </c>
      <c r="O322" s="67">
        <v>2.0</v>
      </c>
      <c r="P322" s="121"/>
      <c r="Q322" s="121"/>
      <c r="R322" s="102" t="s">
        <v>5</v>
      </c>
      <c r="S322" s="103">
        <v>6.0</v>
      </c>
      <c r="T322" s="104">
        <f t="shared" si="106"/>
        <v>2</v>
      </c>
      <c r="V322" s="103"/>
      <c r="AA322" s="105">
        <v>2.0</v>
      </c>
    </row>
    <row r="323" ht="22.5" customHeight="1">
      <c r="B323" s="114" t="s">
        <v>6</v>
      </c>
      <c r="D323" s="6"/>
      <c r="H323" s="66">
        <f t="shared" si="104"/>
        <v>5</v>
      </c>
      <c r="I323" s="119">
        <f t="shared" si="105"/>
        <v>0</v>
      </c>
      <c r="L323" s="4">
        <v>1.0</v>
      </c>
      <c r="M323" s="4">
        <v>2.0</v>
      </c>
      <c r="N323" s="66"/>
      <c r="O323" s="4">
        <v>2.0</v>
      </c>
      <c r="P323" s="121"/>
      <c r="Q323" s="121"/>
      <c r="R323" s="102" t="s">
        <v>6</v>
      </c>
      <c r="S323" s="103">
        <v>4.0</v>
      </c>
      <c r="T323" s="104">
        <f t="shared" si="106"/>
        <v>1</v>
      </c>
      <c r="V323" s="103"/>
      <c r="X323" s="105">
        <v>1.0</v>
      </c>
    </row>
    <row r="324" ht="22.5" customHeight="1">
      <c r="B324" s="13" t="s">
        <v>7</v>
      </c>
      <c r="D324" s="6"/>
      <c r="H324" s="66">
        <f t="shared" si="104"/>
        <v>0</v>
      </c>
      <c r="I324" s="119">
        <f t="shared" si="105"/>
        <v>0</v>
      </c>
      <c r="N324" s="67"/>
      <c r="O324" s="67"/>
      <c r="P324" s="121"/>
      <c r="Q324" s="121"/>
      <c r="R324" s="102" t="s">
        <v>7</v>
      </c>
      <c r="S324" s="103"/>
      <c r="T324" s="104">
        <f t="shared" si="106"/>
        <v>0</v>
      </c>
      <c r="V324" s="103"/>
    </row>
    <row r="325" ht="22.5" customHeight="1">
      <c r="B325" s="114" t="s">
        <v>8</v>
      </c>
      <c r="D325" s="6"/>
      <c r="H325" s="66">
        <f t="shared" si="104"/>
        <v>3</v>
      </c>
      <c r="I325" s="119">
        <f t="shared" si="105"/>
        <v>0</v>
      </c>
      <c r="L325" s="4">
        <v>1.0</v>
      </c>
      <c r="M325" s="4">
        <v>1.0</v>
      </c>
      <c r="N325" s="66"/>
      <c r="O325" s="67">
        <v>1.0</v>
      </c>
      <c r="P325" s="121"/>
      <c r="Q325" s="121"/>
      <c r="R325" s="102" t="s">
        <v>8</v>
      </c>
      <c r="S325" s="103">
        <v>2.0</v>
      </c>
      <c r="T325" s="104">
        <f t="shared" si="106"/>
        <v>0</v>
      </c>
      <c r="V325" s="103"/>
    </row>
    <row r="326" ht="22.5" customHeight="1">
      <c r="B326" s="13" t="s">
        <v>9</v>
      </c>
      <c r="D326" s="6"/>
      <c r="H326" s="66">
        <f t="shared" si="104"/>
        <v>17</v>
      </c>
      <c r="I326" s="119">
        <f t="shared" si="105"/>
        <v>0</v>
      </c>
      <c r="J326" s="4">
        <v>5.0</v>
      </c>
      <c r="L326" s="4">
        <v>3.0</v>
      </c>
      <c r="M326" s="4">
        <v>3.0</v>
      </c>
      <c r="N326" s="67">
        <v>2.0</v>
      </c>
      <c r="O326" s="67">
        <v>4.0</v>
      </c>
      <c r="P326" s="121"/>
      <c r="Q326" s="121"/>
      <c r="R326" s="102" t="s">
        <v>9</v>
      </c>
      <c r="S326" s="103">
        <v>8.0</v>
      </c>
      <c r="T326" s="104">
        <f t="shared" si="106"/>
        <v>1</v>
      </c>
      <c r="V326" s="103"/>
      <c r="X326" s="105">
        <v>1.0</v>
      </c>
    </row>
    <row r="327" ht="22.5" customHeight="1">
      <c r="B327" s="114" t="s">
        <v>10</v>
      </c>
      <c r="D327" s="6"/>
      <c r="H327" s="66">
        <f t="shared" si="104"/>
        <v>5</v>
      </c>
      <c r="I327" s="119">
        <f t="shared" si="105"/>
        <v>0</v>
      </c>
      <c r="J327" s="4">
        <v>1.0</v>
      </c>
      <c r="L327" s="4">
        <v>2.0</v>
      </c>
      <c r="M327" s="4">
        <v>2.0</v>
      </c>
      <c r="O327" s="67"/>
      <c r="P327" s="121"/>
      <c r="Q327" s="121"/>
      <c r="R327" s="102" t="s">
        <v>10</v>
      </c>
      <c r="S327" s="103"/>
      <c r="T327" s="104">
        <f t="shared" si="106"/>
        <v>0</v>
      </c>
      <c r="V327" s="103"/>
    </row>
    <row r="328" ht="22.5" customHeight="1">
      <c r="B328" s="13" t="s">
        <v>11</v>
      </c>
      <c r="D328" s="6"/>
      <c r="H328" s="66">
        <f t="shared" si="104"/>
        <v>4</v>
      </c>
      <c r="I328" s="119">
        <f t="shared" si="105"/>
        <v>0</v>
      </c>
      <c r="L328" s="4">
        <v>2.0</v>
      </c>
      <c r="M328" s="4">
        <v>1.0</v>
      </c>
      <c r="N328" s="66"/>
      <c r="O328" s="67">
        <v>1.0</v>
      </c>
      <c r="P328" s="121"/>
      <c r="Q328" s="121"/>
      <c r="R328" s="102" t="s">
        <v>11</v>
      </c>
      <c r="S328" s="103"/>
      <c r="T328" s="104">
        <f t="shared" si="106"/>
        <v>0</v>
      </c>
      <c r="V328" s="103"/>
    </row>
    <row r="329" ht="22.5" customHeight="1">
      <c r="B329" s="114" t="s">
        <v>12</v>
      </c>
      <c r="D329" s="6"/>
      <c r="H329" s="66">
        <f t="shared" si="104"/>
        <v>7</v>
      </c>
      <c r="I329" s="119">
        <f t="shared" si="105"/>
        <v>0</v>
      </c>
      <c r="J329" s="4">
        <v>1.0</v>
      </c>
      <c r="L329" s="4">
        <v>3.0</v>
      </c>
      <c r="M329" s="4">
        <v>2.0</v>
      </c>
      <c r="N329" s="67">
        <v>1.0</v>
      </c>
      <c r="O329" s="66"/>
      <c r="P329" s="122"/>
      <c r="Q329" s="122"/>
      <c r="R329" s="102" t="s">
        <v>12</v>
      </c>
      <c r="S329" s="103">
        <v>3.0</v>
      </c>
      <c r="T329" s="104">
        <f t="shared" si="106"/>
        <v>0</v>
      </c>
      <c r="V329" s="104"/>
    </row>
    <row r="330" ht="22.5" customHeight="1">
      <c r="B330" s="13" t="s">
        <v>13</v>
      </c>
      <c r="D330" s="6"/>
      <c r="H330" s="66">
        <f t="shared" si="104"/>
        <v>9</v>
      </c>
      <c r="I330" s="119">
        <f t="shared" si="105"/>
        <v>0</v>
      </c>
      <c r="J330" s="4">
        <v>1.0</v>
      </c>
      <c r="L330" s="4">
        <v>2.0</v>
      </c>
      <c r="M330" s="67">
        <v>2.0</v>
      </c>
      <c r="N330" s="4">
        <v>2.0</v>
      </c>
      <c r="O330" s="67">
        <v>1.0</v>
      </c>
      <c r="P330" s="123"/>
      <c r="Q330" s="123">
        <v>1.0</v>
      </c>
      <c r="R330" s="102" t="s">
        <v>13</v>
      </c>
      <c r="S330" s="103"/>
      <c r="T330" s="104">
        <f t="shared" si="106"/>
        <v>0</v>
      </c>
      <c r="V330" s="103"/>
    </row>
    <row r="331" ht="22.5" customHeight="1">
      <c r="B331" s="114" t="s">
        <v>14</v>
      </c>
      <c r="D331" s="6"/>
      <c r="H331" s="66">
        <f t="shared" si="104"/>
        <v>3</v>
      </c>
      <c r="I331" s="119">
        <f t="shared" si="105"/>
        <v>0</v>
      </c>
      <c r="L331" s="4">
        <v>1.0</v>
      </c>
      <c r="M331" s="67">
        <v>1.0</v>
      </c>
      <c r="O331" s="67"/>
      <c r="P331" s="123"/>
      <c r="Q331" s="123">
        <v>1.0</v>
      </c>
      <c r="R331" s="102" t="s">
        <v>14</v>
      </c>
      <c r="S331" s="103">
        <v>4.0</v>
      </c>
      <c r="T331" s="104">
        <f t="shared" si="106"/>
        <v>1</v>
      </c>
      <c r="V331" s="103"/>
      <c r="X331" s="105">
        <v>1.0</v>
      </c>
    </row>
    <row r="332" ht="22.5" customHeight="1">
      <c r="B332" s="13" t="s">
        <v>15</v>
      </c>
      <c r="D332" s="6"/>
      <c r="H332" s="66">
        <f t="shared" si="104"/>
        <v>74</v>
      </c>
      <c r="I332" s="119">
        <f t="shared" si="105"/>
        <v>0</v>
      </c>
      <c r="J332" s="4">
        <v>14.0</v>
      </c>
      <c r="L332" s="4">
        <v>15.0</v>
      </c>
      <c r="M332" s="4">
        <v>15.0</v>
      </c>
      <c r="N332" s="67">
        <v>14.0</v>
      </c>
      <c r="O332" s="67">
        <v>15.0</v>
      </c>
      <c r="P332" s="123"/>
      <c r="Q332" s="123">
        <v>1.0</v>
      </c>
      <c r="R332" s="102" t="s">
        <v>15</v>
      </c>
      <c r="S332" s="103">
        <f>30+30+30+30+20+6</f>
        <v>146</v>
      </c>
      <c r="T332" s="104">
        <f t="shared" si="106"/>
        <v>12</v>
      </c>
      <c r="V332" s="103"/>
      <c r="X332" s="105">
        <v>2.0</v>
      </c>
      <c r="AA332" s="105">
        <v>10.0</v>
      </c>
    </row>
    <row r="333" ht="22.5" customHeight="1">
      <c r="D333" s="6"/>
      <c r="J333" s="97">
        <f t="shared" ref="J333:O333" si="107">sum(J321:J332)</f>
        <v>31</v>
      </c>
      <c r="K333" s="97">
        <f t="shared" si="107"/>
        <v>0</v>
      </c>
      <c r="L333" s="97">
        <f t="shared" si="107"/>
        <v>35</v>
      </c>
      <c r="M333" s="97">
        <f t="shared" si="107"/>
        <v>34</v>
      </c>
      <c r="N333" s="118">
        <f t="shared" si="107"/>
        <v>27</v>
      </c>
      <c r="O333" s="97">
        <f t="shared" si="107"/>
        <v>31</v>
      </c>
      <c r="R333" s="106"/>
      <c r="S333" s="109">
        <f>sum(Table13[Chưa Quay])</f>
        <v>220</v>
      </c>
      <c r="T333" s="109">
        <f>sum(Table13[Tổng Tồn])</f>
        <v>18</v>
      </c>
      <c r="U333" s="108">
        <f>sum(Table13[Tồn XL])</f>
        <v>0</v>
      </c>
      <c r="V333" s="109">
        <f>sum(Table13[Tồn XĐ sau])</f>
        <v>0</v>
      </c>
      <c r="W333" s="108">
        <f>sum(Table13[Tồn VTD])</f>
        <v>0</v>
      </c>
      <c r="X333" s="108">
        <f>sum(Table13[Tồn CN A])</f>
        <v>6</v>
      </c>
      <c r="Y333" s="108">
        <f>sum(Table13[Tồn CN B])</f>
        <v>0</v>
      </c>
      <c r="Z333" s="108">
        <f>sum(Table13[Tồn CN B])</f>
        <v>0</v>
      </c>
      <c r="AA333" s="108">
        <f>sum(Table13[Tồn ĐN])</f>
        <v>12</v>
      </c>
    </row>
    <row r="334">
      <c r="D334" s="6"/>
    </row>
    <row r="335">
      <c r="A335" s="52"/>
      <c r="B335" s="52"/>
      <c r="C335" s="52"/>
      <c r="D335" s="124"/>
      <c r="E335" s="52"/>
      <c r="F335" s="52"/>
      <c r="G335" s="52"/>
      <c r="H335" s="52"/>
      <c r="I335" s="52"/>
      <c r="J335" s="52"/>
      <c r="K335" s="52"/>
      <c r="L335" s="52"/>
      <c r="M335" s="52"/>
      <c r="N335" s="52"/>
      <c r="O335" s="52"/>
      <c r="P335" s="52"/>
      <c r="Q335" s="52"/>
      <c r="R335" s="52"/>
      <c r="S335" s="52"/>
      <c r="T335" s="52"/>
    </row>
    <row r="336">
      <c r="D336" s="6"/>
    </row>
    <row r="337">
      <c r="D337" s="6"/>
      <c r="I337" s="95" t="s">
        <v>113</v>
      </c>
    </row>
    <row r="338" ht="22.5" customHeight="1">
      <c r="D338" s="6"/>
      <c r="F338" s="4" t="s">
        <v>251</v>
      </c>
      <c r="G338" s="4" t="s">
        <v>252</v>
      </c>
      <c r="H338" s="4" t="s">
        <v>245</v>
      </c>
      <c r="J338" s="4" t="s">
        <v>93</v>
      </c>
      <c r="K338" s="4" t="s">
        <v>227</v>
      </c>
      <c r="L338" s="110" t="s">
        <v>89</v>
      </c>
      <c r="M338" s="4" t="s">
        <v>80</v>
      </c>
      <c r="N338" s="4" t="s">
        <v>254</v>
      </c>
      <c r="O338" s="4" t="s">
        <v>232</v>
      </c>
      <c r="P338" s="4"/>
      <c r="Q338" s="4" t="s">
        <v>255</v>
      </c>
      <c r="R338" s="99" t="s">
        <v>236</v>
      </c>
      <c r="S338" s="100" t="s">
        <v>233</v>
      </c>
      <c r="T338" s="100" t="s">
        <v>234</v>
      </c>
      <c r="U338" s="100" t="s">
        <v>238</v>
      </c>
      <c r="V338" s="100" t="s">
        <v>231</v>
      </c>
      <c r="W338" s="100" t="s">
        <v>239</v>
      </c>
      <c r="X338" s="100" t="s">
        <v>246</v>
      </c>
      <c r="Y338" s="100" t="s">
        <v>247</v>
      </c>
      <c r="Z338" s="101" t="s">
        <v>256</v>
      </c>
      <c r="AA338" s="100" t="s">
        <v>248</v>
      </c>
    </row>
    <row r="339" ht="22.5" customHeight="1">
      <c r="A339" s="11">
        <v>46124.0</v>
      </c>
      <c r="B339" s="114" t="s">
        <v>4</v>
      </c>
      <c r="C339" s="115">
        <v>30.0</v>
      </c>
      <c r="D339" s="120">
        <f>C339*'Giá NhậpXuất'!$C$4</f>
        <v>390000</v>
      </c>
      <c r="F339" s="4">
        <v>0.0</v>
      </c>
      <c r="G339" s="13">
        <f t="shared" ref="G339:G350" si="108">sum(J339:Q339)</f>
        <v>28</v>
      </c>
      <c r="H339" s="66">
        <f t="shared" ref="H339:H350" si="109">C339+F339-G339+T339</f>
        <v>3</v>
      </c>
      <c r="J339" s="115">
        <v>5.0</v>
      </c>
      <c r="K339" s="115"/>
      <c r="L339" s="115">
        <v>8.0</v>
      </c>
      <c r="M339" s="115">
        <v>5.0</v>
      </c>
      <c r="N339" s="115">
        <v>5.0</v>
      </c>
      <c r="O339" s="115">
        <v>5.0</v>
      </c>
      <c r="R339" s="102" t="s">
        <v>4</v>
      </c>
      <c r="S339" s="103">
        <v>2.0</v>
      </c>
      <c r="T339" s="104">
        <f t="shared" ref="T339:T350" si="110">sum(U339:AA339)</f>
        <v>1</v>
      </c>
      <c r="U339" s="105">
        <v>1.0</v>
      </c>
      <c r="V339" s="103"/>
    </row>
    <row r="340" ht="22.5" customHeight="1">
      <c r="A340" s="11">
        <v>46124.0</v>
      </c>
      <c r="B340" s="13" t="s">
        <v>5</v>
      </c>
      <c r="C340" s="4">
        <v>20.0</v>
      </c>
      <c r="D340" s="120">
        <f>C340*'Giá NhậpXuất'!$C$5</f>
        <v>260000</v>
      </c>
      <c r="F340" s="4">
        <v>0.0</v>
      </c>
      <c r="G340" s="13">
        <f t="shared" si="108"/>
        <v>17</v>
      </c>
      <c r="H340" s="66">
        <f t="shared" si="109"/>
        <v>3</v>
      </c>
      <c r="J340" s="4">
        <v>3.0</v>
      </c>
      <c r="L340" s="4">
        <v>5.0</v>
      </c>
      <c r="M340" s="4">
        <v>2.0</v>
      </c>
      <c r="N340" s="4">
        <v>4.0</v>
      </c>
      <c r="O340" s="4">
        <v>3.0</v>
      </c>
      <c r="R340" s="102" t="s">
        <v>5</v>
      </c>
      <c r="S340" s="103">
        <v>3.0</v>
      </c>
      <c r="T340" s="104">
        <f t="shared" si="110"/>
        <v>0</v>
      </c>
      <c r="V340" s="103"/>
    </row>
    <row r="341" ht="22.5" customHeight="1">
      <c r="A341" s="11">
        <v>46124.0</v>
      </c>
      <c r="B341" s="114" t="s">
        <v>6</v>
      </c>
      <c r="C341" s="115">
        <v>15.0</v>
      </c>
      <c r="D341" s="120">
        <f>C341*'Giá NhậpXuất'!$C$6</f>
        <v>195000</v>
      </c>
      <c r="F341" s="4">
        <v>0.0</v>
      </c>
      <c r="G341" s="13">
        <f t="shared" si="108"/>
        <v>15</v>
      </c>
      <c r="H341" s="66">
        <f t="shared" si="109"/>
        <v>0</v>
      </c>
      <c r="J341" s="115">
        <v>2.0</v>
      </c>
      <c r="K341" s="115"/>
      <c r="L341" s="115">
        <v>4.0</v>
      </c>
      <c r="M341" s="115">
        <v>3.0</v>
      </c>
      <c r="N341" s="115">
        <v>3.0</v>
      </c>
      <c r="O341" s="115">
        <v>3.0</v>
      </c>
      <c r="R341" s="102" t="s">
        <v>6</v>
      </c>
      <c r="S341" s="103"/>
      <c r="T341" s="104">
        <f t="shared" si="110"/>
        <v>0</v>
      </c>
      <c r="V341" s="103"/>
    </row>
    <row r="342" ht="22.5" customHeight="1">
      <c r="A342" s="11">
        <v>46124.0</v>
      </c>
      <c r="B342" s="13" t="s">
        <v>7</v>
      </c>
      <c r="C342" s="4">
        <v>20.0</v>
      </c>
      <c r="D342" s="120">
        <f>C342*'Giá NhậpXuất'!$C$7</f>
        <v>260000</v>
      </c>
      <c r="F342" s="4">
        <v>0.0</v>
      </c>
      <c r="G342" s="13">
        <f t="shared" si="108"/>
        <v>18</v>
      </c>
      <c r="H342" s="66">
        <f t="shared" si="109"/>
        <v>2</v>
      </c>
      <c r="J342" s="4">
        <v>3.0</v>
      </c>
      <c r="L342" s="4">
        <v>4.0</v>
      </c>
      <c r="M342" s="4">
        <v>3.0</v>
      </c>
      <c r="N342" s="4">
        <v>4.0</v>
      </c>
      <c r="O342" s="4">
        <v>4.0</v>
      </c>
      <c r="R342" s="102" t="s">
        <v>7</v>
      </c>
      <c r="S342" s="103">
        <v>4.0</v>
      </c>
      <c r="T342" s="104">
        <f t="shared" si="110"/>
        <v>0</v>
      </c>
      <c r="V342" s="103"/>
    </row>
    <row r="343" ht="22.5" customHeight="1">
      <c r="A343" s="11">
        <v>46124.0</v>
      </c>
      <c r="B343" s="114" t="s">
        <v>8</v>
      </c>
      <c r="C343" s="115">
        <v>25.0</v>
      </c>
      <c r="D343" s="120">
        <f>C343*'Giá NhậpXuất'!$C$8</f>
        <v>325000</v>
      </c>
      <c r="F343" s="4">
        <v>0.0</v>
      </c>
      <c r="G343" s="13">
        <f t="shared" si="108"/>
        <v>20</v>
      </c>
      <c r="H343" s="66">
        <f t="shared" si="109"/>
        <v>5</v>
      </c>
      <c r="J343" s="115">
        <v>3.0</v>
      </c>
      <c r="K343" s="115"/>
      <c r="L343" s="115">
        <v>4.0</v>
      </c>
      <c r="M343" s="115">
        <v>4.0</v>
      </c>
      <c r="N343" s="115">
        <v>5.0</v>
      </c>
      <c r="O343" s="115">
        <v>4.0</v>
      </c>
      <c r="R343" s="102" t="s">
        <v>8</v>
      </c>
      <c r="S343" s="103">
        <v>2.0</v>
      </c>
      <c r="T343" s="104">
        <f t="shared" si="110"/>
        <v>0</v>
      </c>
      <c r="V343" s="103"/>
    </row>
    <row r="344" ht="22.5" customHeight="1">
      <c r="A344" s="11">
        <v>46124.0</v>
      </c>
      <c r="B344" s="13" t="s">
        <v>9</v>
      </c>
      <c r="C344" s="4">
        <v>25.0</v>
      </c>
      <c r="D344" s="120">
        <f>C344*'Giá NhậpXuất'!$C$9</f>
        <v>325000</v>
      </c>
      <c r="F344" s="4">
        <v>0.0</v>
      </c>
      <c r="G344" s="13">
        <f t="shared" si="108"/>
        <v>23</v>
      </c>
      <c r="H344" s="66">
        <f t="shared" si="109"/>
        <v>2</v>
      </c>
      <c r="J344" s="4">
        <v>5.0</v>
      </c>
      <c r="L344" s="4">
        <v>5.0</v>
      </c>
      <c r="M344" s="4">
        <v>5.0</v>
      </c>
      <c r="N344" s="4">
        <v>5.0</v>
      </c>
      <c r="O344" s="4">
        <v>3.0</v>
      </c>
      <c r="R344" s="102" t="s">
        <v>9</v>
      </c>
      <c r="S344" s="103">
        <v>1.0</v>
      </c>
      <c r="T344" s="104">
        <f t="shared" si="110"/>
        <v>0</v>
      </c>
      <c r="V344" s="103"/>
    </row>
    <row r="345" ht="22.5" customHeight="1">
      <c r="A345" s="11">
        <v>46124.0</v>
      </c>
      <c r="B345" s="114" t="s">
        <v>10</v>
      </c>
      <c r="C345" s="114">
        <v>16.0</v>
      </c>
      <c r="D345" s="120">
        <f>C345*'Giá NhậpXuất'!$C$10</f>
        <v>208000</v>
      </c>
      <c r="F345" s="4">
        <v>0.0</v>
      </c>
      <c r="G345" s="13">
        <f t="shared" si="108"/>
        <v>17</v>
      </c>
      <c r="H345" s="66">
        <f t="shared" si="109"/>
        <v>0</v>
      </c>
      <c r="J345" s="115">
        <v>2.0</v>
      </c>
      <c r="K345" s="115"/>
      <c r="L345" s="115">
        <v>3.0</v>
      </c>
      <c r="M345" s="115">
        <v>4.0</v>
      </c>
      <c r="N345" s="115">
        <v>5.0</v>
      </c>
      <c r="O345" s="115">
        <v>3.0</v>
      </c>
      <c r="R345" s="102" t="s">
        <v>10</v>
      </c>
      <c r="S345" s="103">
        <v>11.0</v>
      </c>
      <c r="T345" s="104">
        <f t="shared" si="110"/>
        <v>1</v>
      </c>
      <c r="U345" s="105">
        <v>1.0</v>
      </c>
      <c r="V345" s="103"/>
    </row>
    <row r="346" ht="22.5" customHeight="1">
      <c r="A346" s="11">
        <v>46124.0</v>
      </c>
      <c r="B346" s="13" t="s">
        <v>11</v>
      </c>
      <c r="C346" s="4">
        <v>15.0</v>
      </c>
      <c r="D346" s="120">
        <f>C346*'Giá NhậpXuất'!$C$11</f>
        <v>195000</v>
      </c>
      <c r="F346" s="4">
        <v>0.0</v>
      </c>
      <c r="G346" s="13">
        <f t="shared" si="108"/>
        <v>15</v>
      </c>
      <c r="H346" s="66">
        <f t="shared" si="109"/>
        <v>2</v>
      </c>
      <c r="J346" s="4">
        <v>3.0</v>
      </c>
      <c r="L346" s="4">
        <v>4.0</v>
      </c>
      <c r="M346" s="4">
        <v>2.0</v>
      </c>
      <c r="N346" s="4">
        <v>3.0</v>
      </c>
      <c r="O346" s="4">
        <v>3.0</v>
      </c>
      <c r="R346" s="102" t="s">
        <v>11</v>
      </c>
      <c r="S346" s="103"/>
      <c r="T346" s="104">
        <f t="shared" si="110"/>
        <v>2</v>
      </c>
      <c r="U346" s="105">
        <v>2.0</v>
      </c>
      <c r="V346" s="103"/>
    </row>
    <row r="347" ht="22.5" customHeight="1">
      <c r="A347" s="11">
        <v>46124.0</v>
      </c>
      <c r="B347" s="114" t="s">
        <v>12</v>
      </c>
      <c r="C347" s="115">
        <v>20.0</v>
      </c>
      <c r="D347" s="120">
        <f>C347*'Giá NhậpXuất'!$C$12</f>
        <v>260000</v>
      </c>
      <c r="F347" s="4">
        <v>0.0</v>
      </c>
      <c r="G347" s="13">
        <f t="shared" si="108"/>
        <v>17</v>
      </c>
      <c r="H347" s="66">
        <f t="shared" si="109"/>
        <v>4</v>
      </c>
      <c r="J347" s="115">
        <v>2.0</v>
      </c>
      <c r="K347" s="115"/>
      <c r="L347" s="115">
        <v>5.0</v>
      </c>
      <c r="M347" s="115">
        <v>3.0</v>
      </c>
      <c r="N347" s="115">
        <v>5.0</v>
      </c>
      <c r="O347" s="115">
        <v>2.0</v>
      </c>
      <c r="R347" s="102" t="s">
        <v>12</v>
      </c>
      <c r="S347" s="103">
        <v>2.0</v>
      </c>
      <c r="T347" s="104">
        <f t="shared" si="110"/>
        <v>1</v>
      </c>
      <c r="V347" s="104"/>
      <c r="W347" s="105">
        <v>1.0</v>
      </c>
    </row>
    <row r="348" ht="22.5" customHeight="1">
      <c r="A348" s="11">
        <v>46124.0</v>
      </c>
      <c r="B348" s="13" t="s">
        <v>13</v>
      </c>
      <c r="C348" s="4">
        <v>20.0</v>
      </c>
      <c r="D348" s="120">
        <f>C348*'Giá NhậpXuất'!$C$13</f>
        <v>260000</v>
      </c>
      <c r="F348" s="4">
        <v>0.0</v>
      </c>
      <c r="G348" s="13">
        <f t="shared" si="108"/>
        <v>20</v>
      </c>
      <c r="H348" s="66">
        <f t="shared" si="109"/>
        <v>0</v>
      </c>
      <c r="J348" s="4">
        <v>3.0</v>
      </c>
      <c r="L348" s="4">
        <v>6.0</v>
      </c>
      <c r="M348" s="4">
        <v>4.0</v>
      </c>
      <c r="N348" s="4">
        <v>4.0</v>
      </c>
      <c r="O348" s="4">
        <v>3.0</v>
      </c>
      <c r="R348" s="102" t="s">
        <v>13</v>
      </c>
      <c r="S348" s="103"/>
      <c r="T348" s="104">
        <f t="shared" si="110"/>
        <v>0</v>
      </c>
      <c r="V348" s="103"/>
    </row>
    <row r="349" ht="22.5" customHeight="1">
      <c r="A349" s="11">
        <v>46124.0</v>
      </c>
      <c r="B349" s="114" t="s">
        <v>14</v>
      </c>
      <c r="C349" s="115">
        <v>15.0</v>
      </c>
      <c r="D349" s="120">
        <f>C349*'Giá NhậpXuất'!$C$14</f>
        <v>240000</v>
      </c>
      <c r="F349" s="4">
        <v>0.0</v>
      </c>
      <c r="G349" s="13">
        <f t="shared" si="108"/>
        <v>13</v>
      </c>
      <c r="H349" s="66">
        <f t="shared" si="109"/>
        <v>3</v>
      </c>
      <c r="J349" s="115">
        <v>2.0</v>
      </c>
      <c r="K349" s="115"/>
      <c r="L349" s="115">
        <v>3.0</v>
      </c>
      <c r="M349" s="115">
        <v>3.0</v>
      </c>
      <c r="N349" s="115">
        <v>2.0</v>
      </c>
      <c r="O349" s="115">
        <v>3.0</v>
      </c>
      <c r="R349" s="102" t="s">
        <v>14</v>
      </c>
      <c r="S349" s="103"/>
      <c r="T349" s="104">
        <f t="shared" si="110"/>
        <v>1</v>
      </c>
      <c r="V349" s="103"/>
      <c r="AA349" s="105">
        <v>1.0</v>
      </c>
    </row>
    <row r="350" ht="22.5" customHeight="1">
      <c r="A350" s="11">
        <v>46124.0</v>
      </c>
      <c r="B350" s="13" t="s">
        <v>15</v>
      </c>
      <c r="C350" s="4">
        <v>180.0</v>
      </c>
      <c r="D350" s="120">
        <f>C350*'Giá NhậpXuất'!$C$15</f>
        <v>2340000</v>
      </c>
      <c r="F350" s="4">
        <v>0.0</v>
      </c>
      <c r="G350" s="13">
        <f t="shared" si="108"/>
        <v>165</v>
      </c>
      <c r="H350" s="66">
        <f t="shared" si="109"/>
        <v>19</v>
      </c>
      <c r="J350" s="4">
        <v>30.0</v>
      </c>
      <c r="L350" s="4">
        <v>40.0</v>
      </c>
      <c r="M350" s="4">
        <v>35.0</v>
      </c>
      <c r="N350" s="4">
        <v>35.0</v>
      </c>
      <c r="O350" s="4">
        <v>25.0</v>
      </c>
      <c r="R350" s="102" t="s">
        <v>15</v>
      </c>
      <c r="S350" s="103">
        <v>11.0</v>
      </c>
      <c r="T350" s="104">
        <f t="shared" si="110"/>
        <v>4</v>
      </c>
      <c r="U350" s="105">
        <v>4.0</v>
      </c>
      <c r="V350" s="103"/>
    </row>
    <row r="351" ht="22.5" customHeight="1">
      <c r="B351" s="4" t="s">
        <v>16</v>
      </c>
      <c r="C351" s="13">
        <f t="shared" ref="C351:D351" si="111">sum(C339:C350)</f>
        <v>401</v>
      </c>
      <c r="D351" s="6">
        <f t="shared" si="111"/>
        <v>5258000</v>
      </c>
      <c r="J351" s="97">
        <f t="shared" ref="J351:O351" si="112">sum(J339:J350)</f>
        <v>63</v>
      </c>
      <c r="K351" s="97">
        <f t="shared" si="112"/>
        <v>0</v>
      </c>
      <c r="L351" s="97">
        <f t="shared" si="112"/>
        <v>91</v>
      </c>
      <c r="M351" s="97">
        <f t="shared" si="112"/>
        <v>73</v>
      </c>
      <c r="N351" s="97">
        <f t="shared" si="112"/>
        <v>80</v>
      </c>
      <c r="O351" s="97">
        <f t="shared" si="112"/>
        <v>61</v>
      </c>
      <c r="P351" s="97"/>
      <c r="Q351" s="97">
        <f>sum(Q339:Q350)</f>
        <v>0</v>
      </c>
      <c r="R351" s="106"/>
      <c r="S351" s="109">
        <f>sum(Table14[Chưa Quay])</f>
        <v>36</v>
      </c>
      <c r="T351" s="109">
        <f>sum(Table14[Tổng Tồn])</f>
        <v>10</v>
      </c>
      <c r="U351" s="108">
        <f>sum(Table14[Tồn XL])</f>
        <v>8</v>
      </c>
      <c r="V351" s="109">
        <f>sum(Table14[Tồn XĐ sau])</f>
        <v>0</v>
      </c>
      <c r="W351" s="108">
        <f>sum(Table14[Tồn VTD])</f>
        <v>1</v>
      </c>
      <c r="X351" s="108">
        <f>sum(Table14[Tồn CN A])</f>
        <v>0</v>
      </c>
      <c r="Y351" s="125" t="s">
        <v>259</v>
      </c>
      <c r="Z351" s="108">
        <f>sum(Table14[Tồn CN B])</f>
        <v>0</v>
      </c>
      <c r="AA351" s="108">
        <f>sum(Table14[Tồn ĐN])</f>
        <v>1</v>
      </c>
    </row>
    <row r="352">
      <c r="D352" s="6"/>
      <c r="J352" s="13">
        <f>J351-Table14[[#TOTALS],[Tồn XL]]</f>
        <v>55</v>
      </c>
      <c r="K352" s="66">
        <f>K351-Table14[[#TOTALS],[Tồn XĐ sau]]</f>
        <v>0</v>
      </c>
      <c r="L352" s="13">
        <f>L351-Table14[[#TOTALS],[Tồn VTD]]</f>
        <v>90</v>
      </c>
      <c r="M352" s="13">
        <f>M351-Table12[[#TOTALS],[Tồn CN A]]</f>
        <v>73</v>
      </c>
      <c r="N352" s="13">
        <f>N351-Table14[[#TOTALS],[Tồn CN B]]</f>
        <v>61</v>
      </c>
      <c r="O352" s="13">
        <f>O351-Table14[[#TOTALS],[Tồn ĐN]]</f>
        <v>60</v>
      </c>
      <c r="Y352" s="13">
        <f>N351-19</f>
        <v>61</v>
      </c>
    </row>
    <row r="353">
      <c r="D353" s="6"/>
      <c r="I353" s="62"/>
      <c r="J353" s="62" t="s">
        <v>114</v>
      </c>
    </row>
    <row r="354" ht="22.5" customHeight="1">
      <c r="D354" s="6"/>
      <c r="H354" s="4" t="s">
        <v>251</v>
      </c>
      <c r="I354" s="75" t="s">
        <v>253</v>
      </c>
      <c r="J354" s="4" t="s">
        <v>93</v>
      </c>
      <c r="K354" s="4" t="s">
        <v>227</v>
      </c>
      <c r="L354" s="4" t="s">
        <v>89</v>
      </c>
      <c r="M354" s="4" t="s">
        <v>80</v>
      </c>
      <c r="N354" s="4" t="s">
        <v>81</v>
      </c>
      <c r="O354" s="4" t="s">
        <v>232</v>
      </c>
      <c r="P354" s="4"/>
      <c r="Q354" s="4" t="s">
        <v>258</v>
      </c>
      <c r="R354" s="99" t="s">
        <v>236</v>
      </c>
      <c r="S354" s="100" t="s">
        <v>233</v>
      </c>
      <c r="T354" s="100" t="s">
        <v>234</v>
      </c>
      <c r="U354" s="100" t="s">
        <v>238</v>
      </c>
      <c r="V354" s="100" t="s">
        <v>231</v>
      </c>
      <c r="W354" s="100" t="s">
        <v>239</v>
      </c>
      <c r="X354" s="100" t="s">
        <v>246</v>
      </c>
      <c r="Y354" s="100" t="s">
        <v>247</v>
      </c>
      <c r="Z354" s="101" t="s">
        <v>256</v>
      </c>
      <c r="AA354" s="100" t="s">
        <v>248</v>
      </c>
    </row>
    <row r="355" ht="22.5" customHeight="1">
      <c r="A355" s="11">
        <v>46125.0</v>
      </c>
      <c r="B355" s="114" t="s">
        <v>4</v>
      </c>
      <c r="D355" s="6"/>
      <c r="H355" s="66">
        <f t="shared" ref="H355:H366" si="113">S339+T339</f>
        <v>3</v>
      </c>
      <c r="I355" s="119">
        <f t="shared" ref="I355:I366" si="114">H355-sum(J355:Q355)</f>
        <v>1</v>
      </c>
      <c r="N355" s="67">
        <v>2.0</v>
      </c>
      <c r="R355" s="102" t="s">
        <v>4</v>
      </c>
      <c r="S355" s="103"/>
      <c r="T355" s="104">
        <f t="shared" ref="T355:T366" si="115">sum(U355:AA355)</f>
        <v>0</v>
      </c>
      <c r="V355" s="103"/>
    </row>
    <row r="356" ht="22.5" customHeight="1">
      <c r="A356" s="11">
        <v>46125.0</v>
      </c>
      <c r="B356" s="13" t="s">
        <v>5</v>
      </c>
      <c r="D356" s="6"/>
      <c r="H356" s="66">
        <f t="shared" si="113"/>
        <v>3</v>
      </c>
      <c r="I356" s="119">
        <f t="shared" si="114"/>
        <v>0</v>
      </c>
      <c r="N356" s="67">
        <v>3.0</v>
      </c>
      <c r="O356" s="67"/>
      <c r="P356" s="121"/>
      <c r="Q356" s="121"/>
      <c r="R356" s="102" t="s">
        <v>5</v>
      </c>
      <c r="S356" s="103"/>
      <c r="T356" s="104">
        <f t="shared" si="115"/>
        <v>0</v>
      </c>
      <c r="V356" s="103"/>
    </row>
    <row r="357" ht="22.5" customHeight="1">
      <c r="A357" s="11">
        <v>46125.0</v>
      </c>
      <c r="B357" s="114" t="s">
        <v>6</v>
      </c>
      <c r="D357" s="6"/>
      <c r="H357" s="66">
        <f t="shared" si="113"/>
        <v>0</v>
      </c>
      <c r="I357" s="119">
        <f t="shared" si="114"/>
        <v>0</v>
      </c>
      <c r="N357" s="66"/>
      <c r="P357" s="121"/>
      <c r="Q357" s="121"/>
      <c r="R357" s="102" t="s">
        <v>6</v>
      </c>
      <c r="S357" s="103"/>
      <c r="T357" s="104">
        <f t="shared" si="115"/>
        <v>0</v>
      </c>
      <c r="V357" s="103"/>
    </row>
    <row r="358" ht="22.5" customHeight="1">
      <c r="A358" s="11">
        <v>46125.0</v>
      </c>
      <c r="B358" s="13" t="s">
        <v>7</v>
      </c>
      <c r="D358" s="6"/>
      <c r="H358" s="66">
        <f t="shared" si="113"/>
        <v>4</v>
      </c>
      <c r="I358" s="119">
        <f t="shared" si="114"/>
        <v>2</v>
      </c>
      <c r="N358" s="67">
        <v>2.0</v>
      </c>
      <c r="O358" s="67"/>
      <c r="P358" s="121"/>
      <c r="Q358" s="121"/>
      <c r="R358" s="102" t="s">
        <v>7</v>
      </c>
      <c r="S358" s="103"/>
      <c r="T358" s="104">
        <f t="shared" si="115"/>
        <v>0</v>
      </c>
      <c r="V358" s="103"/>
    </row>
    <row r="359" ht="22.5" customHeight="1">
      <c r="A359" s="11">
        <v>46125.0</v>
      </c>
      <c r="B359" s="114" t="s">
        <v>8</v>
      </c>
      <c r="D359" s="6"/>
      <c r="H359" s="66">
        <f t="shared" si="113"/>
        <v>2</v>
      </c>
      <c r="I359" s="119">
        <f t="shared" si="114"/>
        <v>-2</v>
      </c>
      <c r="N359" s="67">
        <v>4.0</v>
      </c>
      <c r="O359" s="67"/>
      <c r="P359" s="121"/>
      <c r="Q359" s="121"/>
      <c r="R359" s="102" t="s">
        <v>8</v>
      </c>
      <c r="S359" s="103"/>
      <c r="T359" s="104">
        <f t="shared" si="115"/>
        <v>0</v>
      </c>
      <c r="V359" s="103"/>
    </row>
    <row r="360" ht="22.5" customHeight="1">
      <c r="A360" s="11">
        <v>46125.0</v>
      </c>
      <c r="B360" s="13" t="s">
        <v>9</v>
      </c>
      <c r="D360" s="6"/>
      <c r="H360" s="66">
        <f t="shared" si="113"/>
        <v>1</v>
      </c>
      <c r="I360" s="119">
        <f t="shared" si="114"/>
        <v>0</v>
      </c>
      <c r="N360" s="67">
        <v>1.0</v>
      </c>
      <c r="O360" s="67"/>
      <c r="P360" s="121"/>
      <c r="Q360" s="121"/>
      <c r="R360" s="102" t="s">
        <v>9</v>
      </c>
      <c r="S360" s="103"/>
      <c r="T360" s="104">
        <f t="shared" si="115"/>
        <v>0</v>
      </c>
      <c r="V360" s="103"/>
    </row>
    <row r="361" ht="22.5" customHeight="1">
      <c r="A361" s="11">
        <v>46125.0</v>
      </c>
      <c r="B361" s="114" t="s">
        <v>10</v>
      </c>
      <c r="D361" s="6"/>
      <c r="H361" s="66">
        <f t="shared" si="113"/>
        <v>12</v>
      </c>
      <c r="I361" s="119">
        <f t="shared" si="114"/>
        <v>4</v>
      </c>
      <c r="N361" s="4">
        <v>8.0</v>
      </c>
      <c r="O361" s="67"/>
      <c r="P361" s="121"/>
      <c r="Q361" s="121"/>
      <c r="R361" s="102" t="s">
        <v>10</v>
      </c>
      <c r="S361" s="103"/>
      <c r="T361" s="104">
        <f t="shared" si="115"/>
        <v>0</v>
      </c>
      <c r="V361" s="103"/>
    </row>
    <row r="362" ht="22.5" customHeight="1">
      <c r="A362" s="11">
        <v>46125.0</v>
      </c>
      <c r="B362" s="13" t="s">
        <v>11</v>
      </c>
      <c r="D362" s="6"/>
      <c r="H362" s="66">
        <f t="shared" si="113"/>
        <v>2</v>
      </c>
      <c r="I362" s="119">
        <f t="shared" si="114"/>
        <v>2</v>
      </c>
      <c r="N362" s="66"/>
      <c r="O362" s="67"/>
      <c r="P362" s="121"/>
      <c r="Q362" s="121"/>
      <c r="R362" s="102" t="s">
        <v>11</v>
      </c>
      <c r="S362" s="103"/>
      <c r="T362" s="104">
        <f t="shared" si="115"/>
        <v>0</v>
      </c>
      <c r="V362" s="103"/>
    </row>
    <row r="363" ht="22.5" customHeight="1">
      <c r="A363" s="11">
        <v>46125.0</v>
      </c>
      <c r="B363" s="114" t="s">
        <v>12</v>
      </c>
      <c r="D363" s="6"/>
      <c r="H363" s="66">
        <f t="shared" si="113"/>
        <v>3</v>
      </c>
      <c r="I363" s="119">
        <f t="shared" si="114"/>
        <v>1</v>
      </c>
      <c r="N363" s="67">
        <v>2.0</v>
      </c>
      <c r="O363" s="66"/>
      <c r="P363" s="122"/>
      <c r="Q363" s="122"/>
      <c r="R363" s="102" t="s">
        <v>12</v>
      </c>
      <c r="S363" s="103"/>
      <c r="T363" s="104">
        <f t="shared" si="115"/>
        <v>0</v>
      </c>
      <c r="V363" s="104"/>
    </row>
    <row r="364" ht="22.5" customHeight="1">
      <c r="A364" s="11">
        <v>46125.0</v>
      </c>
      <c r="B364" s="13" t="s">
        <v>13</v>
      </c>
      <c r="D364" s="6"/>
      <c r="H364" s="66">
        <f t="shared" si="113"/>
        <v>0</v>
      </c>
      <c r="I364" s="119">
        <f t="shared" si="114"/>
        <v>0</v>
      </c>
      <c r="M364" s="67"/>
      <c r="O364" s="67"/>
      <c r="P364" s="123"/>
      <c r="Q364" s="123"/>
      <c r="R364" s="102" t="s">
        <v>13</v>
      </c>
      <c r="S364" s="103"/>
      <c r="T364" s="104">
        <f t="shared" si="115"/>
        <v>0</v>
      </c>
      <c r="V364" s="103"/>
    </row>
    <row r="365" ht="22.5" customHeight="1">
      <c r="A365" s="11">
        <v>46125.0</v>
      </c>
      <c r="B365" s="114" t="s">
        <v>14</v>
      </c>
      <c r="D365" s="6"/>
      <c r="H365" s="66">
        <f t="shared" si="113"/>
        <v>1</v>
      </c>
      <c r="I365" s="119">
        <f t="shared" si="114"/>
        <v>1</v>
      </c>
      <c r="M365" s="67"/>
      <c r="O365" s="67"/>
      <c r="P365" s="123"/>
      <c r="Q365" s="123"/>
      <c r="R365" s="102" t="s">
        <v>14</v>
      </c>
      <c r="S365" s="103"/>
      <c r="T365" s="104">
        <f t="shared" si="115"/>
        <v>1</v>
      </c>
      <c r="V365" s="103"/>
      <c r="AA365" s="105">
        <v>1.0</v>
      </c>
    </row>
    <row r="366" ht="22.5" customHeight="1">
      <c r="A366" s="11">
        <v>46125.0</v>
      </c>
      <c r="B366" s="13" t="s">
        <v>15</v>
      </c>
      <c r="D366" s="6"/>
      <c r="H366" s="66">
        <f t="shared" si="113"/>
        <v>15</v>
      </c>
      <c r="I366" s="119">
        <f t="shared" si="114"/>
        <v>4</v>
      </c>
      <c r="N366" s="67">
        <v>11.0</v>
      </c>
      <c r="O366" s="67"/>
      <c r="P366" s="123"/>
      <c r="Q366" s="123"/>
      <c r="R366" s="102" t="s">
        <v>15</v>
      </c>
      <c r="S366" s="103"/>
      <c r="T366" s="104">
        <f t="shared" si="115"/>
        <v>0</v>
      </c>
      <c r="V366" s="103"/>
    </row>
    <row r="367" ht="22.5" customHeight="1">
      <c r="D367" s="6"/>
      <c r="I367" s="66">
        <f t="shared" ref="I367:O367" si="116">sum(I355:I366)</f>
        <v>13</v>
      </c>
      <c r="J367" s="97">
        <f t="shared" si="116"/>
        <v>0</v>
      </c>
      <c r="K367" s="97">
        <f t="shared" si="116"/>
        <v>0</v>
      </c>
      <c r="L367" s="97">
        <f t="shared" si="116"/>
        <v>0</v>
      </c>
      <c r="M367" s="97">
        <f t="shared" si="116"/>
        <v>0</v>
      </c>
      <c r="N367" s="118">
        <f t="shared" si="116"/>
        <v>33</v>
      </c>
      <c r="O367" s="97">
        <f t="shared" si="116"/>
        <v>0</v>
      </c>
      <c r="R367" s="106"/>
      <c r="S367" s="109">
        <f>sum(Table15[Chưa Quay])</f>
        <v>0</v>
      </c>
      <c r="T367" s="109">
        <f>sum(Table15[Tổng Tồn])</f>
        <v>1</v>
      </c>
      <c r="U367" s="108">
        <f>sum(Table15[Tồn XL])</f>
        <v>0</v>
      </c>
      <c r="V367" s="109">
        <f>sum(Table15[Tồn XĐ sau])</f>
        <v>0</v>
      </c>
      <c r="W367" s="108">
        <f>sum(Table15[Tồn VTD])</f>
        <v>0</v>
      </c>
      <c r="X367" s="108">
        <f>sum(Table15[Tồn CN A])</f>
        <v>0</v>
      </c>
      <c r="Y367" s="108">
        <f>sum(Table15[Tồn CN B])</f>
        <v>0</v>
      </c>
      <c r="Z367" s="108">
        <f>sum(Table15[Tồn CN B])</f>
        <v>0</v>
      </c>
      <c r="AA367" s="108">
        <f>sum(Table15[Tồn ĐN])</f>
        <v>1</v>
      </c>
    </row>
    <row r="368">
      <c r="D368" s="6"/>
    </row>
    <row r="369" ht="22.5" customHeight="1">
      <c r="D369" s="82" t="s">
        <v>250</v>
      </c>
      <c r="F369" s="4" t="s">
        <v>251</v>
      </c>
      <c r="G369" s="4" t="s">
        <v>252</v>
      </c>
      <c r="H369" s="4" t="s">
        <v>245</v>
      </c>
      <c r="J369" s="4" t="s">
        <v>93</v>
      </c>
      <c r="K369" s="4" t="s">
        <v>227</v>
      </c>
      <c r="L369" s="110" t="s">
        <v>89</v>
      </c>
      <c r="M369" s="4" t="s">
        <v>80</v>
      </c>
      <c r="N369" s="4" t="s">
        <v>254</v>
      </c>
      <c r="O369" s="4" t="s">
        <v>232</v>
      </c>
      <c r="P369" s="4"/>
      <c r="Q369" s="4" t="s">
        <v>260</v>
      </c>
      <c r="R369" s="99" t="s">
        <v>236</v>
      </c>
      <c r="S369" s="100" t="s">
        <v>233</v>
      </c>
      <c r="T369" s="100" t="s">
        <v>234</v>
      </c>
      <c r="U369" s="100" t="s">
        <v>238</v>
      </c>
      <c r="V369" s="100" t="s">
        <v>231</v>
      </c>
      <c r="W369" s="100" t="s">
        <v>239</v>
      </c>
      <c r="X369" s="100" t="s">
        <v>246</v>
      </c>
      <c r="Y369" s="100" t="s">
        <v>247</v>
      </c>
      <c r="Z369" s="101" t="s">
        <v>256</v>
      </c>
      <c r="AA369" s="100" t="s">
        <v>248</v>
      </c>
    </row>
    <row r="370" ht="22.5" customHeight="1">
      <c r="A370" s="11">
        <v>46125.0</v>
      </c>
      <c r="B370" s="114" t="s">
        <v>4</v>
      </c>
      <c r="C370" s="115">
        <v>35.0</v>
      </c>
      <c r="D370" s="120">
        <f>C370*'Giá NhậpXuất'!$C$4</f>
        <v>455000</v>
      </c>
      <c r="F370" s="4">
        <v>1.0</v>
      </c>
      <c r="G370" s="13">
        <f t="shared" ref="G370:G381" si="117">sum(J370:Q370)</f>
        <v>36</v>
      </c>
      <c r="H370" s="66">
        <f t="shared" ref="H370:H381" si="118">C370+F370-G370+T370</f>
        <v>6</v>
      </c>
      <c r="J370" s="115">
        <v>6.0</v>
      </c>
      <c r="K370" s="115"/>
      <c r="L370" s="115">
        <v>7.0</v>
      </c>
      <c r="M370" s="115">
        <v>7.0</v>
      </c>
      <c r="N370" s="115">
        <v>8.0</v>
      </c>
      <c r="O370" s="115">
        <v>7.0</v>
      </c>
      <c r="P370" s="4"/>
      <c r="Q370" s="4">
        <v>1.0</v>
      </c>
      <c r="R370" s="102" t="s">
        <v>4</v>
      </c>
      <c r="S370" s="103">
        <v>5.0</v>
      </c>
      <c r="T370" s="104">
        <f t="shared" ref="T370:T381" si="119">sum(U370:AA370)</f>
        <v>6</v>
      </c>
      <c r="U370" s="105">
        <v>1.0</v>
      </c>
      <c r="V370" s="103"/>
      <c r="X370" s="105">
        <v>1.0</v>
      </c>
      <c r="AA370" s="105">
        <v>4.0</v>
      </c>
    </row>
    <row r="371" ht="22.5" customHeight="1">
      <c r="A371" s="11">
        <v>46125.0</v>
      </c>
      <c r="B371" s="13" t="s">
        <v>5</v>
      </c>
      <c r="C371" s="4">
        <v>20.0</v>
      </c>
      <c r="D371" s="120">
        <f>C371*'Giá NhậpXuất'!$C$5</f>
        <v>260000</v>
      </c>
      <c r="F371" s="4">
        <v>0.0</v>
      </c>
      <c r="G371" s="13">
        <f t="shared" si="117"/>
        <v>20</v>
      </c>
      <c r="H371" s="66">
        <f t="shared" si="118"/>
        <v>5</v>
      </c>
      <c r="J371" s="4">
        <v>3.0</v>
      </c>
      <c r="L371" s="4">
        <v>5.0</v>
      </c>
      <c r="M371" s="4">
        <v>4.0</v>
      </c>
      <c r="N371" s="4">
        <v>4.0</v>
      </c>
      <c r="O371" s="4">
        <v>3.0</v>
      </c>
      <c r="P371" s="4"/>
      <c r="Q371" s="4">
        <v>1.0</v>
      </c>
      <c r="R371" s="102" t="s">
        <v>5</v>
      </c>
      <c r="S371" s="103">
        <v>1.0</v>
      </c>
      <c r="T371" s="104">
        <f t="shared" si="119"/>
        <v>5</v>
      </c>
      <c r="V371" s="103"/>
      <c r="X371" s="105">
        <v>4.0</v>
      </c>
      <c r="AA371" s="105">
        <v>1.0</v>
      </c>
    </row>
    <row r="372" ht="22.5" customHeight="1">
      <c r="A372" s="11">
        <v>46125.0</v>
      </c>
      <c r="B372" s="114" t="s">
        <v>6</v>
      </c>
      <c r="C372" s="115">
        <v>20.0</v>
      </c>
      <c r="D372" s="120">
        <f>C372*'Giá NhậpXuất'!$C$6</f>
        <v>260000</v>
      </c>
      <c r="F372" s="4">
        <v>0.0</v>
      </c>
      <c r="G372" s="13">
        <f t="shared" si="117"/>
        <v>18</v>
      </c>
      <c r="H372" s="66">
        <f t="shared" si="118"/>
        <v>4</v>
      </c>
      <c r="J372" s="115">
        <v>2.0</v>
      </c>
      <c r="K372" s="115"/>
      <c r="L372" s="115">
        <v>5.0</v>
      </c>
      <c r="M372" s="115">
        <v>4.0</v>
      </c>
      <c r="N372" s="115">
        <v>4.0</v>
      </c>
      <c r="O372" s="115">
        <v>3.0</v>
      </c>
      <c r="R372" s="102" t="s">
        <v>6</v>
      </c>
      <c r="S372" s="103">
        <v>2.0</v>
      </c>
      <c r="T372" s="104">
        <f t="shared" si="119"/>
        <v>2</v>
      </c>
      <c r="V372" s="103"/>
      <c r="X372" s="105">
        <v>2.0</v>
      </c>
    </row>
    <row r="373" ht="22.5" customHeight="1">
      <c r="A373" s="11">
        <v>46125.0</v>
      </c>
      <c r="B373" s="13" t="s">
        <v>7</v>
      </c>
      <c r="C373" s="4">
        <v>20.0</v>
      </c>
      <c r="D373" s="120">
        <f>C373*'Giá NhậpXuất'!$C$7</f>
        <v>260000</v>
      </c>
      <c r="F373" s="4">
        <v>0.0</v>
      </c>
      <c r="G373" s="13">
        <f t="shared" si="117"/>
        <v>20</v>
      </c>
      <c r="H373" s="66">
        <f t="shared" si="118"/>
        <v>3</v>
      </c>
      <c r="J373" s="4">
        <v>3.0</v>
      </c>
      <c r="L373" s="4">
        <v>4.0</v>
      </c>
      <c r="M373" s="4">
        <v>4.0</v>
      </c>
      <c r="N373" s="4">
        <v>4.0</v>
      </c>
      <c r="O373" s="4">
        <v>5.0</v>
      </c>
      <c r="R373" s="102" t="s">
        <v>7</v>
      </c>
      <c r="S373" s="103">
        <v>3.0</v>
      </c>
      <c r="T373" s="104">
        <f t="shared" si="119"/>
        <v>3</v>
      </c>
      <c r="V373" s="103"/>
      <c r="AA373" s="105">
        <v>3.0</v>
      </c>
    </row>
    <row r="374" ht="22.5" customHeight="1">
      <c r="A374" s="11">
        <v>46125.0</v>
      </c>
      <c r="B374" s="114" t="s">
        <v>8</v>
      </c>
      <c r="C374" s="115">
        <v>30.0</v>
      </c>
      <c r="D374" s="120">
        <f>C374*'Giá NhậpXuất'!$C$8</f>
        <v>390000</v>
      </c>
      <c r="F374" s="4">
        <v>0.0</v>
      </c>
      <c r="G374" s="13">
        <f t="shared" si="117"/>
        <v>25</v>
      </c>
      <c r="H374" s="66">
        <f t="shared" si="118"/>
        <v>7</v>
      </c>
      <c r="J374" s="115">
        <v>2.0</v>
      </c>
      <c r="K374" s="115"/>
      <c r="L374" s="115">
        <v>5.0</v>
      </c>
      <c r="M374" s="115">
        <v>5.0</v>
      </c>
      <c r="N374" s="115">
        <v>6.0</v>
      </c>
      <c r="O374" s="115">
        <v>4.0</v>
      </c>
      <c r="P374" s="4"/>
      <c r="Q374" s="4">
        <v>3.0</v>
      </c>
      <c r="R374" s="102" t="s">
        <v>8</v>
      </c>
      <c r="S374" s="103">
        <v>7.0</v>
      </c>
      <c r="T374" s="104">
        <f t="shared" si="119"/>
        <v>2</v>
      </c>
      <c r="V374" s="103"/>
      <c r="X374" s="105">
        <v>2.0</v>
      </c>
    </row>
    <row r="375" ht="22.5" customHeight="1">
      <c r="A375" s="11">
        <v>46125.0</v>
      </c>
      <c r="B375" s="13" t="s">
        <v>9</v>
      </c>
      <c r="C375" s="4">
        <v>35.0</v>
      </c>
      <c r="D375" s="120">
        <f>C375*'Giá NhậpXuất'!$C$9</f>
        <v>455000</v>
      </c>
      <c r="F375" s="4">
        <v>0.0</v>
      </c>
      <c r="G375" s="13">
        <f t="shared" si="117"/>
        <v>29</v>
      </c>
      <c r="H375" s="66">
        <f t="shared" si="118"/>
        <v>9</v>
      </c>
      <c r="J375" s="4">
        <v>5.0</v>
      </c>
      <c r="L375" s="4">
        <v>8.0</v>
      </c>
      <c r="M375" s="4">
        <v>5.0</v>
      </c>
      <c r="N375" s="4">
        <v>6.0</v>
      </c>
      <c r="O375" s="4">
        <v>5.0</v>
      </c>
      <c r="R375" s="102" t="s">
        <v>9</v>
      </c>
      <c r="S375" s="103">
        <v>9.0</v>
      </c>
      <c r="T375" s="104">
        <f t="shared" si="119"/>
        <v>3</v>
      </c>
      <c r="U375" s="105">
        <v>3.0</v>
      </c>
      <c r="V375" s="103"/>
    </row>
    <row r="376" ht="22.5" customHeight="1">
      <c r="A376" s="11">
        <v>46125.0</v>
      </c>
      <c r="B376" s="114" t="s">
        <v>10</v>
      </c>
      <c r="C376" s="115">
        <v>20.0</v>
      </c>
      <c r="D376" s="120">
        <f>C376*'Giá NhậpXuất'!$C$10</f>
        <v>260000</v>
      </c>
      <c r="F376" s="4">
        <v>4.0</v>
      </c>
      <c r="G376" s="13">
        <f t="shared" si="117"/>
        <v>16</v>
      </c>
      <c r="H376" s="66">
        <f t="shared" si="118"/>
        <v>13</v>
      </c>
      <c r="J376" s="115">
        <v>2.0</v>
      </c>
      <c r="K376" s="115"/>
      <c r="L376" s="115">
        <v>4.0</v>
      </c>
      <c r="M376" s="115">
        <v>3.0</v>
      </c>
      <c r="N376" s="115">
        <v>4.0</v>
      </c>
      <c r="O376" s="115">
        <v>3.0</v>
      </c>
      <c r="R376" s="102" t="s">
        <v>10</v>
      </c>
      <c r="S376" s="103">
        <v>8.0</v>
      </c>
      <c r="T376" s="104">
        <f t="shared" si="119"/>
        <v>5</v>
      </c>
      <c r="U376" s="105">
        <v>2.0</v>
      </c>
      <c r="V376" s="103"/>
      <c r="AA376" s="105">
        <v>3.0</v>
      </c>
    </row>
    <row r="377" ht="22.5" customHeight="1">
      <c r="A377" s="11">
        <v>46125.0</v>
      </c>
      <c r="B377" s="13" t="s">
        <v>11</v>
      </c>
      <c r="C377" s="4">
        <v>20.0</v>
      </c>
      <c r="D377" s="120">
        <f>C377*'Giá NhậpXuất'!$C$11</f>
        <v>260000</v>
      </c>
      <c r="F377" s="4">
        <v>2.0</v>
      </c>
      <c r="G377" s="13">
        <f t="shared" si="117"/>
        <v>18</v>
      </c>
      <c r="H377" s="66">
        <f t="shared" si="118"/>
        <v>10</v>
      </c>
      <c r="J377" s="4">
        <v>3.0</v>
      </c>
      <c r="L377" s="4">
        <v>5.0</v>
      </c>
      <c r="M377" s="4">
        <v>3.0</v>
      </c>
      <c r="N377" s="4">
        <v>4.0</v>
      </c>
      <c r="O377" s="4">
        <v>3.0</v>
      </c>
      <c r="R377" s="102" t="s">
        <v>11</v>
      </c>
      <c r="S377" s="103">
        <v>4.0</v>
      </c>
      <c r="T377" s="104">
        <f t="shared" si="119"/>
        <v>6</v>
      </c>
      <c r="U377" s="105">
        <v>3.0</v>
      </c>
      <c r="V377" s="103"/>
      <c r="X377" s="105">
        <v>2.0</v>
      </c>
      <c r="AA377" s="105">
        <v>1.0</v>
      </c>
    </row>
    <row r="378" ht="22.5" customHeight="1">
      <c r="A378" s="11">
        <v>46125.0</v>
      </c>
      <c r="B378" s="114" t="s">
        <v>12</v>
      </c>
      <c r="C378" s="115">
        <v>20.0</v>
      </c>
      <c r="D378" s="120">
        <f>C378*'Giá NhậpXuất'!$C$12</f>
        <v>260000</v>
      </c>
      <c r="F378" s="4">
        <v>1.0</v>
      </c>
      <c r="G378" s="13">
        <f t="shared" si="117"/>
        <v>19</v>
      </c>
      <c r="H378" s="66">
        <f t="shared" si="118"/>
        <v>6</v>
      </c>
      <c r="J378" s="115">
        <v>2.0</v>
      </c>
      <c r="K378" s="115"/>
      <c r="L378" s="115">
        <v>6.0</v>
      </c>
      <c r="M378" s="115">
        <v>4.0</v>
      </c>
      <c r="N378" s="115">
        <v>5.0</v>
      </c>
      <c r="O378" s="115">
        <v>2.0</v>
      </c>
      <c r="R378" s="102" t="s">
        <v>12</v>
      </c>
      <c r="S378" s="103">
        <v>2.0</v>
      </c>
      <c r="T378" s="104">
        <f t="shared" si="119"/>
        <v>4</v>
      </c>
      <c r="U378" s="105">
        <v>1.0</v>
      </c>
      <c r="V378" s="104"/>
      <c r="W378" s="105">
        <v>1.0</v>
      </c>
      <c r="X378" s="105">
        <v>2.0</v>
      </c>
    </row>
    <row r="379" ht="22.5" customHeight="1">
      <c r="A379" s="11">
        <v>46125.0</v>
      </c>
      <c r="B379" s="13" t="s">
        <v>13</v>
      </c>
      <c r="C379" s="4">
        <v>30.0</v>
      </c>
      <c r="D379" s="120">
        <f>C379*'Giá NhậpXuất'!$C$13</f>
        <v>390000</v>
      </c>
      <c r="F379" s="4">
        <v>0.0</v>
      </c>
      <c r="G379" s="13">
        <f t="shared" si="117"/>
        <v>21</v>
      </c>
      <c r="H379" s="66">
        <f t="shared" si="118"/>
        <v>12</v>
      </c>
      <c r="J379" s="4">
        <v>4.0</v>
      </c>
      <c r="L379" s="4">
        <v>5.0</v>
      </c>
      <c r="M379" s="4">
        <v>4.0</v>
      </c>
      <c r="N379" s="4">
        <v>5.0</v>
      </c>
      <c r="O379" s="4">
        <v>3.0</v>
      </c>
      <c r="R379" s="102" t="s">
        <v>13</v>
      </c>
      <c r="S379" s="103">
        <v>9.0</v>
      </c>
      <c r="T379" s="104">
        <f t="shared" si="119"/>
        <v>3</v>
      </c>
      <c r="U379" s="105">
        <v>3.0</v>
      </c>
      <c r="V379" s="103"/>
    </row>
    <row r="380" ht="22.5" customHeight="1">
      <c r="A380" s="11">
        <v>46125.0</v>
      </c>
      <c r="B380" s="114" t="s">
        <v>14</v>
      </c>
      <c r="C380" s="115">
        <v>15.0</v>
      </c>
      <c r="D380" s="120">
        <f>C380*'Giá NhậpXuất'!$C$14</f>
        <v>240000</v>
      </c>
      <c r="F380" s="4">
        <v>0.0</v>
      </c>
      <c r="G380" s="13">
        <f t="shared" si="117"/>
        <v>13</v>
      </c>
      <c r="H380" s="66">
        <f t="shared" si="118"/>
        <v>2</v>
      </c>
      <c r="J380" s="115">
        <v>1.0</v>
      </c>
      <c r="K380" s="115"/>
      <c r="L380" s="115">
        <v>3.0</v>
      </c>
      <c r="M380" s="115">
        <v>3.0</v>
      </c>
      <c r="N380" s="115">
        <v>3.0</v>
      </c>
      <c r="O380" s="115">
        <v>3.0</v>
      </c>
      <c r="R380" s="102" t="s">
        <v>14</v>
      </c>
      <c r="S380" s="103"/>
      <c r="T380" s="104">
        <f t="shared" si="119"/>
        <v>0</v>
      </c>
      <c r="V380" s="103"/>
    </row>
    <row r="381" ht="22.5" customHeight="1">
      <c r="A381" s="11">
        <v>46125.0</v>
      </c>
      <c r="B381" s="13" t="s">
        <v>15</v>
      </c>
      <c r="C381" s="4">
        <v>185.0</v>
      </c>
      <c r="D381" s="120">
        <f>C381*'Giá NhậpXuất'!$C$15</f>
        <v>2405000</v>
      </c>
      <c r="F381" s="4">
        <v>4.0</v>
      </c>
      <c r="G381" s="13">
        <f t="shared" si="117"/>
        <v>185</v>
      </c>
      <c r="H381" s="66">
        <f t="shared" si="118"/>
        <v>19</v>
      </c>
      <c r="J381" s="4">
        <v>30.0</v>
      </c>
      <c r="L381" s="4">
        <v>40.0</v>
      </c>
      <c r="M381" s="4">
        <v>40.0</v>
      </c>
      <c r="N381" s="4">
        <v>42.0</v>
      </c>
      <c r="O381" s="4">
        <v>25.0</v>
      </c>
      <c r="P381" s="4"/>
      <c r="Q381" s="4">
        <v>8.0</v>
      </c>
      <c r="R381" s="102" t="s">
        <v>15</v>
      </c>
      <c r="S381" s="103">
        <v>9.0</v>
      </c>
      <c r="T381" s="104">
        <f t="shared" si="119"/>
        <v>15</v>
      </c>
      <c r="U381" s="105">
        <v>15.0</v>
      </c>
      <c r="V381" s="103"/>
    </row>
    <row r="382" ht="22.5" customHeight="1">
      <c r="B382" s="4" t="s">
        <v>16</v>
      </c>
      <c r="C382" s="13">
        <f t="shared" ref="C382:D382" si="120">sum(C370:C381)</f>
        <v>450</v>
      </c>
      <c r="D382" s="6">
        <f t="shared" si="120"/>
        <v>5895000</v>
      </c>
      <c r="J382" s="97">
        <f t="shared" ref="J382:O382" si="121">sum(J370:J381)</f>
        <v>63</v>
      </c>
      <c r="K382" s="97">
        <f t="shared" si="121"/>
        <v>0</v>
      </c>
      <c r="L382" s="97">
        <f t="shared" si="121"/>
        <v>97</v>
      </c>
      <c r="M382" s="97">
        <f t="shared" si="121"/>
        <v>86</v>
      </c>
      <c r="N382" s="97">
        <f t="shared" si="121"/>
        <v>95</v>
      </c>
      <c r="O382" s="97">
        <f t="shared" si="121"/>
        <v>66</v>
      </c>
      <c r="P382" s="97"/>
      <c r="Q382" s="97">
        <f>sum(Q370:Q381)</f>
        <v>13</v>
      </c>
      <c r="R382" s="106"/>
      <c r="S382" s="109">
        <f>sum(Table16[Chưa Quay])</f>
        <v>59</v>
      </c>
      <c r="T382" s="109">
        <f>sum(Table16[Tổng Tồn])</f>
        <v>54</v>
      </c>
      <c r="U382" s="108">
        <f>sum(Table16[Tồn XL])</f>
        <v>28</v>
      </c>
      <c r="V382" s="109">
        <f>sum(Table16[Tồn XĐ sau])</f>
        <v>0</v>
      </c>
      <c r="W382" s="108">
        <f>sum(Table16[Tồn VTD])</f>
        <v>1</v>
      </c>
      <c r="X382" s="108">
        <f>sum(Table16[Tồn CN A])</f>
        <v>13</v>
      </c>
      <c r="Y382" s="108">
        <f>sum(Table16[Tồn CN B])</f>
        <v>0</v>
      </c>
      <c r="Z382" s="108">
        <f>sum(Table16[Tồn CN B])</f>
        <v>0</v>
      </c>
      <c r="AA382" s="108">
        <f>sum(Table16[Tồn ĐN])</f>
        <v>12</v>
      </c>
    </row>
    <row r="383">
      <c r="D383" s="6"/>
      <c r="J383" s="13">
        <f>J382-Table16[[#TOTALS],[Tồn XL]]</f>
        <v>35</v>
      </c>
      <c r="K383" s="66">
        <f>K382-Table14[[#TOTALS],[Tồn XĐ sau]]</f>
        <v>0</v>
      </c>
      <c r="L383" s="13">
        <f>L382-Table14[[#TOTALS],[Tồn VTD]]</f>
        <v>96</v>
      </c>
      <c r="M383" s="13">
        <f>M382-Table12[[#TOTALS],[Tồn CN A]]</f>
        <v>86</v>
      </c>
      <c r="N383" s="13">
        <f>N382-Table16[[#TOTALS],[Tồn CN B]]</f>
        <v>95</v>
      </c>
      <c r="O383" s="13">
        <f>O382-Table16[[#TOTALS],[Tồn ĐN]]</f>
        <v>54</v>
      </c>
    </row>
    <row r="384">
      <c r="D384" s="6"/>
      <c r="L384" s="4" t="s">
        <v>261</v>
      </c>
    </row>
    <row r="385">
      <c r="D385" s="6"/>
      <c r="H385" s="4" t="s">
        <v>88</v>
      </c>
      <c r="I385" s="62"/>
      <c r="J385" s="62" t="s">
        <v>114</v>
      </c>
    </row>
    <row r="386" ht="22.5" customHeight="1">
      <c r="D386" s="6"/>
      <c r="H386" s="4" t="s">
        <v>251</v>
      </c>
      <c r="I386" s="75" t="s">
        <v>253</v>
      </c>
      <c r="J386" s="4" t="s">
        <v>93</v>
      </c>
      <c r="K386" s="4" t="s">
        <v>227</v>
      </c>
      <c r="L386" s="4" t="s">
        <v>89</v>
      </c>
      <c r="M386" s="4" t="s">
        <v>80</v>
      </c>
      <c r="N386" s="4" t="s">
        <v>81</v>
      </c>
      <c r="O386" s="4" t="s">
        <v>232</v>
      </c>
      <c r="P386" s="4"/>
      <c r="Q386" s="4" t="s">
        <v>258</v>
      </c>
      <c r="R386" s="99" t="s">
        <v>236</v>
      </c>
      <c r="S386" s="100" t="s">
        <v>233</v>
      </c>
      <c r="T386" s="100" t="s">
        <v>234</v>
      </c>
      <c r="U386" s="100" t="s">
        <v>238</v>
      </c>
      <c r="V386" s="100" t="s">
        <v>231</v>
      </c>
      <c r="W386" s="100" t="s">
        <v>239</v>
      </c>
      <c r="X386" s="100" t="s">
        <v>246</v>
      </c>
      <c r="Y386" s="100" t="s">
        <v>247</v>
      </c>
      <c r="Z386" s="101" t="s">
        <v>256</v>
      </c>
      <c r="AA386" s="100" t="s">
        <v>248</v>
      </c>
    </row>
    <row r="387" ht="22.5" customHeight="1">
      <c r="A387" s="11">
        <v>46126.0</v>
      </c>
      <c r="B387" s="114" t="s">
        <v>4</v>
      </c>
      <c r="D387" s="6"/>
      <c r="H387" s="66">
        <f t="shared" ref="H387:H398" si="122">S370+T370</f>
        <v>11</v>
      </c>
      <c r="I387" s="119">
        <f t="shared" ref="I387:I398" si="123">H387-sum(J387:Q387)</f>
        <v>6</v>
      </c>
      <c r="L387" s="4">
        <v>3.0</v>
      </c>
      <c r="N387" s="67">
        <v>2.0</v>
      </c>
      <c r="R387" s="102" t="s">
        <v>4</v>
      </c>
      <c r="S387" s="103"/>
      <c r="T387" s="104">
        <f t="shared" ref="T387:T398" si="124">sum(U387:AA387)</f>
        <v>0</v>
      </c>
      <c r="V387" s="103"/>
    </row>
    <row r="388" ht="22.5" customHeight="1">
      <c r="A388" s="11">
        <v>46126.0</v>
      </c>
      <c r="B388" s="13" t="s">
        <v>5</v>
      </c>
      <c r="D388" s="6"/>
      <c r="H388" s="66">
        <f t="shared" si="122"/>
        <v>6</v>
      </c>
      <c r="I388" s="119">
        <f t="shared" si="123"/>
        <v>2</v>
      </c>
      <c r="L388" s="4">
        <v>2.0</v>
      </c>
      <c r="N388" s="67">
        <v>2.0</v>
      </c>
      <c r="O388" s="67"/>
      <c r="P388" s="121"/>
      <c r="Q388" s="121"/>
      <c r="R388" s="102" t="s">
        <v>5</v>
      </c>
      <c r="S388" s="103"/>
      <c r="T388" s="104">
        <f t="shared" si="124"/>
        <v>2</v>
      </c>
      <c r="V388" s="103"/>
      <c r="Y388" s="105">
        <v>2.0</v>
      </c>
    </row>
    <row r="389" ht="22.5" customHeight="1">
      <c r="A389" s="11">
        <v>46126.0</v>
      </c>
      <c r="B389" s="114" t="s">
        <v>6</v>
      </c>
      <c r="D389" s="6"/>
      <c r="H389" s="66">
        <f t="shared" si="122"/>
        <v>4</v>
      </c>
      <c r="I389" s="119">
        <f t="shared" si="123"/>
        <v>2</v>
      </c>
      <c r="N389" s="67">
        <v>2.0</v>
      </c>
      <c r="P389" s="121"/>
      <c r="Q389" s="121"/>
      <c r="R389" s="102" t="s">
        <v>6</v>
      </c>
      <c r="S389" s="103"/>
      <c r="T389" s="104">
        <f t="shared" si="124"/>
        <v>2</v>
      </c>
      <c r="V389" s="103"/>
      <c r="Y389" s="105">
        <v>2.0</v>
      </c>
    </row>
    <row r="390" ht="22.5" customHeight="1">
      <c r="A390" s="11">
        <v>46126.0</v>
      </c>
      <c r="B390" s="13" t="s">
        <v>7</v>
      </c>
      <c r="D390" s="6"/>
      <c r="H390" s="66">
        <f t="shared" si="122"/>
        <v>6</v>
      </c>
      <c r="I390" s="119">
        <f t="shared" si="123"/>
        <v>2</v>
      </c>
      <c r="L390" s="4">
        <v>2.0</v>
      </c>
      <c r="N390" s="67">
        <v>2.0</v>
      </c>
      <c r="O390" s="67"/>
      <c r="P390" s="121"/>
      <c r="Q390" s="121"/>
      <c r="R390" s="102" t="s">
        <v>7</v>
      </c>
      <c r="S390" s="103">
        <v>1.0</v>
      </c>
      <c r="T390" s="104">
        <f t="shared" si="124"/>
        <v>0</v>
      </c>
      <c r="V390" s="103"/>
    </row>
    <row r="391" ht="22.5" customHeight="1">
      <c r="A391" s="11">
        <v>46126.0</v>
      </c>
      <c r="B391" s="114" t="s">
        <v>8</v>
      </c>
      <c r="D391" s="6"/>
      <c r="H391" s="66">
        <f t="shared" si="122"/>
        <v>9</v>
      </c>
      <c r="I391" s="119">
        <f t="shared" si="123"/>
        <v>9</v>
      </c>
      <c r="N391" s="67"/>
      <c r="O391" s="67"/>
      <c r="P391" s="121"/>
      <c r="Q391" s="121"/>
      <c r="R391" s="102" t="s">
        <v>8</v>
      </c>
      <c r="S391" s="103"/>
      <c r="T391" s="104">
        <f t="shared" si="124"/>
        <v>0</v>
      </c>
      <c r="V391" s="103"/>
    </row>
    <row r="392" ht="22.5" customHeight="1">
      <c r="A392" s="11">
        <v>46126.0</v>
      </c>
      <c r="B392" s="13" t="s">
        <v>9</v>
      </c>
      <c r="D392" s="6"/>
      <c r="H392" s="66">
        <f t="shared" si="122"/>
        <v>12</v>
      </c>
      <c r="I392" s="119">
        <f t="shared" si="123"/>
        <v>7</v>
      </c>
      <c r="L392" s="4">
        <v>2.0</v>
      </c>
      <c r="N392" s="67">
        <v>3.0</v>
      </c>
      <c r="O392" s="67"/>
      <c r="P392" s="121"/>
      <c r="Q392" s="121"/>
      <c r="R392" s="102" t="s">
        <v>9</v>
      </c>
      <c r="S392" s="103"/>
      <c r="T392" s="104">
        <f t="shared" si="124"/>
        <v>0</v>
      </c>
      <c r="V392" s="103"/>
    </row>
    <row r="393" ht="22.5" customHeight="1">
      <c r="A393" s="11">
        <v>46126.0</v>
      </c>
      <c r="B393" s="114" t="s">
        <v>10</v>
      </c>
      <c r="D393" s="6"/>
      <c r="H393" s="66">
        <f t="shared" si="122"/>
        <v>13</v>
      </c>
      <c r="I393" s="119">
        <f t="shared" si="123"/>
        <v>7</v>
      </c>
      <c r="L393" s="4">
        <v>3.0</v>
      </c>
      <c r="N393" s="4">
        <v>3.0</v>
      </c>
      <c r="O393" s="67"/>
      <c r="P393" s="121"/>
      <c r="Q393" s="121"/>
      <c r="R393" s="102" t="s">
        <v>10</v>
      </c>
      <c r="S393" s="103"/>
      <c r="T393" s="104">
        <f t="shared" si="124"/>
        <v>2</v>
      </c>
      <c r="V393" s="103"/>
      <c r="Y393" s="105">
        <v>2.0</v>
      </c>
    </row>
    <row r="394" ht="22.5" customHeight="1">
      <c r="A394" s="11">
        <v>46126.0</v>
      </c>
      <c r="B394" s="13" t="s">
        <v>11</v>
      </c>
      <c r="D394" s="6"/>
      <c r="H394" s="66">
        <f t="shared" si="122"/>
        <v>10</v>
      </c>
      <c r="I394" s="119">
        <f t="shared" si="123"/>
        <v>5</v>
      </c>
      <c r="L394" s="4">
        <v>3.0</v>
      </c>
      <c r="N394" s="67">
        <v>2.0</v>
      </c>
      <c r="O394" s="67"/>
      <c r="P394" s="121"/>
      <c r="Q394" s="121"/>
      <c r="R394" s="102" t="s">
        <v>11</v>
      </c>
      <c r="S394" s="103"/>
      <c r="T394" s="104">
        <f t="shared" si="124"/>
        <v>1</v>
      </c>
      <c r="V394" s="103"/>
      <c r="Y394" s="105">
        <v>1.0</v>
      </c>
    </row>
    <row r="395" ht="22.5" customHeight="1">
      <c r="A395" s="11">
        <v>46126.0</v>
      </c>
      <c r="B395" s="114" t="s">
        <v>12</v>
      </c>
      <c r="D395" s="6"/>
      <c r="H395" s="66">
        <f t="shared" si="122"/>
        <v>6</v>
      </c>
      <c r="I395" s="119">
        <f t="shared" si="123"/>
        <v>1</v>
      </c>
      <c r="L395" s="4">
        <v>3.0</v>
      </c>
      <c r="N395" s="67">
        <v>2.0</v>
      </c>
      <c r="O395" s="66"/>
      <c r="P395" s="122"/>
      <c r="Q395" s="122"/>
      <c r="R395" s="102" t="s">
        <v>12</v>
      </c>
      <c r="S395" s="103">
        <v>1.0</v>
      </c>
      <c r="T395" s="104">
        <f t="shared" si="124"/>
        <v>1</v>
      </c>
      <c r="V395" s="104"/>
      <c r="Y395" s="105">
        <v>1.0</v>
      </c>
    </row>
    <row r="396" ht="22.5" customHeight="1">
      <c r="A396" s="11">
        <v>46126.0</v>
      </c>
      <c r="B396" s="13" t="s">
        <v>13</v>
      </c>
      <c r="D396" s="6"/>
      <c r="H396" s="66">
        <f t="shared" si="122"/>
        <v>12</v>
      </c>
      <c r="I396" s="119">
        <f t="shared" si="123"/>
        <v>6</v>
      </c>
      <c r="L396" s="4">
        <v>3.0</v>
      </c>
      <c r="M396" s="67"/>
      <c r="N396" s="4">
        <v>3.0</v>
      </c>
      <c r="O396" s="67"/>
      <c r="P396" s="123"/>
      <c r="Q396" s="123"/>
      <c r="R396" s="102" t="s">
        <v>13</v>
      </c>
      <c r="S396" s="103"/>
      <c r="T396" s="104">
        <f t="shared" si="124"/>
        <v>2</v>
      </c>
      <c r="V396" s="103"/>
      <c r="Y396" s="105">
        <v>2.0</v>
      </c>
    </row>
    <row r="397" ht="22.5" customHeight="1">
      <c r="A397" s="11">
        <v>46126.0</v>
      </c>
      <c r="B397" s="114" t="s">
        <v>14</v>
      </c>
      <c r="D397" s="6"/>
      <c r="H397" s="66">
        <f t="shared" si="122"/>
        <v>0</v>
      </c>
      <c r="I397" s="119">
        <f t="shared" si="123"/>
        <v>0</v>
      </c>
      <c r="M397" s="67"/>
      <c r="O397" s="67"/>
      <c r="P397" s="123"/>
      <c r="Q397" s="123"/>
      <c r="R397" s="102" t="s">
        <v>14</v>
      </c>
      <c r="S397" s="103">
        <v>1.0</v>
      </c>
      <c r="T397" s="104">
        <f t="shared" si="124"/>
        <v>0</v>
      </c>
      <c r="V397" s="103"/>
    </row>
    <row r="398" ht="22.5" customHeight="1">
      <c r="A398" s="11">
        <v>46126.0</v>
      </c>
      <c r="B398" s="13" t="s">
        <v>15</v>
      </c>
      <c r="D398" s="6"/>
      <c r="H398" s="66">
        <f t="shared" si="122"/>
        <v>24</v>
      </c>
      <c r="I398" s="119">
        <f t="shared" si="123"/>
        <v>0</v>
      </c>
      <c r="L398" s="4">
        <v>12.0</v>
      </c>
      <c r="N398" s="67">
        <v>12.0</v>
      </c>
      <c r="O398" s="67"/>
      <c r="P398" s="123"/>
      <c r="Q398" s="123"/>
      <c r="R398" s="102" t="s">
        <v>15</v>
      </c>
      <c r="S398" s="103"/>
      <c r="T398" s="104">
        <f t="shared" si="124"/>
        <v>4</v>
      </c>
      <c r="V398" s="103"/>
      <c r="Y398" s="105">
        <v>4.0</v>
      </c>
    </row>
    <row r="399" ht="22.5" customHeight="1">
      <c r="D399" s="6"/>
      <c r="I399" s="66">
        <f t="shared" ref="I399:O399" si="125">sum(I387:I398)</f>
        <v>47</v>
      </c>
      <c r="J399" s="97">
        <f t="shared" si="125"/>
        <v>0</v>
      </c>
      <c r="K399" s="97">
        <f t="shared" si="125"/>
        <v>0</v>
      </c>
      <c r="L399" s="97">
        <f t="shared" si="125"/>
        <v>33</v>
      </c>
      <c r="M399" s="97">
        <f t="shared" si="125"/>
        <v>0</v>
      </c>
      <c r="N399" s="118">
        <f t="shared" si="125"/>
        <v>33</v>
      </c>
      <c r="O399" s="97">
        <f t="shared" si="125"/>
        <v>0</v>
      </c>
      <c r="R399" s="106"/>
      <c r="S399" s="109">
        <f>sum(Table17[Chưa Quay])</f>
        <v>3</v>
      </c>
      <c r="T399" s="109">
        <f>sum(Table17[Tổng Tồn])</f>
        <v>14</v>
      </c>
      <c r="U399" s="108">
        <f>sum(Table17[Tồn XL])</f>
        <v>0</v>
      </c>
      <c r="V399" s="109">
        <f>sum(Table17[Tồn XĐ sau])</f>
        <v>0</v>
      </c>
      <c r="W399" s="108">
        <f>sum(Table17[Tồn VTD])</f>
        <v>0</v>
      </c>
      <c r="X399" s="108">
        <f>sum(Table17[Tồn CN A])</f>
        <v>0</v>
      </c>
      <c r="Y399" s="108">
        <f>sum(Table17[Tồn CN B])</f>
        <v>14</v>
      </c>
      <c r="Z399" s="108">
        <f>sum(Table17[Tồn CN B])</f>
        <v>14</v>
      </c>
      <c r="AA399" s="108">
        <f>sum(Table17[Tồn ĐN])</f>
        <v>0</v>
      </c>
    </row>
    <row r="400">
      <c r="C400" s="4"/>
      <c r="D400" s="6"/>
    </row>
    <row r="401" ht="22.5" customHeight="1">
      <c r="C401" s="4" t="s">
        <v>250</v>
      </c>
      <c r="D401" s="6"/>
      <c r="F401" s="4" t="s">
        <v>251</v>
      </c>
      <c r="G401" s="4" t="s">
        <v>252</v>
      </c>
      <c r="H401" s="4" t="s">
        <v>245</v>
      </c>
      <c r="J401" s="4" t="s">
        <v>93</v>
      </c>
      <c r="K401" s="4" t="s">
        <v>227</v>
      </c>
      <c r="L401" s="110" t="s">
        <v>89</v>
      </c>
      <c r="M401" s="4" t="s">
        <v>80</v>
      </c>
      <c r="N401" s="4" t="s">
        <v>254</v>
      </c>
      <c r="O401" s="4" t="s">
        <v>232</v>
      </c>
      <c r="P401" s="4"/>
      <c r="Q401" s="4" t="s">
        <v>260</v>
      </c>
      <c r="R401" s="99" t="s">
        <v>236</v>
      </c>
      <c r="S401" s="100" t="s">
        <v>233</v>
      </c>
      <c r="T401" s="100" t="s">
        <v>234</v>
      </c>
      <c r="U401" s="100" t="s">
        <v>238</v>
      </c>
      <c r="V401" s="100" t="s">
        <v>231</v>
      </c>
      <c r="W401" s="100" t="s">
        <v>239</v>
      </c>
      <c r="X401" s="100" t="s">
        <v>246</v>
      </c>
      <c r="Y401" s="100" t="s">
        <v>247</v>
      </c>
      <c r="Z401" s="101" t="s">
        <v>256</v>
      </c>
      <c r="AA401" s="100" t="s">
        <v>248</v>
      </c>
    </row>
    <row r="402" ht="22.5" customHeight="1">
      <c r="A402" s="11">
        <v>46126.0</v>
      </c>
      <c r="B402" s="114" t="s">
        <v>4</v>
      </c>
      <c r="C402" s="115">
        <v>50.0</v>
      </c>
      <c r="D402" s="6"/>
      <c r="F402" s="67">
        <f t="shared" ref="F402:F413" si="126">S387+T387</f>
        <v>0</v>
      </c>
      <c r="G402" s="13">
        <f t="shared" ref="G402:G413" si="127">sum(J402:Q402)</f>
        <v>41</v>
      </c>
      <c r="H402" s="66">
        <f t="shared" ref="H402:H413" si="128">C402+F402-G402+T402</f>
        <v>10</v>
      </c>
      <c r="J402" s="115">
        <v>6.0</v>
      </c>
      <c r="K402" s="115">
        <v>3.0</v>
      </c>
      <c r="L402" s="115">
        <v>9.0</v>
      </c>
      <c r="M402" s="115">
        <v>7.0</v>
      </c>
      <c r="N402" s="115">
        <v>9.0</v>
      </c>
      <c r="O402" s="115">
        <v>7.0</v>
      </c>
      <c r="R402" s="102" t="s">
        <v>4</v>
      </c>
      <c r="S402" s="103">
        <v>22.0</v>
      </c>
      <c r="T402" s="104">
        <f t="shared" ref="T402:T413" si="129">sum(U402:AA402)</f>
        <v>1</v>
      </c>
      <c r="V402" s="103">
        <v>1.0</v>
      </c>
    </row>
    <row r="403" ht="22.5" customHeight="1">
      <c r="A403" s="11">
        <v>46126.0</v>
      </c>
      <c r="B403" s="13" t="s">
        <v>5</v>
      </c>
      <c r="C403" s="4">
        <v>25.0</v>
      </c>
      <c r="D403" s="6"/>
      <c r="F403" s="67">
        <f t="shared" si="126"/>
        <v>2</v>
      </c>
      <c r="G403" s="13">
        <f t="shared" si="127"/>
        <v>24</v>
      </c>
      <c r="H403" s="66">
        <f t="shared" si="128"/>
        <v>7</v>
      </c>
      <c r="J403" s="4">
        <v>4.0</v>
      </c>
      <c r="K403" s="4">
        <v>2.0</v>
      </c>
      <c r="L403" s="4">
        <v>5.0</v>
      </c>
      <c r="M403" s="4">
        <v>4.0</v>
      </c>
      <c r="N403" s="4">
        <v>5.0</v>
      </c>
      <c r="O403" s="4">
        <v>4.0</v>
      </c>
      <c r="R403" s="102" t="s">
        <v>5</v>
      </c>
      <c r="S403" s="103">
        <v>3.0</v>
      </c>
      <c r="T403" s="104">
        <f t="shared" si="129"/>
        <v>4</v>
      </c>
      <c r="U403" s="105">
        <v>2.0</v>
      </c>
      <c r="V403" s="103">
        <v>2.0</v>
      </c>
    </row>
    <row r="404" ht="22.5" customHeight="1">
      <c r="A404" s="11">
        <v>46126.0</v>
      </c>
      <c r="B404" s="114" t="s">
        <v>6</v>
      </c>
      <c r="C404" s="115">
        <v>15.0</v>
      </c>
      <c r="D404" s="6"/>
      <c r="F404" s="67">
        <f t="shared" si="126"/>
        <v>2</v>
      </c>
      <c r="G404" s="13">
        <f t="shared" si="127"/>
        <v>17</v>
      </c>
      <c r="H404" s="66">
        <f t="shared" si="128"/>
        <v>0</v>
      </c>
      <c r="J404" s="115">
        <v>1.0</v>
      </c>
      <c r="K404" s="115"/>
      <c r="L404" s="115">
        <v>5.0</v>
      </c>
      <c r="M404" s="115">
        <v>4.0</v>
      </c>
      <c r="N404" s="115">
        <v>5.0</v>
      </c>
      <c r="O404" s="115">
        <v>2.0</v>
      </c>
      <c r="R404" s="102" t="s">
        <v>6</v>
      </c>
      <c r="S404" s="103">
        <v>2.0</v>
      </c>
      <c r="T404" s="104">
        <f t="shared" si="129"/>
        <v>0</v>
      </c>
      <c r="V404" s="103"/>
    </row>
    <row r="405" ht="22.5" customHeight="1">
      <c r="A405" s="11">
        <v>46126.0</v>
      </c>
      <c r="B405" s="13" t="s">
        <v>7</v>
      </c>
      <c r="C405" s="4">
        <v>15.0</v>
      </c>
      <c r="D405" s="6"/>
      <c r="F405" s="67">
        <f t="shared" si="126"/>
        <v>1</v>
      </c>
      <c r="G405" s="13">
        <f t="shared" si="127"/>
        <v>1</v>
      </c>
      <c r="H405" s="66">
        <f t="shared" si="128"/>
        <v>15</v>
      </c>
      <c r="L405" s="4">
        <v>1.0</v>
      </c>
      <c r="R405" s="102" t="s">
        <v>7</v>
      </c>
      <c r="S405" s="103"/>
      <c r="T405" s="104">
        <f t="shared" si="129"/>
        <v>0</v>
      </c>
      <c r="V405" s="103"/>
    </row>
    <row r="406" ht="22.5" customHeight="1">
      <c r="A406" s="11">
        <v>46126.0</v>
      </c>
      <c r="B406" s="114" t="s">
        <v>8</v>
      </c>
      <c r="C406" s="115"/>
      <c r="D406" s="6"/>
      <c r="F406" s="67">
        <f t="shared" si="126"/>
        <v>0</v>
      </c>
      <c r="G406" s="13">
        <f t="shared" si="127"/>
        <v>0</v>
      </c>
      <c r="H406" s="66">
        <f t="shared" si="128"/>
        <v>0</v>
      </c>
      <c r="J406" s="115"/>
      <c r="K406" s="115"/>
      <c r="L406" s="115"/>
      <c r="M406" s="115"/>
      <c r="N406" s="115"/>
      <c r="O406" s="115"/>
      <c r="R406" s="102" t="s">
        <v>8</v>
      </c>
      <c r="S406" s="103"/>
      <c r="T406" s="104">
        <f t="shared" si="129"/>
        <v>0</v>
      </c>
      <c r="V406" s="103"/>
    </row>
    <row r="407" ht="22.5" customHeight="1">
      <c r="A407" s="11">
        <v>46126.0</v>
      </c>
      <c r="B407" s="13" t="s">
        <v>9</v>
      </c>
      <c r="C407" s="4">
        <v>50.0</v>
      </c>
      <c r="D407" s="6"/>
      <c r="F407" s="67">
        <f t="shared" si="126"/>
        <v>0</v>
      </c>
      <c r="G407" s="13">
        <f t="shared" si="127"/>
        <v>32</v>
      </c>
      <c r="H407" s="66">
        <f t="shared" si="128"/>
        <v>22</v>
      </c>
      <c r="J407" s="4">
        <v>5.0</v>
      </c>
      <c r="K407" s="4">
        <v>3.0</v>
      </c>
      <c r="L407" s="4">
        <v>7.0</v>
      </c>
      <c r="M407" s="4">
        <v>5.0</v>
      </c>
      <c r="N407" s="4">
        <v>7.0</v>
      </c>
      <c r="O407" s="4">
        <v>5.0</v>
      </c>
      <c r="R407" s="102" t="s">
        <v>9</v>
      </c>
      <c r="S407" s="103">
        <v>25.0</v>
      </c>
      <c r="T407" s="104">
        <f t="shared" si="129"/>
        <v>4</v>
      </c>
      <c r="U407" s="105">
        <v>2.0</v>
      </c>
      <c r="V407" s="103">
        <v>2.0</v>
      </c>
    </row>
    <row r="408" ht="22.5" customHeight="1">
      <c r="A408" s="11">
        <v>46126.0</v>
      </c>
      <c r="B408" s="114" t="s">
        <v>10</v>
      </c>
      <c r="C408" s="115">
        <v>25.0</v>
      </c>
      <c r="D408" s="6"/>
      <c r="F408" s="67">
        <f t="shared" si="126"/>
        <v>2</v>
      </c>
      <c r="G408" s="13">
        <f t="shared" si="127"/>
        <v>24</v>
      </c>
      <c r="H408" s="66">
        <f t="shared" si="128"/>
        <v>5</v>
      </c>
      <c r="J408" s="115">
        <v>3.0</v>
      </c>
      <c r="K408" s="115">
        <v>3.0</v>
      </c>
      <c r="L408" s="115">
        <v>5.0</v>
      </c>
      <c r="M408" s="115">
        <v>3.0</v>
      </c>
      <c r="N408" s="115">
        <v>6.0</v>
      </c>
      <c r="O408" s="115">
        <v>4.0</v>
      </c>
      <c r="R408" s="102" t="s">
        <v>10</v>
      </c>
      <c r="S408" s="103">
        <v>7.0</v>
      </c>
      <c r="T408" s="104">
        <f t="shared" si="129"/>
        <v>2</v>
      </c>
      <c r="U408" s="105">
        <v>1.0</v>
      </c>
      <c r="V408" s="103">
        <v>1.0</v>
      </c>
    </row>
    <row r="409" ht="22.5" customHeight="1">
      <c r="A409" s="11">
        <v>46126.0</v>
      </c>
      <c r="B409" s="13" t="s">
        <v>11</v>
      </c>
      <c r="C409" s="4">
        <v>25.0</v>
      </c>
      <c r="D409" s="6"/>
      <c r="F409" s="67">
        <f t="shared" si="126"/>
        <v>1</v>
      </c>
      <c r="G409" s="13">
        <f t="shared" si="127"/>
        <v>19</v>
      </c>
      <c r="H409" s="66">
        <f t="shared" si="128"/>
        <v>8</v>
      </c>
      <c r="J409" s="4">
        <v>2.0</v>
      </c>
      <c r="K409" s="4">
        <v>2.0</v>
      </c>
      <c r="L409" s="4">
        <v>5.0</v>
      </c>
      <c r="M409" s="4">
        <v>3.0</v>
      </c>
      <c r="N409" s="4">
        <v>4.0</v>
      </c>
      <c r="O409" s="4">
        <v>3.0</v>
      </c>
      <c r="R409" s="102" t="s">
        <v>11</v>
      </c>
      <c r="S409" s="103">
        <v>6.0</v>
      </c>
      <c r="T409" s="104">
        <f t="shared" si="129"/>
        <v>1</v>
      </c>
      <c r="V409" s="103">
        <v>1.0</v>
      </c>
    </row>
    <row r="410" ht="22.5" customHeight="1">
      <c r="A410" s="11">
        <v>46126.0</v>
      </c>
      <c r="B410" s="114" t="s">
        <v>12</v>
      </c>
      <c r="C410" s="115">
        <v>20.0</v>
      </c>
      <c r="D410" s="6"/>
      <c r="F410" s="67">
        <f t="shared" si="126"/>
        <v>2</v>
      </c>
      <c r="G410" s="13">
        <f t="shared" si="127"/>
        <v>12</v>
      </c>
      <c r="H410" s="66">
        <f t="shared" si="128"/>
        <v>12</v>
      </c>
      <c r="J410" s="115"/>
      <c r="K410" s="115"/>
      <c r="L410" s="115">
        <v>6.0</v>
      </c>
      <c r="M410" s="115">
        <v>3.0</v>
      </c>
      <c r="N410" s="115">
        <v>3.0</v>
      </c>
      <c r="O410" s="115"/>
      <c r="R410" s="102" t="s">
        <v>12</v>
      </c>
      <c r="S410" s="103">
        <v>10.0</v>
      </c>
      <c r="T410" s="104">
        <f t="shared" si="129"/>
        <v>2</v>
      </c>
      <c r="V410" s="104"/>
      <c r="W410" s="105">
        <v>2.0</v>
      </c>
    </row>
    <row r="411" ht="22.5" customHeight="1">
      <c r="A411" s="11">
        <v>46126.0</v>
      </c>
      <c r="B411" s="13" t="s">
        <v>13</v>
      </c>
      <c r="C411" s="4">
        <v>30.0</v>
      </c>
      <c r="D411" s="6"/>
      <c r="F411" s="67">
        <f t="shared" si="126"/>
        <v>2</v>
      </c>
      <c r="G411" s="13">
        <f t="shared" si="127"/>
        <v>24</v>
      </c>
      <c r="H411" s="66">
        <f t="shared" si="128"/>
        <v>10</v>
      </c>
      <c r="J411" s="4">
        <v>4.0</v>
      </c>
      <c r="K411" s="4">
        <v>3.0</v>
      </c>
      <c r="L411" s="4">
        <v>5.0</v>
      </c>
      <c r="M411" s="4">
        <v>4.0</v>
      </c>
      <c r="N411" s="4">
        <v>5.0</v>
      </c>
      <c r="O411" s="4">
        <v>3.0</v>
      </c>
      <c r="R411" s="102" t="s">
        <v>13</v>
      </c>
      <c r="S411" s="103">
        <v>12.0</v>
      </c>
      <c r="T411" s="104">
        <f t="shared" si="129"/>
        <v>2</v>
      </c>
      <c r="V411" s="103">
        <v>1.0</v>
      </c>
      <c r="W411" s="105">
        <v>1.0</v>
      </c>
    </row>
    <row r="412" ht="22.5" customHeight="1">
      <c r="A412" s="11">
        <v>46126.0</v>
      </c>
      <c r="B412" s="114" t="s">
        <v>14</v>
      </c>
      <c r="C412" s="115">
        <v>20.0</v>
      </c>
      <c r="D412" s="6"/>
      <c r="F412" s="67">
        <f t="shared" si="126"/>
        <v>1</v>
      </c>
      <c r="G412" s="13">
        <f t="shared" si="127"/>
        <v>18</v>
      </c>
      <c r="H412" s="66">
        <f t="shared" si="128"/>
        <v>3</v>
      </c>
      <c r="J412" s="115">
        <v>2.0</v>
      </c>
      <c r="K412" s="115"/>
      <c r="L412" s="115">
        <v>5.0</v>
      </c>
      <c r="M412" s="115">
        <v>3.0</v>
      </c>
      <c r="N412" s="115">
        <v>5.0</v>
      </c>
      <c r="O412" s="115">
        <v>3.0</v>
      </c>
      <c r="R412" s="102" t="s">
        <v>14</v>
      </c>
      <c r="S412" s="103"/>
      <c r="T412" s="104">
        <f t="shared" si="129"/>
        <v>0</v>
      </c>
      <c r="V412" s="103"/>
    </row>
    <row r="413" ht="22.5" customHeight="1">
      <c r="A413" s="11">
        <v>46126.0</v>
      </c>
      <c r="B413" s="13" t="s">
        <v>15</v>
      </c>
      <c r="C413" s="4">
        <v>240.0</v>
      </c>
      <c r="D413" s="6"/>
      <c r="F413" s="67">
        <f t="shared" si="126"/>
        <v>4</v>
      </c>
      <c r="G413" s="13">
        <f t="shared" si="127"/>
        <v>233</v>
      </c>
      <c r="H413" s="66">
        <f t="shared" si="128"/>
        <v>26</v>
      </c>
      <c r="J413" s="4">
        <v>30.0</v>
      </c>
      <c r="K413" s="4">
        <v>28.0</v>
      </c>
      <c r="L413" s="4">
        <v>50.0</v>
      </c>
      <c r="M413" s="4">
        <v>45.0</v>
      </c>
      <c r="N413" s="4">
        <v>50.0</v>
      </c>
      <c r="O413" s="4">
        <v>30.0</v>
      </c>
      <c r="R413" s="102" t="s">
        <v>15</v>
      </c>
      <c r="S413" s="103">
        <v>20.0</v>
      </c>
      <c r="T413" s="104">
        <f t="shared" si="129"/>
        <v>15</v>
      </c>
      <c r="U413" s="105">
        <v>4.0</v>
      </c>
      <c r="V413" s="103">
        <v>11.0</v>
      </c>
    </row>
    <row r="414" ht="22.5" customHeight="1">
      <c r="B414" s="4" t="s">
        <v>16</v>
      </c>
      <c r="C414" s="13">
        <f>sum(C402:C413)</f>
        <v>515</v>
      </c>
      <c r="D414" s="6"/>
      <c r="J414" s="97">
        <f t="shared" ref="J414:O414" si="130">sum(J402:J413)</f>
        <v>57</v>
      </c>
      <c r="K414" s="97">
        <f t="shared" si="130"/>
        <v>44</v>
      </c>
      <c r="L414" s="97">
        <f t="shared" si="130"/>
        <v>103</v>
      </c>
      <c r="M414" s="97">
        <f t="shared" si="130"/>
        <v>81</v>
      </c>
      <c r="N414" s="97">
        <f t="shared" si="130"/>
        <v>99</v>
      </c>
      <c r="O414" s="97">
        <f t="shared" si="130"/>
        <v>61</v>
      </c>
      <c r="P414" s="97"/>
      <c r="Q414" s="97">
        <f>sum(Q402:Q413)</f>
        <v>0</v>
      </c>
      <c r="R414" s="106"/>
      <c r="S414" s="109">
        <f>sum(Table18[Chưa Quay])</f>
        <v>107</v>
      </c>
      <c r="T414" s="109">
        <f>sum(Table18[Tổng Tồn])</f>
        <v>31</v>
      </c>
      <c r="U414" s="108">
        <f>sum(Table18[Tồn XL])</f>
        <v>9</v>
      </c>
      <c r="V414" s="109">
        <f>sum(Table18[Tồn XĐ sau])</f>
        <v>19</v>
      </c>
      <c r="W414" s="125" t="s">
        <v>262</v>
      </c>
      <c r="X414" s="108">
        <f>sum(Table18[Tồn CN A])</f>
        <v>0</v>
      </c>
      <c r="Y414" s="108">
        <f>sum(Table18[Tồn CN B])</f>
        <v>0</v>
      </c>
      <c r="Z414" s="108">
        <f>sum(Table18[Tồn CN B])</f>
        <v>0</v>
      </c>
      <c r="AA414" s="108">
        <f>sum(Table18[Tồn ĐN])</f>
        <v>0</v>
      </c>
    </row>
    <row r="415">
      <c r="D415" s="6"/>
      <c r="J415" s="13">
        <f>J414-Table18[[#TOTALS],[Tồn XL]]</f>
        <v>48</v>
      </c>
      <c r="K415" s="66">
        <f>K414-Table18[[#TOTALS],[Tồn XĐ sau]]</f>
        <v>25</v>
      </c>
      <c r="L415" s="13">
        <f>L414-Table18[[#TOTALS],[Tồn VTD]]</f>
        <v>96</v>
      </c>
      <c r="M415" s="13">
        <f>M414-Table18[[#TOTALS],[Tồn CN A]]</f>
        <v>81</v>
      </c>
      <c r="N415" s="13">
        <f>N414-Table18[[#TOTALS],[Tồn CN B]]</f>
        <v>99</v>
      </c>
      <c r="O415" s="13">
        <f>O414-Table18[[#TOTALS],[Tồn ĐN]]</f>
        <v>61</v>
      </c>
      <c r="W415" s="126" t="s">
        <v>263</v>
      </c>
    </row>
    <row r="416">
      <c r="D416" s="6"/>
      <c r="L416" s="70"/>
      <c r="W416" s="4"/>
    </row>
    <row r="417">
      <c r="D417" s="6"/>
      <c r="I417" s="62" t="s">
        <v>114</v>
      </c>
    </row>
    <row r="418" ht="22.5" customHeight="1">
      <c r="D418" s="6"/>
      <c r="H418" s="4" t="s">
        <v>251</v>
      </c>
      <c r="I418" s="75" t="s">
        <v>253</v>
      </c>
      <c r="J418" s="4" t="s">
        <v>93</v>
      </c>
      <c r="K418" s="4" t="s">
        <v>227</v>
      </c>
      <c r="L418" s="4" t="s">
        <v>89</v>
      </c>
      <c r="M418" s="4" t="s">
        <v>80</v>
      </c>
      <c r="N418" s="4" t="s">
        <v>81</v>
      </c>
      <c r="O418" s="4" t="s">
        <v>232</v>
      </c>
      <c r="P418" s="4" t="s">
        <v>264</v>
      </c>
      <c r="Q418" s="4" t="s">
        <v>265</v>
      </c>
      <c r="R418" s="99" t="s">
        <v>236</v>
      </c>
      <c r="S418" s="100" t="s">
        <v>233</v>
      </c>
      <c r="T418" s="100" t="s">
        <v>234</v>
      </c>
      <c r="U418" s="100" t="s">
        <v>238</v>
      </c>
      <c r="V418" s="100" t="s">
        <v>231</v>
      </c>
      <c r="W418" s="100" t="s">
        <v>239</v>
      </c>
      <c r="X418" s="100" t="s">
        <v>246</v>
      </c>
      <c r="Y418" s="100" t="s">
        <v>247</v>
      </c>
      <c r="Z418" s="101" t="s">
        <v>256</v>
      </c>
      <c r="AA418" s="100" t="s">
        <v>248</v>
      </c>
    </row>
    <row r="419" ht="22.5" customHeight="1">
      <c r="A419" s="11">
        <v>46126.0</v>
      </c>
      <c r="B419" s="114" t="s">
        <v>4</v>
      </c>
      <c r="D419" s="6"/>
      <c r="H419" s="66">
        <f t="shared" ref="H419:H430" si="131">S402+T402</f>
        <v>23</v>
      </c>
      <c r="I419" s="119">
        <f t="shared" ref="I419:I430" si="132">H419-sum(J419:Q419)</f>
        <v>3</v>
      </c>
      <c r="L419" s="4">
        <v>4.0</v>
      </c>
      <c r="M419" s="4">
        <v>4.0</v>
      </c>
      <c r="N419" s="67">
        <v>2.0</v>
      </c>
      <c r="P419" s="4">
        <v>5.0</v>
      </c>
      <c r="Q419" s="4">
        <v>5.0</v>
      </c>
      <c r="R419" s="102" t="s">
        <v>4</v>
      </c>
      <c r="S419" s="103"/>
      <c r="T419" s="104">
        <f t="shared" ref="T419:T430" si="133">sum(U419:AA419)</f>
        <v>0</v>
      </c>
      <c r="V419" s="103"/>
    </row>
    <row r="420" ht="22.5" customHeight="1">
      <c r="A420" s="11">
        <v>46126.0</v>
      </c>
      <c r="B420" s="13" t="s">
        <v>5</v>
      </c>
      <c r="D420" s="6"/>
      <c r="H420" s="66">
        <f t="shared" si="131"/>
        <v>7</v>
      </c>
      <c r="I420" s="119">
        <f t="shared" si="132"/>
        <v>0</v>
      </c>
      <c r="L420" s="4">
        <v>2.0</v>
      </c>
      <c r="M420" s="4">
        <v>2.0</v>
      </c>
      <c r="N420" s="67">
        <v>2.0</v>
      </c>
      <c r="O420" s="67"/>
      <c r="P420" s="123">
        <v>1.0</v>
      </c>
      <c r="Q420" s="121"/>
      <c r="R420" s="102" t="s">
        <v>5</v>
      </c>
      <c r="S420" s="103"/>
      <c r="T420" s="104">
        <f t="shared" si="133"/>
        <v>0</v>
      </c>
      <c r="V420" s="103"/>
    </row>
    <row r="421" ht="22.5" customHeight="1">
      <c r="A421" s="11">
        <v>46126.0</v>
      </c>
      <c r="B421" s="114" t="s">
        <v>6</v>
      </c>
      <c r="D421" s="6"/>
      <c r="H421" s="66">
        <f t="shared" si="131"/>
        <v>2</v>
      </c>
      <c r="I421" s="119">
        <f t="shared" si="132"/>
        <v>0</v>
      </c>
      <c r="N421" s="67">
        <v>2.0</v>
      </c>
      <c r="P421" s="121"/>
      <c r="Q421" s="121"/>
      <c r="R421" s="102" t="s">
        <v>6</v>
      </c>
      <c r="S421" s="103"/>
      <c r="T421" s="104">
        <f t="shared" si="133"/>
        <v>0</v>
      </c>
      <c r="V421" s="103"/>
    </row>
    <row r="422" ht="22.5" customHeight="1">
      <c r="A422" s="11">
        <v>46126.0</v>
      </c>
      <c r="B422" s="13" t="s">
        <v>7</v>
      </c>
      <c r="D422" s="6"/>
      <c r="H422" s="66">
        <f t="shared" si="131"/>
        <v>0</v>
      </c>
      <c r="I422" s="119">
        <f t="shared" si="132"/>
        <v>0</v>
      </c>
      <c r="N422" s="67"/>
      <c r="O422" s="67"/>
      <c r="P422" s="121"/>
      <c r="Q422" s="121"/>
      <c r="R422" s="102" t="s">
        <v>7</v>
      </c>
      <c r="S422" s="103"/>
      <c r="T422" s="104">
        <f t="shared" si="133"/>
        <v>0</v>
      </c>
      <c r="V422" s="103"/>
    </row>
    <row r="423" ht="22.5" customHeight="1">
      <c r="A423" s="11">
        <v>46126.0</v>
      </c>
      <c r="B423" s="114" t="s">
        <v>8</v>
      </c>
      <c r="D423" s="6"/>
      <c r="H423" s="66">
        <f t="shared" si="131"/>
        <v>0</v>
      </c>
      <c r="I423" s="119">
        <f t="shared" si="132"/>
        <v>0</v>
      </c>
      <c r="N423" s="67"/>
      <c r="O423" s="67"/>
      <c r="P423" s="121"/>
      <c r="Q423" s="121"/>
      <c r="R423" s="102" t="s">
        <v>8</v>
      </c>
      <c r="S423" s="103"/>
      <c r="T423" s="104">
        <f t="shared" si="133"/>
        <v>0</v>
      </c>
      <c r="V423" s="103"/>
    </row>
    <row r="424" ht="22.5" customHeight="1">
      <c r="A424" s="11">
        <v>46126.0</v>
      </c>
      <c r="B424" s="13" t="s">
        <v>9</v>
      </c>
      <c r="D424" s="6"/>
      <c r="H424" s="66">
        <f t="shared" si="131"/>
        <v>29</v>
      </c>
      <c r="I424" s="119">
        <f t="shared" si="132"/>
        <v>5</v>
      </c>
      <c r="L424" s="4">
        <v>4.0</v>
      </c>
      <c r="M424" s="4">
        <v>4.0</v>
      </c>
      <c r="N424" s="67">
        <v>4.0</v>
      </c>
      <c r="O424" s="67"/>
      <c r="P424" s="123">
        <v>6.0</v>
      </c>
      <c r="Q424" s="123">
        <v>6.0</v>
      </c>
      <c r="R424" s="102" t="s">
        <v>9</v>
      </c>
      <c r="S424" s="103"/>
      <c r="T424" s="104">
        <f t="shared" si="133"/>
        <v>0</v>
      </c>
      <c r="V424" s="103"/>
    </row>
    <row r="425" ht="22.5" customHeight="1">
      <c r="A425" s="11">
        <v>46126.0</v>
      </c>
      <c r="B425" s="114" t="s">
        <v>10</v>
      </c>
      <c r="D425" s="6"/>
      <c r="H425" s="66">
        <f t="shared" si="131"/>
        <v>9</v>
      </c>
      <c r="I425" s="119">
        <f t="shared" si="132"/>
        <v>2</v>
      </c>
      <c r="L425" s="4">
        <v>2.0</v>
      </c>
      <c r="M425" s="4">
        <v>3.0</v>
      </c>
      <c r="N425" s="4">
        <v>2.0</v>
      </c>
      <c r="O425" s="67"/>
      <c r="P425" s="121"/>
      <c r="Q425" s="121"/>
      <c r="R425" s="102" t="s">
        <v>10</v>
      </c>
      <c r="S425" s="103"/>
      <c r="T425" s="104">
        <f t="shared" si="133"/>
        <v>0</v>
      </c>
      <c r="V425" s="103"/>
    </row>
    <row r="426" ht="22.5" customHeight="1">
      <c r="A426" s="11">
        <v>46126.0</v>
      </c>
      <c r="B426" s="13" t="s">
        <v>11</v>
      </c>
      <c r="D426" s="6"/>
      <c r="H426" s="66">
        <f t="shared" si="131"/>
        <v>7</v>
      </c>
      <c r="I426" s="119">
        <f t="shared" si="132"/>
        <v>0</v>
      </c>
      <c r="L426" s="4">
        <v>2.0</v>
      </c>
      <c r="M426" s="4">
        <v>1.0</v>
      </c>
      <c r="N426" s="67">
        <v>2.0</v>
      </c>
      <c r="O426" s="67"/>
      <c r="P426" s="123">
        <v>1.0</v>
      </c>
      <c r="Q426" s="123">
        <v>1.0</v>
      </c>
      <c r="R426" s="102" t="s">
        <v>11</v>
      </c>
      <c r="S426" s="103"/>
      <c r="T426" s="104">
        <f t="shared" si="133"/>
        <v>0</v>
      </c>
      <c r="V426" s="103"/>
    </row>
    <row r="427" ht="22.5" customHeight="1">
      <c r="A427" s="11">
        <v>46126.0</v>
      </c>
      <c r="B427" s="114" t="s">
        <v>12</v>
      </c>
      <c r="D427" s="6"/>
      <c r="H427" s="66">
        <f t="shared" si="131"/>
        <v>12</v>
      </c>
      <c r="I427" s="119">
        <f t="shared" si="132"/>
        <v>1</v>
      </c>
      <c r="L427" s="4">
        <v>3.0</v>
      </c>
      <c r="M427" s="4">
        <v>3.0</v>
      </c>
      <c r="N427" s="67">
        <v>3.0</v>
      </c>
      <c r="O427" s="66"/>
      <c r="P427" s="123">
        <v>1.0</v>
      </c>
      <c r="Q427" s="123">
        <v>1.0</v>
      </c>
      <c r="R427" s="102" t="s">
        <v>12</v>
      </c>
      <c r="S427" s="103"/>
      <c r="T427" s="104">
        <f t="shared" si="133"/>
        <v>0</v>
      </c>
      <c r="V427" s="104"/>
    </row>
    <row r="428" ht="22.5" customHeight="1">
      <c r="A428" s="11">
        <v>46126.0</v>
      </c>
      <c r="B428" s="13" t="s">
        <v>13</v>
      </c>
      <c r="D428" s="6"/>
      <c r="H428" s="66">
        <f t="shared" si="131"/>
        <v>14</v>
      </c>
      <c r="I428" s="119">
        <f t="shared" si="132"/>
        <v>0</v>
      </c>
      <c r="L428" s="4">
        <v>3.0</v>
      </c>
      <c r="M428" s="67">
        <v>3.0</v>
      </c>
      <c r="N428" s="4">
        <v>3.0</v>
      </c>
      <c r="O428" s="67"/>
      <c r="P428" s="123">
        <v>3.0</v>
      </c>
      <c r="Q428" s="123">
        <v>2.0</v>
      </c>
      <c r="R428" s="102" t="s">
        <v>13</v>
      </c>
      <c r="S428" s="103"/>
      <c r="T428" s="104">
        <f t="shared" si="133"/>
        <v>0</v>
      </c>
      <c r="V428" s="103"/>
    </row>
    <row r="429" ht="22.5" customHeight="1">
      <c r="A429" s="11">
        <v>46126.0</v>
      </c>
      <c r="B429" s="114" t="s">
        <v>14</v>
      </c>
      <c r="D429" s="6"/>
      <c r="H429" s="66">
        <f t="shared" si="131"/>
        <v>0</v>
      </c>
      <c r="I429" s="119">
        <f t="shared" si="132"/>
        <v>0</v>
      </c>
      <c r="M429" s="67"/>
      <c r="O429" s="67"/>
      <c r="P429" s="123"/>
      <c r="Q429" s="123"/>
      <c r="R429" s="102" t="s">
        <v>14</v>
      </c>
      <c r="S429" s="103"/>
      <c r="T429" s="104">
        <f t="shared" si="133"/>
        <v>0</v>
      </c>
      <c r="V429" s="103"/>
    </row>
    <row r="430" ht="22.5" customHeight="1">
      <c r="A430" s="11">
        <v>46126.0</v>
      </c>
      <c r="B430" s="13" t="s">
        <v>15</v>
      </c>
      <c r="D430" s="6"/>
      <c r="H430" s="66">
        <f t="shared" si="131"/>
        <v>35</v>
      </c>
      <c r="I430" s="119">
        <f t="shared" si="132"/>
        <v>-25</v>
      </c>
      <c r="L430" s="4">
        <v>15.0</v>
      </c>
      <c r="M430" s="4">
        <v>10.0</v>
      </c>
      <c r="N430" s="67">
        <v>15.0</v>
      </c>
      <c r="O430" s="67"/>
      <c r="P430" s="123">
        <v>10.0</v>
      </c>
      <c r="Q430" s="123">
        <v>10.0</v>
      </c>
      <c r="R430" s="102" t="s">
        <v>15</v>
      </c>
      <c r="S430" s="103"/>
      <c r="T430" s="104">
        <f t="shared" si="133"/>
        <v>0</v>
      </c>
      <c r="V430" s="103"/>
    </row>
    <row r="431" ht="22.5" customHeight="1">
      <c r="D431" s="6"/>
      <c r="J431" s="97">
        <f t="shared" ref="J431:Q431" si="134">sum(J419:J430)</f>
        <v>0</v>
      </c>
      <c r="K431" s="97">
        <f t="shared" si="134"/>
        <v>0</v>
      </c>
      <c r="L431" s="97">
        <f t="shared" si="134"/>
        <v>35</v>
      </c>
      <c r="M431" s="97">
        <f t="shared" si="134"/>
        <v>30</v>
      </c>
      <c r="N431" s="118">
        <f t="shared" si="134"/>
        <v>35</v>
      </c>
      <c r="O431" s="97">
        <f t="shared" si="134"/>
        <v>0</v>
      </c>
      <c r="P431" s="97">
        <f t="shared" si="134"/>
        <v>27</v>
      </c>
      <c r="Q431" s="97">
        <f t="shared" si="134"/>
        <v>25</v>
      </c>
      <c r="R431" s="106"/>
      <c r="S431" s="109">
        <f>sum(Table19[Chưa Quay])</f>
        <v>0</v>
      </c>
      <c r="T431" s="109">
        <f>sum(Table19[Tổng Tồn])</f>
        <v>0</v>
      </c>
      <c r="U431" s="108">
        <f>sum(Table19[Tồn XL])</f>
        <v>0</v>
      </c>
      <c r="V431" s="109">
        <f>sum(Table19[Tồn XĐ sau])</f>
        <v>0</v>
      </c>
      <c r="W431" s="108">
        <f>sum(Table19[Tồn VTD])</f>
        <v>0</v>
      </c>
      <c r="X431" s="108">
        <f>sum(Table19[Tồn CN A])</f>
        <v>0</v>
      </c>
      <c r="Y431" s="108">
        <f>sum(Table19[Tồn CN B])</f>
        <v>0</v>
      </c>
      <c r="Z431" s="108">
        <f>sum(Table19[Tồn CN B])</f>
        <v>0</v>
      </c>
      <c r="AA431" s="108">
        <f>sum(Table19[Tồn ĐN])</f>
        <v>0</v>
      </c>
    </row>
    <row r="432">
      <c r="D432" s="6"/>
    </row>
    <row r="433">
      <c r="D433" s="6"/>
    </row>
    <row r="434">
      <c r="C434" s="4" t="s">
        <v>250</v>
      </c>
      <c r="D434" s="82" t="s">
        <v>266</v>
      </c>
      <c r="F434" s="4" t="s">
        <v>251</v>
      </c>
      <c r="G434" s="4" t="s">
        <v>252</v>
      </c>
      <c r="H434" s="4" t="s">
        <v>245</v>
      </c>
      <c r="J434" s="4" t="s">
        <v>93</v>
      </c>
      <c r="K434" s="4" t="s">
        <v>227</v>
      </c>
      <c r="L434" s="4" t="s">
        <v>89</v>
      </c>
      <c r="M434" s="4" t="s">
        <v>80</v>
      </c>
      <c r="N434" s="4" t="s">
        <v>81</v>
      </c>
      <c r="O434" s="4" t="s">
        <v>232</v>
      </c>
      <c r="P434" s="4" t="s">
        <v>264</v>
      </c>
      <c r="Q434" s="4" t="s">
        <v>265</v>
      </c>
      <c r="R434" s="127" t="s">
        <v>236</v>
      </c>
      <c r="S434" s="128" t="s">
        <v>233</v>
      </c>
      <c r="T434" s="128" t="s">
        <v>234</v>
      </c>
      <c r="U434" s="128" t="s">
        <v>238</v>
      </c>
      <c r="V434" s="128" t="s">
        <v>231</v>
      </c>
      <c r="W434" s="128" t="s">
        <v>239</v>
      </c>
      <c r="X434" s="128" t="s">
        <v>246</v>
      </c>
      <c r="Y434" s="128" t="s">
        <v>247</v>
      </c>
      <c r="Z434" s="129" t="s">
        <v>256</v>
      </c>
      <c r="AA434" s="128" t="s">
        <v>248</v>
      </c>
      <c r="AB434" s="128" t="s">
        <v>267</v>
      </c>
      <c r="AC434" s="130" t="s">
        <v>268</v>
      </c>
    </row>
    <row r="435">
      <c r="A435" s="11">
        <v>46127.0</v>
      </c>
      <c r="B435" s="114" t="s">
        <v>4</v>
      </c>
      <c r="C435" s="115">
        <v>45.0</v>
      </c>
      <c r="D435" s="82">
        <v>3.0</v>
      </c>
      <c r="F435" s="67">
        <f t="shared" ref="F435:F446" si="135">S419+T419</f>
        <v>0</v>
      </c>
      <c r="G435" s="13">
        <f t="shared" ref="G435:G446" si="136">sum(J435:Q435)</f>
        <v>45</v>
      </c>
      <c r="H435" s="66">
        <f t="shared" ref="H435:H446" si="137">C435+F435-G435+T435</f>
        <v>2</v>
      </c>
      <c r="J435" s="115">
        <v>3.0</v>
      </c>
      <c r="K435" s="115">
        <v>3.0</v>
      </c>
      <c r="L435" s="131">
        <v>9.0</v>
      </c>
      <c r="M435" s="115">
        <v>7.0</v>
      </c>
      <c r="N435" s="131">
        <v>10.0</v>
      </c>
      <c r="O435" s="115">
        <v>5.0</v>
      </c>
      <c r="P435" s="4">
        <v>5.0</v>
      </c>
      <c r="Q435" s="4">
        <v>3.0</v>
      </c>
      <c r="R435" s="90" t="s">
        <v>4</v>
      </c>
      <c r="S435" s="67">
        <v>12.0</v>
      </c>
      <c r="T435" s="67">
        <v>2.0</v>
      </c>
      <c r="V435" s="67"/>
      <c r="AC435" s="132"/>
    </row>
    <row r="436">
      <c r="A436" s="11">
        <v>46127.0</v>
      </c>
      <c r="B436" s="13" t="s">
        <v>5</v>
      </c>
      <c r="C436" s="4">
        <v>25.0</v>
      </c>
      <c r="D436" s="82">
        <v>5.0</v>
      </c>
      <c r="F436" s="67">
        <f t="shared" si="135"/>
        <v>0</v>
      </c>
      <c r="G436" s="13">
        <f t="shared" si="136"/>
        <v>25</v>
      </c>
      <c r="H436" s="66">
        <f t="shared" si="137"/>
        <v>3</v>
      </c>
      <c r="J436" s="4">
        <v>1.0</v>
      </c>
      <c r="K436" s="4">
        <v>2.0</v>
      </c>
      <c r="L436" s="72">
        <v>5.0</v>
      </c>
      <c r="M436" s="4">
        <v>4.0</v>
      </c>
      <c r="N436" s="72">
        <v>5.0</v>
      </c>
      <c r="O436" s="4">
        <v>4.0</v>
      </c>
      <c r="P436" s="123">
        <v>2.0</v>
      </c>
      <c r="Q436" s="123">
        <v>2.0</v>
      </c>
      <c r="R436" s="90" t="s">
        <v>5</v>
      </c>
      <c r="S436" s="67">
        <v>7.0</v>
      </c>
      <c r="T436" s="67">
        <v>3.0</v>
      </c>
      <c r="V436" s="67"/>
      <c r="AC436" s="133"/>
    </row>
    <row r="437">
      <c r="A437" s="11">
        <v>46127.0</v>
      </c>
      <c r="B437" s="114" t="s">
        <v>6</v>
      </c>
      <c r="C437" s="115">
        <v>20.0</v>
      </c>
      <c r="D437" s="6"/>
      <c r="F437" s="67">
        <f t="shared" si="135"/>
        <v>0</v>
      </c>
      <c r="G437" s="13">
        <f t="shared" si="136"/>
        <v>21</v>
      </c>
      <c r="H437" s="66">
        <f t="shared" si="137"/>
        <v>1</v>
      </c>
      <c r="J437" s="115">
        <v>2.0</v>
      </c>
      <c r="K437" s="115">
        <v>1.0</v>
      </c>
      <c r="L437" s="131">
        <v>5.0</v>
      </c>
      <c r="M437" s="115">
        <v>3.0</v>
      </c>
      <c r="N437" s="131">
        <v>5.0</v>
      </c>
      <c r="O437" s="115">
        <v>2.0</v>
      </c>
      <c r="P437" s="123">
        <v>1.0</v>
      </c>
      <c r="Q437" s="123">
        <v>2.0</v>
      </c>
      <c r="R437" s="90" t="s">
        <v>6</v>
      </c>
      <c r="S437" s="67"/>
      <c r="T437" s="67">
        <v>2.0</v>
      </c>
      <c r="V437" s="67"/>
      <c r="AC437" s="134"/>
    </row>
    <row r="438">
      <c r="A438" s="11">
        <v>46127.0</v>
      </c>
      <c r="B438" s="13" t="s">
        <v>7</v>
      </c>
      <c r="C438" s="4">
        <v>25.0</v>
      </c>
      <c r="D438" s="6"/>
      <c r="F438" s="67">
        <f t="shared" si="135"/>
        <v>0</v>
      </c>
      <c r="G438" s="13">
        <f t="shared" si="136"/>
        <v>25</v>
      </c>
      <c r="H438" s="66">
        <f t="shared" si="137"/>
        <v>0</v>
      </c>
      <c r="J438" s="4">
        <v>2.0</v>
      </c>
      <c r="K438" s="4">
        <v>2.0</v>
      </c>
      <c r="L438" s="72">
        <v>4.0</v>
      </c>
      <c r="M438" s="4">
        <v>4.0</v>
      </c>
      <c r="N438" s="72">
        <v>8.0</v>
      </c>
      <c r="O438" s="4">
        <v>2.0</v>
      </c>
      <c r="P438" s="123">
        <v>1.0</v>
      </c>
      <c r="Q438" s="123">
        <v>2.0</v>
      </c>
      <c r="R438" s="90" t="s">
        <v>7</v>
      </c>
      <c r="S438" s="67">
        <v>16.0</v>
      </c>
      <c r="T438" s="66">
        <f t="shared" ref="T438:T439" si="138">sum(U438:AA438)</f>
        <v>0</v>
      </c>
      <c r="V438" s="67"/>
      <c r="AC438" s="133"/>
    </row>
    <row r="439">
      <c r="A439" s="11">
        <v>46127.0</v>
      </c>
      <c r="B439" s="114" t="s">
        <v>8</v>
      </c>
      <c r="C439" s="115"/>
      <c r="D439" s="6"/>
      <c r="F439" s="67">
        <f t="shared" si="135"/>
        <v>0</v>
      </c>
      <c r="G439" s="13">
        <f t="shared" si="136"/>
        <v>0</v>
      </c>
      <c r="H439" s="66">
        <f t="shared" si="137"/>
        <v>0</v>
      </c>
      <c r="J439" s="115"/>
      <c r="K439" s="115"/>
      <c r="L439" s="131"/>
      <c r="M439" s="115"/>
      <c r="N439" s="131"/>
      <c r="O439" s="115"/>
      <c r="P439" s="121"/>
      <c r="Q439" s="121"/>
      <c r="R439" s="90" t="s">
        <v>8</v>
      </c>
      <c r="S439" s="67"/>
      <c r="T439" s="66">
        <f t="shared" si="138"/>
        <v>0</v>
      </c>
      <c r="V439" s="67"/>
      <c r="AC439" s="134"/>
    </row>
    <row r="440">
      <c r="A440" s="11">
        <v>46127.0</v>
      </c>
      <c r="B440" s="13" t="s">
        <v>9</v>
      </c>
      <c r="C440" s="4">
        <v>45.0</v>
      </c>
      <c r="D440" s="82">
        <v>2.0</v>
      </c>
      <c r="F440" s="67">
        <f t="shared" si="135"/>
        <v>0</v>
      </c>
      <c r="G440" s="13">
        <f t="shared" si="136"/>
        <v>45</v>
      </c>
      <c r="H440" s="66">
        <f t="shared" si="137"/>
        <v>6</v>
      </c>
      <c r="J440" s="4">
        <v>3.0</v>
      </c>
      <c r="K440" s="4">
        <v>3.0</v>
      </c>
      <c r="L440" s="72">
        <v>7.0</v>
      </c>
      <c r="M440" s="4">
        <v>5.0</v>
      </c>
      <c r="N440" s="72">
        <v>8.0</v>
      </c>
      <c r="O440" s="4">
        <v>5.0</v>
      </c>
      <c r="P440" s="123">
        <v>7.0</v>
      </c>
      <c r="Q440" s="123">
        <v>7.0</v>
      </c>
      <c r="R440" s="90" t="s">
        <v>9</v>
      </c>
      <c r="S440" s="67">
        <v>14.0</v>
      </c>
      <c r="T440" s="67">
        <v>6.0</v>
      </c>
      <c r="V440" s="67"/>
      <c r="AC440" s="133"/>
    </row>
    <row r="441">
      <c r="A441" s="11">
        <v>46127.0</v>
      </c>
      <c r="B441" s="114" t="s">
        <v>10</v>
      </c>
      <c r="C441" s="115">
        <v>25.0</v>
      </c>
      <c r="D441" s="6"/>
      <c r="F441" s="67">
        <f t="shared" si="135"/>
        <v>0</v>
      </c>
      <c r="G441" s="13">
        <f t="shared" si="136"/>
        <v>25</v>
      </c>
      <c r="H441" s="66">
        <f t="shared" si="137"/>
        <v>0</v>
      </c>
      <c r="J441" s="115">
        <v>3.0</v>
      </c>
      <c r="K441" s="115">
        <v>3.0</v>
      </c>
      <c r="L441" s="131">
        <v>5.0</v>
      </c>
      <c r="M441" s="115">
        <v>3.0</v>
      </c>
      <c r="N441" s="131">
        <v>5.0</v>
      </c>
      <c r="O441" s="115">
        <v>4.0</v>
      </c>
      <c r="P441" s="123">
        <v>1.0</v>
      </c>
      <c r="Q441" s="123">
        <v>1.0</v>
      </c>
      <c r="R441" s="90" t="s">
        <v>10</v>
      </c>
      <c r="S441" s="67">
        <v>2.0</v>
      </c>
      <c r="T441" s="66">
        <f t="shared" ref="T441:T442" si="139">sum(U441:AA441)</f>
        <v>0</v>
      </c>
      <c r="V441" s="67"/>
      <c r="AC441" s="134"/>
    </row>
    <row r="442">
      <c r="A442" s="11">
        <v>46127.0</v>
      </c>
      <c r="B442" s="13" t="s">
        <v>11</v>
      </c>
      <c r="C442" s="4">
        <v>20.0</v>
      </c>
      <c r="D442" s="6"/>
      <c r="F442" s="67">
        <f t="shared" si="135"/>
        <v>0</v>
      </c>
      <c r="G442" s="13">
        <f t="shared" si="136"/>
        <v>20</v>
      </c>
      <c r="H442" s="66">
        <f t="shared" si="137"/>
        <v>0</v>
      </c>
      <c r="J442" s="4">
        <v>2.0</v>
      </c>
      <c r="K442" s="4">
        <v>2.0</v>
      </c>
      <c r="L442" s="72">
        <v>5.0</v>
      </c>
      <c r="M442" s="4">
        <v>3.0</v>
      </c>
      <c r="N442" s="72">
        <v>4.0</v>
      </c>
      <c r="O442" s="4">
        <v>2.0</v>
      </c>
      <c r="P442" s="123">
        <v>1.0</v>
      </c>
      <c r="Q442" s="123">
        <v>1.0</v>
      </c>
      <c r="R442" s="90" t="s">
        <v>11</v>
      </c>
      <c r="S442" s="67">
        <v>2.0</v>
      </c>
      <c r="T442" s="66">
        <f t="shared" si="139"/>
        <v>0</v>
      </c>
      <c r="V442" s="67"/>
      <c r="AC442" s="133"/>
    </row>
    <row r="443">
      <c r="A443" s="11">
        <v>46127.0</v>
      </c>
      <c r="B443" s="114" t="s">
        <v>12</v>
      </c>
      <c r="C443" s="115">
        <v>25.0</v>
      </c>
      <c r="D443" s="6"/>
      <c r="F443" s="67">
        <f t="shared" si="135"/>
        <v>0</v>
      </c>
      <c r="G443" s="13">
        <f t="shared" si="136"/>
        <v>21</v>
      </c>
      <c r="H443" s="66">
        <f t="shared" si="137"/>
        <v>7</v>
      </c>
      <c r="J443" s="115">
        <v>2.0</v>
      </c>
      <c r="K443" s="115">
        <v>1.0</v>
      </c>
      <c r="L443" s="131">
        <v>4.0</v>
      </c>
      <c r="M443" s="115">
        <v>3.0</v>
      </c>
      <c r="N443" s="131">
        <v>5.0</v>
      </c>
      <c r="O443" s="115">
        <v>3.0</v>
      </c>
      <c r="P443" s="123">
        <v>2.0</v>
      </c>
      <c r="Q443" s="123">
        <v>1.0</v>
      </c>
      <c r="R443" s="90" t="s">
        <v>12</v>
      </c>
      <c r="S443" s="67">
        <v>11.0</v>
      </c>
      <c r="T443" s="67">
        <v>3.0</v>
      </c>
      <c r="V443" s="66"/>
      <c r="AC443" s="134"/>
    </row>
    <row r="444">
      <c r="A444" s="11">
        <v>46127.0</v>
      </c>
      <c r="B444" s="13" t="s">
        <v>13</v>
      </c>
      <c r="C444" s="4">
        <v>30.0</v>
      </c>
      <c r="D444" s="82">
        <v>5.0</v>
      </c>
      <c r="F444" s="67">
        <f t="shared" si="135"/>
        <v>0</v>
      </c>
      <c r="G444" s="13">
        <f t="shared" si="136"/>
        <v>29</v>
      </c>
      <c r="H444" s="66">
        <f t="shared" si="137"/>
        <v>7</v>
      </c>
      <c r="J444" s="4">
        <v>3.0</v>
      </c>
      <c r="K444" s="4">
        <v>3.0</v>
      </c>
      <c r="L444" s="72">
        <v>5.0</v>
      </c>
      <c r="M444" s="4">
        <v>4.0</v>
      </c>
      <c r="N444" s="72">
        <v>5.0</v>
      </c>
      <c r="O444" s="4">
        <v>3.0</v>
      </c>
      <c r="P444" s="123">
        <v>3.0</v>
      </c>
      <c r="Q444" s="123">
        <v>3.0</v>
      </c>
      <c r="R444" s="90" t="s">
        <v>13</v>
      </c>
      <c r="S444" s="67">
        <v>10.0</v>
      </c>
      <c r="T444" s="67">
        <v>6.0</v>
      </c>
      <c r="V444" s="67"/>
      <c r="AC444" s="133"/>
    </row>
    <row r="445">
      <c r="A445" s="11">
        <v>46127.0</v>
      </c>
      <c r="B445" s="114" t="s">
        <v>14</v>
      </c>
      <c r="C445" s="115">
        <v>20.0</v>
      </c>
      <c r="D445" s="82">
        <v>5.0</v>
      </c>
      <c r="F445" s="67">
        <f t="shared" si="135"/>
        <v>0</v>
      </c>
      <c r="G445" s="13">
        <f t="shared" si="136"/>
        <v>20</v>
      </c>
      <c r="H445" s="66">
        <f t="shared" si="137"/>
        <v>2</v>
      </c>
      <c r="J445" s="115">
        <v>1.0</v>
      </c>
      <c r="K445" s="115">
        <v>1.0</v>
      </c>
      <c r="L445" s="131">
        <v>5.0</v>
      </c>
      <c r="M445" s="115">
        <v>3.0</v>
      </c>
      <c r="N445" s="131">
        <v>5.0</v>
      </c>
      <c r="O445" s="115">
        <v>3.0</v>
      </c>
      <c r="P445" s="123">
        <v>2.0</v>
      </c>
      <c r="Q445" s="123"/>
      <c r="R445" s="90" t="s">
        <v>14</v>
      </c>
      <c r="S445" s="67"/>
      <c r="T445" s="67">
        <v>2.0</v>
      </c>
      <c r="V445" s="67"/>
      <c r="AC445" s="134"/>
    </row>
    <row r="446">
      <c r="A446" s="11">
        <v>46127.0</v>
      </c>
      <c r="B446" s="13" t="s">
        <v>15</v>
      </c>
      <c r="C446" s="4">
        <v>270.0</v>
      </c>
      <c r="D446" s="82">
        <v>30.0</v>
      </c>
      <c r="F446" s="67">
        <f t="shared" si="135"/>
        <v>0</v>
      </c>
      <c r="G446" s="13">
        <f t="shared" si="136"/>
        <v>270</v>
      </c>
      <c r="H446" s="66">
        <f t="shared" si="137"/>
        <v>12</v>
      </c>
      <c r="J446" s="4">
        <v>30.0</v>
      </c>
      <c r="K446" s="4">
        <v>15.0</v>
      </c>
      <c r="L446" s="72">
        <v>45.0</v>
      </c>
      <c r="M446" s="4">
        <v>45.0</v>
      </c>
      <c r="N446" s="72">
        <v>50.0</v>
      </c>
      <c r="O446" s="4">
        <v>30.0</v>
      </c>
      <c r="P446" s="123">
        <v>30.0</v>
      </c>
      <c r="Q446" s="123">
        <v>25.0</v>
      </c>
      <c r="R446" s="90" t="s">
        <v>15</v>
      </c>
      <c r="S446" s="67">
        <v>9.0</v>
      </c>
      <c r="T446" s="67">
        <v>12.0</v>
      </c>
      <c r="V446" s="67"/>
      <c r="AC446" s="133"/>
    </row>
    <row r="447">
      <c r="B447" s="4" t="s">
        <v>16</v>
      </c>
      <c r="C447" s="13">
        <f t="shared" ref="C447:D447" si="140">sum(C435:C446)</f>
        <v>550</v>
      </c>
      <c r="D447" s="6">
        <f t="shared" si="140"/>
        <v>50</v>
      </c>
      <c r="J447" s="97">
        <f t="shared" ref="J447:Q447" si="141">sum(J435:J446)</f>
        <v>52</v>
      </c>
      <c r="K447" s="97">
        <f t="shared" si="141"/>
        <v>36</v>
      </c>
      <c r="L447" s="97">
        <f t="shared" si="141"/>
        <v>99</v>
      </c>
      <c r="M447" s="97">
        <f t="shared" si="141"/>
        <v>84</v>
      </c>
      <c r="N447" s="97">
        <f t="shared" si="141"/>
        <v>110</v>
      </c>
      <c r="O447" s="97">
        <f t="shared" si="141"/>
        <v>63</v>
      </c>
      <c r="P447" s="97">
        <f t="shared" si="141"/>
        <v>55</v>
      </c>
      <c r="Q447" s="97">
        <f t="shared" si="141"/>
        <v>47</v>
      </c>
      <c r="R447" s="135"/>
      <c r="S447" s="136">
        <f t="shared" ref="S447:T447" si="142">sum(S435:S446)</f>
        <v>83</v>
      </c>
      <c r="T447" s="136">
        <f t="shared" si="142"/>
        <v>36</v>
      </c>
      <c r="U447" s="137">
        <v>5.0</v>
      </c>
      <c r="V447" s="137">
        <v>4.0</v>
      </c>
      <c r="W447" s="135">
        <f t="shared" ref="W447:X447" si="143">sum(W435:W446)</f>
        <v>0</v>
      </c>
      <c r="X447" s="135">
        <f t="shared" si="143"/>
        <v>0</v>
      </c>
      <c r="Y447" s="137">
        <v>21.0</v>
      </c>
      <c r="Z447" s="135">
        <f t="shared" ref="Z447:AB447" si="144">sum(Z435:Z446)</f>
        <v>0</v>
      </c>
      <c r="AA447" s="135">
        <f t="shared" si="144"/>
        <v>0</v>
      </c>
      <c r="AB447" s="135">
        <f t="shared" si="144"/>
        <v>0</v>
      </c>
      <c r="AC447" s="66">
        <f>T447-U447-V447-Y447</f>
        <v>6</v>
      </c>
    </row>
    <row r="448">
      <c r="D448" s="6"/>
      <c r="J448" s="13">
        <f t="shared" ref="J448:Q448" si="145">J447-U447</f>
        <v>47</v>
      </c>
      <c r="K448" s="13">
        <f t="shared" si="145"/>
        <v>32</v>
      </c>
      <c r="L448" s="13">
        <f t="shared" si="145"/>
        <v>99</v>
      </c>
      <c r="M448" s="13">
        <f t="shared" si="145"/>
        <v>84</v>
      </c>
      <c r="N448" s="13">
        <f t="shared" si="145"/>
        <v>89</v>
      </c>
      <c r="O448" s="13">
        <f t="shared" si="145"/>
        <v>63</v>
      </c>
      <c r="P448" s="13">
        <f t="shared" si="145"/>
        <v>55</v>
      </c>
      <c r="Q448" s="13">
        <f t="shared" si="145"/>
        <v>47</v>
      </c>
    </row>
    <row r="449">
      <c r="D449" s="6"/>
    </row>
    <row r="450">
      <c r="D450" s="6"/>
      <c r="I450" s="62" t="s">
        <v>114</v>
      </c>
    </row>
    <row r="451">
      <c r="D451" s="6"/>
      <c r="H451" s="4" t="s">
        <v>251</v>
      </c>
      <c r="I451" s="75" t="s">
        <v>253</v>
      </c>
      <c r="J451" s="4" t="s">
        <v>93</v>
      </c>
      <c r="K451" s="4" t="s">
        <v>227</v>
      </c>
      <c r="L451" s="4" t="s">
        <v>89</v>
      </c>
      <c r="M451" s="4" t="s">
        <v>80</v>
      </c>
      <c r="N451" s="4" t="s">
        <v>81</v>
      </c>
      <c r="O451" s="4" t="s">
        <v>232</v>
      </c>
      <c r="P451" s="4" t="s">
        <v>264</v>
      </c>
      <c r="Q451" s="4" t="s">
        <v>265</v>
      </c>
      <c r="R451" s="127" t="s">
        <v>236</v>
      </c>
      <c r="S451" s="128" t="s">
        <v>233</v>
      </c>
      <c r="T451" s="128" t="s">
        <v>234</v>
      </c>
      <c r="U451" s="128" t="s">
        <v>238</v>
      </c>
      <c r="V451" s="128" t="s">
        <v>231</v>
      </c>
      <c r="W451" s="128" t="s">
        <v>239</v>
      </c>
      <c r="X451" s="128" t="s">
        <v>246</v>
      </c>
      <c r="Y451" s="128" t="s">
        <v>247</v>
      </c>
      <c r="Z451" s="129" t="s">
        <v>256</v>
      </c>
      <c r="AA451" s="128" t="s">
        <v>248</v>
      </c>
      <c r="AB451" s="128" t="s">
        <v>267</v>
      </c>
      <c r="AC451" s="130" t="s">
        <v>268</v>
      </c>
    </row>
    <row r="452">
      <c r="A452" s="11">
        <v>46127.0</v>
      </c>
      <c r="B452" s="114" t="s">
        <v>4</v>
      </c>
      <c r="D452" s="6"/>
      <c r="H452" s="66">
        <f t="shared" ref="H452:H463" si="146">S435+T435</f>
        <v>14</v>
      </c>
      <c r="I452" s="119">
        <f t="shared" ref="I452:I463" si="147">H452-sum(J452:Q452)</f>
        <v>0</v>
      </c>
      <c r="L452" s="4">
        <v>4.0</v>
      </c>
      <c r="N452" s="67">
        <v>4.0</v>
      </c>
      <c r="Q452" s="4">
        <v>6.0</v>
      </c>
      <c r="R452" s="90" t="s">
        <v>4</v>
      </c>
      <c r="S452" s="67"/>
      <c r="T452" s="66">
        <f t="shared" ref="T452:T458" si="148">sum(U452:AC452)</f>
        <v>4</v>
      </c>
      <c r="V452" s="67"/>
      <c r="AC452" s="138">
        <v>4.0</v>
      </c>
    </row>
    <row r="453">
      <c r="A453" s="11">
        <v>46127.0</v>
      </c>
      <c r="B453" s="13" t="s">
        <v>5</v>
      </c>
      <c r="D453" s="6"/>
      <c r="H453" s="66">
        <f t="shared" si="146"/>
        <v>10</v>
      </c>
      <c r="I453" s="119">
        <f t="shared" si="147"/>
        <v>0</v>
      </c>
      <c r="L453" s="4">
        <v>3.0</v>
      </c>
      <c r="N453" s="67">
        <v>3.0</v>
      </c>
      <c r="O453" s="67"/>
      <c r="P453" s="123"/>
      <c r="Q453" s="123">
        <v>4.0</v>
      </c>
      <c r="R453" s="90" t="s">
        <v>5</v>
      </c>
      <c r="S453" s="67"/>
      <c r="T453" s="66">
        <f t="shared" si="148"/>
        <v>0</v>
      </c>
      <c r="V453" s="67"/>
      <c r="AC453" s="133"/>
    </row>
    <row r="454">
      <c r="A454" s="11">
        <v>46127.0</v>
      </c>
      <c r="B454" s="114" t="s">
        <v>6</v>
      </c>
      <c r="D454" s="6"/>
      <c r="H454" s="66">
        <f t="shared" si="146"/>
        <v>2</v>
      </c>
      <c r="I454" s="119">
        <f t="shared" si="147"/>
        <v>0</v>
      </c>
      <c r="P454" s="121"/>
      <c r="Q454" s="67">
        <v>2.0</v>
      </c>
      <c r="R454" s="90" t="s">
        <v>6</v>
      </c>
      <c r="S454" s="67"/>
      <c r="T454" s="66">
        <f t="shared" si="148"/>
        <v>1</v>
      </c>
      <c r="V454" s="67"/>
      <c r="AC454" s="139">
        <v>1.0</v>
      </c>
    </row>
    <row r="455">
      <c r="A455" s="11">
        <v>46127.0</v>
      </c>
      <c r="B455" s="13" t="s">
        <v>7</v>
      </c>
      <c r="D455" s="6"/>
      <c r="H455" s="66">
        <f t="shared" si="146"/>
        <v>16</v>
      </c>
      <c r="I455" s="119">
        <f t="shared" si="147"/>
        <v>0</v>
      </c>
      <c r="L455" s="4">
        <v>5.0</v>
      </c>
      <c r="N455" s="67">
        <v>5.0</v>
      </c>
      <c r="O455" s="67"/>
      <c r="P455" s="121"/>
      <c r="Q455" s="123">
        <v>6.0</v>
      </c>
      <c r="R455" s="90" t="s">
        <v>7</v>
      </c>
      <c r="S455" s="67"/>
      <c r="T455" s="66">
        <f t="shared" si="148"/>
        <v>1</v>
      </c>
      <c r="V455" s="67"/>
      <c r="AC455" s="140">
        <v>1.0</v>
      </c>
    </row>
    <row r="456">
      <c r="A456" s="11">
        <v>46127.0</v>
      </c>
      <c r="B456" s="114" t="s">
        <v>8</v>
      </c>
      <c r="D456" s="6"/>
      <c r="H456" s="66">
        <f t="shared" si="146"/>
        <v>0</v>
      </c>
      <c r="I456" s="119">
        <f t="shared" si="147"/>
        <v>0</v>
      </c>
      <c r="N456" s="67"/>
      <c r="O456" s="67"/>
      <c r="P456" s="121"/>
      <c r="Q456" s="121"/>
      <c r="R456" s="90" t="s">
        <v>8</v>
      </c>
      <c r="S456" s="67"/>
      <c r="T456" s="66">
        <f t="shared" si="148"/>
        <v>0</v>
      </c>
      <c r="V456" s="67"/>
      <c r="AC456" s="134"/>
    </row>
    <row r="457">
      <c r="A457" s="11">
        <v>46127.0</v>
      </c>
      <c r="B457" s="13" t="s">
        <v>9</v>
      </c>
      <c r="D457" s="6"/>
      <c r="H457" s="66">
        <f t="shared" si="146"/>
        <v>20</v>
      </c>
      <c r="I457" s="119">
        <f t="shared" si="147"/>
        <v>0</v>
      </c>
      <c r="L457" s="4">
        <v>5.0</v>
      </c>
      <c r="N457" s="67">
        <v>5.0</v>
      </c>
      <c r="O457" s="67"/>
      <c r="P457" s="123"/>
      <c r="Q457" s="123">
        <v>10.0</v>
      </c>
      <c r="R457" s="90" t="s">
        <v>9</v>
      </c>
      <c r="S457" s="67"/>
      <c r="T457" s="66">
        <f t="shared" si="148"/>
        <v>0</v>
      </c>
      <c r="V457" s="67"/>
      <c r="AC457" s="133"/>
    </row>
    <row r="458">
      <c r="A458" s="11">
        <v>46127.0</v>
      </c>
      <c r="B458" s="114" t="s">
        <v>10</v>
      </c>
      <c r="D458" s="6"/>
      <c r="H458" s="66">
        <f t="shared" si="146"/>
        <v>2</v>
      </c>
      <c r="I458" s="119">
        <f t="shared" si="147"/>
        <v>0</v>
      </c>
      <c r="L458" s="4">
        <v>1.0</v>
      </c>
      <c r="N458" s="4">
        <v>1.0</v>
      </c>
      <c r="O458" s="67"/>
      <c r="P458" s="121"/>
      <c r="Q458" s="121"/>
      <c r="R458" s="90" t="s">
        <v>10</v>
      </c>
      <c r="S458" s="67"/>
      <c r="T458" s="66">
        <f t="shared" si="148"/>
        <v>0</v>
      </c>
      <c r="V458" s="67"/>
      <c r="AC458" s="134"/>
    </row>
    <row r="459">
      <c r="A459" s="11">
        <v>46127.0</v>
      </c>
      <c r="B459" s="13" t="s">
        <v>11</v>
      </c>
      <c r="D459" s="6"/>
      <c r="H459" s="66">
        <f t="shared" si="146"/>
        <v>2</v>
      </c>
      <c r="I459" s="119">
        <f t="shared" si="147"/>
        <v>0</v>
      </c>
      <c r="L459" s="4">
        <v>1.0</v>
      </c>
      <c r="N459" s="67"/>
      <c r="O459" s="67"/>
      <c r="P459" s="123"/>
      <c r="Q459" s="123">
        <v>1.0</v>
      </c>
      <c r="R459" s="90" t="s">
        <v>11</v>
      </c>
      <c r="S459" s="67"/>
      <c r="T459" s="66"/>
      <c r="V459" s="67"/>
      <c r="Y459" s="4">
        <v>3.0</v>
      </c>
      <c r="AC459" s="133"/>
    </row>
    <row r="460">
      <c r="A460" s="11">
        <v>46127.0</v>
      </c>
      <c r="B460" s="114" t="s">
        <v>12</v>
      </c>
      <c r="D460" s="6"/>
      <c r="H460" s="66">
        <f t="shared" si="146"/>
        <v>14</v>
      </c>
      <c r="I460" s="119">
        <f t="shared" si="147"/>
        <v>1</v>
      </c>
      <c r="L460" s="4">
        <v>3.0</v>
      </c>
      <c r="N460" s="67">
        <v>5.0</v>
      </c>
      <c r="O460" s="66"/>
      <c r="P460" s="123"/>
      <c r="Q460" s="123">
        <v>5.0</v>
      </c>
      <c r="R460" s="90" t="s">
        <v>12</v>
      </c>
      <c r="S460" s="67">
        <v>1.0</v>
      </c>
      <c r="T460" s="66">
        <f t="shared" ref="T460:T463" si="149">sum(U460:AC460)</f>
        <v>5</v>
      </c>
      <c r="V460" s="66"/>
      <c r="AC460" s="139">
        <v>5.0</v>
      </c>
    </row>
    <row r="461">
      <c r="A461" s="11">
        <v>46127.0</v>
      </c>
      <c r="B461" s="13" t="s">
        <v>13</v>
      </c>
      <c r="D461" s="6"/>
      <c r="H461" s="66">
        <f t="shared" si="146"/>
        <v>16</v>
      </c>
      <c r="I461" s="119">
        <f t="shared" si="147"/>
        <v>0</v>
      </c>
      <c r="L461" s="4">
        <v>5.0</v>
      </c>
      <c r="M461" s="67"/>
      <c r="N461" s="4">
        <v>6.0</v>
      </c>
      <c r="O461" s="67"/>
      <c r="P461" s="123"/>
      <c r="Q461" s="123">
        <v>5.0</v>
      </c>
      <c r="R461" s="90" t="s">
        <v>13</v>
      </c>
      <c r="S461" s="67"/>
      <c r="T461" s="66">
        <f t="shared" si="149"/>
        <v>2</v>
      </c>
      <c r="V461" s="67"/>
      <c r="AC461" s="140">
        <v>2.0</v>
      </c>
    </row>
    <row r="462">
      <c r="A462" s="11">
        <v>46127.0</v>
      </c>
      <c r="B462" s="114" t="s">
        <v>14</v>
      </c>
      <c r="D462" s="6"/>
      <c r="H462" s="66">
        <f t="shared" si="146"/>
        <v>2</v>
      </c>
      <c r="I462" s="119">
        <f t="shared" si="147"/>
        <v>0</v>
      </c>
      <c r="L462" s="4">
        <v>1.0</v>
      </c>
      <c r="M462" s="67"/>
      <c r="N462" s="4">
        <v>1.0</v>
      </c>
      <c r="O462" s="67"/>
      <c r="P462" s="123"/>
      <c r="Q462" s="123"/>
      <c r="R462" s="90" t="s">
        <v>14</v>
      </c>
      <c r="S462" s="67"/>
      <c r="T462" s="66">
        <f t="shared" si="149"/>
        <v>0</v>
      </c>
      <c r="V462" s="67"/>
      <c r="AC462" s="134"/>
    </row>
    <row r="463">
      <c r="A463" s="11">
        <v>46127.0</v>
      </c>
      <c r="B463" s="13" t="s">
        <v>15</v>
      </c>
      <c r="D463" s="6"/>
      <c r="H463" s="66">
        <f t="shared" si="146"/>
        <v>21</v>
      </c>
      <c r="I463" s="119">
        <f t="shared" si="147"/>
        <v>0</v>
      </c>
      <c r="L463" s="4">
        <v>5.0</v>
      </c>
      <c r="N463" s="67">
        <v>5.0</v>
      </c>
      <c r="O463" s="67"/>
      <c r="P463" s="123"/>
      <c r="Q463" s="123">
        <v>11.0</v>
      </c>
      <c r="R463" s="90" t="s">
        <v>15</v>
      </c>
      <c r="S463" s="67">
        <v>1.0</v>
      </c>
      <c r="T463" s="66">
        <f t="shared" si="149"/>
        <v>0</v>
      </c>
      <c r="V463" s="67"/>
      <c r="AC463" s="133"/>
    </row>
    <row r="464">
      <c r="D464" s="6"/>
      <c r="I464" s="66">
        <f t="shared" ref="I464:Q464" si="150">sum(I452:I463)</f>
        <v>1</v>
      </c>
      <c r="J464" s="97">
        <f t="shared" si="150"/>
        <v>0</v>
      </c>
      <c r="K464" s="97">
        <f t="shared" si="150"/>
        <v>0</v>
      </c>
      <c r="L464" s="97">
        <f t="shared" si="150"/>
        <v>33</v>
      </c>
      <c r="M464" s="97">
        <f t="shared" si="150"/>
        <v>0</v>
      </c>
      <c r="N464" s="118">
        <f t="shared" si="150"/>
        <v>35</v>
      </c>
      <c r="O464" s="97">
        <f t="shared" si="150"/>
        <v>0</v>
      </c>
      <c r="P464" s="97">
        <f t="shared" si="150"/>
        <v>0</v>
      </c>
      <c r="Q464" s="97">
        <f t="shared" si="150"/>
        <v>50</v>
      </c>
      <c r="R464" s="135"/>
      <c r="S464" s="136">
        <f t="shared" ref="S464:AC464" si="151">sum(S452:S463)</f>
        <v>2</v>
      </c>
      <c r="T464" s="136">
        <f t="shared" si="151"/>
        <v>13</v>
      </c>
      <c r="U464" s="135">
        <f t="shared" si="151"/>
        <v>0</v>
      </c>
      <c r="V464" s="136">
        <f t="shared" si="151"/>
        <v>0</v>
      </c>
      <c r="W464" s="135">
        <f t="shared" si="151"/>
        <v>0</v>
      </c>
      <c r="X464" s="135">
        <f t="shared" si="151"/>
        <v>0</v>
      </c>
      <c r="Y464" s="135">
        <f t="shared" si="151"/>
        <v>3</v>
      </c>
      <c r="Z464" s="135">
        <f t="shared" si="151"/>
        <v>0</v>
      </c>
      <c r="AA464" s="135">
        <f t="shared" si="151"/>
        <v>0</v>
      </c>
      <c r="AB464" s="135">
        <f t="shared" si="151"/>
        <v>0</v>
      </c>
      <c r="AC464" s="135">
        <f t="shared" si="151"/>
        <v>13</v>
      </c>
    </row>
    <row r="465">
      <c r="D465" s="6"/>
      <c r="Q465" s="67"/>
    </row>
    <row r="466">
      <c r="D466" s="6"/>
      <c r="Q466" s="67"/>
    </row>
    <row r="467">
      <c r="C467" s="4" t="s">
        <v>250</v>
      </c>
      <c r="D467" s="82" t="s">
        <v>2</v>
      </c>
      <c r="F467" s="4" t="s">
        <v>244</v>
      </c>
      <c r="G467" s="4" t="s">
        <v>269</v>
      </c>
      <c r="H467" s="4" t="s">
        <v>245</v>
      </c>
      <c r="I467" s="4" t="s">
        <v>258</v>
      </c>
      <c r="J467" s="4" t="s">
        <v>93</v>
      </c>
      <c r="K467" s="4" t="s">
        <v>227</v>
      </c>
      <c r="L467" s="4" t="s">
        <v>89</v>
      </c>
      <c r="M467" s="4" t="s">
        <v>80</v>
      </c>
      <c r="N467" s="4" t="s">
        <v>81</v>
      </c>
      <c r="O467" s="4" t="s">
        <v>232</v>
      </c>
      <c r="P467" s="4" t="s">
        <v>265</v>
      </c>
      <c r="Q467" s="4" t="s">
        <v>264</v>
      </c>
      <c r="R467" s="127" t="s">
        <v>236</v>
      </c>
      <c r="S467" s="128" t="s">
        <v>233</v>
      </c>
      <c r="T467" s="128" t="s">
        <v>234</v>
      </c>
      <c r="U467" s="128" t="s">
        <v>238</v>
      </c>
      <c r="V467" s="128" t="s">
        <v>231</v>
      </c>
      <c r="W467" s="128" t="s">
        <v>239</v>
      </c>
      <c r="X467" s="128" t="s">
        <v>246</v>
      </c>
      <c r="Y467" s="128" t="s">
        <v>247</v>
      </c>
      <c r="Z467" s="129" t="s">
        <v>256</v>
      </c>
      <c r="AA467" s="128" t="s">
        <v>248</v>
      </c>
      <c r="AB467" s="128" t="s">
        <v>267</v>
      </c>
      <c r="AC467" s="130" t="s">
        <v>268</v>
      </c>
    </row>
    <row r="468">
      <c r="A468" s="11">
        <v>46128.0</v>
      </c>
      <c r="B468" s="114" t="s">
        <v>4</v>
      </c>
      <c r="C468" s="115">
        <v>20.0</v>
      </c>
      <c r="D468" s="6"/>
      <c r="F468" s="66">
        <f t="shared" ref="F468:F479" si="152">S452+T452</f>
        <v>4</v>
      </c>
      <c r="G468" s="13">
        <f t="shared" ref="G468:G479" si="153">sum(I468:Q468)</f>
        <v>24</v>
      </c>
      <c r="H468" s="66">
        <f t="shared" ref="H468:H479" si="154">C468+F468-G468+T468</f>
        <v>0</v>
      </c>
      <c r="J468" s="115"/>
      <c r="K468" s="115"/>
      <c r="L468" s="131">
        <v>9.0</v>
      </c>
      <c r="M468" s="115"/>
      <c r="N468" s="131">
        <v>8.0</v>
      </c>
      <c r="O468" s="115"/>
      <c r="Q468" s="4">
        <v>7.0</v>
      </c>
      <c r="R468" s="90" t="s">
        <v>4</v>
      </c>
      <c r="S468" s="67"/>
      <c r="T468" s="67"/>
      <c r="V468" s="67"/>
      <c r="AC468" s="132"/>
    </row>
    <row r="469">
      <c r="A469" s="11">
        <v>46128.0</v>
      </c>
      <c r="B469" s="13" t="s">
        <v>5</v>
      </c>
      <c r="C469" s="4">
        <v>15.0</v>
      </c>
      <c r="D469" s="6"/>
      <c r="F469" s="66">
        <f t="shared" si="152"/>
        <v>0</v>
      </c>
      <c r="G469" s="13">
        <f t="shared" si="153"/>
        <v>15</v>
      </c>
      <c r="H469" s="66">
        <f t="shared" si="154"/>
        <v>0</v>
      </c>
      <c r="L469" s="72">
        <v>5.0</v>
      </c>
      <c r="N469" s="72">
        <v>5.0</v>
      </c>
      <c r="P469" s="123"/>
      <c r="Q469" s="123">
        <v>5.0</v>
      </c>
      <c r="R469" s="90" t="s">
        <v>5</v>
      </c>
      <c r="S469" s="67"/>
      <c r="T469" s="67"/>
      <c r="V469" s="67"/>
      <c r="AC469" s="133"/>
    </row>
    <row r="470">
      <c r="A470" s="11">
        <v>46128.0</v>
      </c>
      <c r="B470" s="114" t="s">
        <v>6</v>
      </c>
      <c r="C470" s="115">
        <v>15.0</v>
      </c>
      <c r="D470" s="6"/>
      <c r="F470" s="66">
        <f t="shared" si="152"/>
        <v>1</v>
      </c>
      <c r="G470" s="13">
        <f t="shared" si="153"/>
        <v>16</v>
      </c>
      <c r="H470" s="66">
        <f t="shared" si="154"/>
        <v>0</v>
      </c>
      <c r="J470" s="115"/>
      <c r="K470" s="115"/>
      <c r="L470" s="131">
        <v>6.0</v>
      </c>
      <c r="M470" s="115"/>
      <c r="N470" s="131">
        <v>5.0</v>
      </c>
      <c r="O470" s="115"/>
      <c r="P470" s="123"/>
      <c r="Q470" s="123">
        <v>5.0</v>
      </c>
      <c r="R470" s="90" t="s">
        <v>6</v>
      </c>
      <c r="S470" s="67"/>
      <c r="T470" s="67"/>
      <c r="V470" s="67"/>
      <c r="AC470" s="134"/>
    </row>
    <row r="471">
      <c r="A471" s="11">
        <v>46128.0</v>
      </c>
      <c r="B471" s="13" t="s">
        <v>7</v>
      </c>
      <c r="C471" s="4">
        <v>15.0</v>
      </c>
      <c r="D471" s="6"/>
      <c r="F471" s="66">
        <f t="shared" si="152"/>
        <v>1</v>
      </c>
      <c r="G471" s="13">
        <f t="shared" si="153"/>
        <v>18</v>
      </c>
      <c r="H471" s="66">
        <f t="shared" si="154"/>
        <v>-2</v>
      </c>
      <c r="L471" s="72">
        <v>8.0</v>
      </c>
      <c r="N471" s="72">
        <v>5.0</v>
      </c>
      <c r="P471" s="123"/>
      <c r="Q471" s="123">
        <v>5.0</v>
      </c>
      <c r="R471" s="90" t="s">
        <v>7</v>
      </c>
      <c r="S471" s="67"/>
      <c r="T471" s="66"/>
      <c r="V471" s="67"/>
      <c r="AC471" s="133"/>
    </row>
    <row r="472">
      <c r="A472" s="11">
        <v>46128.0</v>
      </c>
      <c r="B472" s="114" t="s">
        <v>8</v>
      </c>
      <c r="C472" s="115"/>
      <c r="D472" s="6"/>
      <c r="F472" s="66">
        <f t="shared" si="152"/>
        <v>0</v>
      </c>
      <c r="G472" s="13">
        <f t="shared" si="153"/>
        <v>0</v>
      </c>
      <c r="H472" s="66">
        <f t="shared" si="154"/>
        <v>0</v>
      </c>
      <c r="J472" s="115"/>
      <c r="K472" s="115"/>
      <c r="L472" s="131"/>
      <c r="M472" s="115"/>
      <c r="N472" s="131"/>
      <c r="O472" s="115"/>
      <c r="P472" s="121"/>
      <c r="Q472" s="121"/>
      <c r="R472" s="90" t="s">
        <v>8</v>
      </c>
      <c r="S472" s="67"/>
      <c r="T472" s="66"/>
      <c r="V472" s="67"/>
      <c r="AC472" s="134"/>
    </row>
    <row r="473">
      <c r="A473" s="11">
        <v>46128.0</v>
      </c>
      <c r="B473" s="13" t="s">
        <v>9</v>
      </c>
      <c r="C473" s="4">
        <v>20.0</v>
      </c>
      <c r="D473" s="82">
        <v>3.0</v>
      </c>
      <c r="F473" s="66">
        <f t="shared" si="152"/>
        <v>0</v>
      </c>
      <c r="G473" s="13">
        <f t="shared" si="153"/>
        <v>21</v>
      </c>
      <c r="H473" s="66">
        <f t="shared" si="154"/>
        <v>-1</v>
      </c>
      <c r="L473" s="72">
        <v>7.0</v>
      </c>
      <c r="N473" s="72">
        <v>8.0</v>
      </c>
      <c r="P473" s="123"/>
      <c r="Q473" s="123">
        <v>6.0</v>
      </c>
      <c r="R473" s="90" t="s">
        <v>9</v>
      </c>
      <c r="S473" s="67"/>
      <c r="T473" s="67"/>
      <c r="V473" s="67"/>
      <c r="AC473" s="133"/>
    </row>
    <row r="474">
      <c r="A474" s="11">
        <v>46128.0</v>
      </c>
      <c r="B474" s="114" t="s">
        <v>10</v>
      </c>
      <c r="C474" s="115">
        <v>15.0</v>
      </c>
      <c r="D474" s="6"/>
      <c r="F474" s="66">
        <f t="shared" si="152"/>
        <v>0</v>
      </c>
      <c r="G474" s="13">
        <f t="shared" si="153"/>
        <v>14</v>
      </c>
      <c r="H474" s="66">
        <f t="shared" si="154"/>
        <v>1</v>
      </c>
      <c r="J474" s="115"/>
      <c r="K474" s="115"/>
      <c r="L474" s="131">
        <v>5.0</v>
      </c>
      <c r="M474" s="115"/>
      <c r="N474" s="131">
        <v>5.0</v>
      </c>
      <c r="O474" s="115"/>
      <c r="P474" s="123"/>
      <c r="Q474" s="123">
        <v>4.0</v>
      </c>
      <c r="R474" s="90" t="s">
        <v>10</v>
      </c>
      <c r="S474" s="67"/>
      <c r="T474" s="66"/>
      <c r="V474" s="67"/>
      <c r="AC474" s="134"/>
    </row>
    <row r="475">
      <c r="A475" s="11">
        <v>46128.0</v>
      </c>
      <c r="B475" s="13" t="s">
        <v>11</v>
      </c>
      <c r="C475" s="4">
        <v>10.0</v>
      </c>
      <c r="D475" s="6"/>
      <c r="F475" s="66">
        <f t="shared" si="152"/>
        <v>0</v>
      </c>
      <c r="G475" s="13">
        <f t="shared" si="153"/>
        <v>13</v>
      </c>
      <c r="H475" s="66">
        <f t="shared" si="154"/>
        <v>-3</v>
      </c>
      <c r="I475" s="4">
        <v>3.0</v>
      </c>
      <c r="L475" s="72">
        <v>4.0</v>
      </c>
      <c r="N475" s="72">
        <v>4.0</v>
      </c>
      <c r="P475" s="123"/>
      <c r="Q475" s="123">
        <v>2.0</v>
      </c>
      <c r="R475" s="90" t="s">
        <v>11</v>
      </c>
      <c r="S475" s="67"/>
      <c r="T475" s="66"/>
      <c r="V475" s="67"/>
      <c r="AC475" s="133"/>
    </row>
    <row r="476">
      <c r="A476" s="11">
        <v>46128.0</v>
      </c>
      <c r="B476" s="114" t="s">
        <v>12</v>
      </c>
      <c r="C476" s="115">
        <v>5.0</v>
      </c>
      <c r="D476" s="6"/>
      <c r="F476" s="66">
        <f t="shared" si="152"/>
        <v>6</v>
      </c>
      <c r="G476" s="13">
        <f t="shared" si="153"/>
        <v>13</v>
      </c>
      <c r="H476" s="66">
        <f t="shared" si="154"/>
        <v>-2</v>
      </c>
      <c r="J476" s="115"/>
      <c r="K476" s="115"/>
      <c r="L476" s="131">
        <v>4.0</v>
      </c>
      <c r="M476" s="115"/>
      <c r="N476" s="131">
        <v>6.0</v>
      </c>
      <c r="O476" s="115"/>
      <c r="P476" s="123"/>
      <c r="Q476" s="123">
        <v>3.0</v>
      </c>
      <c r="R476" s="90" t="s">
        <v>12</v>
      </c>
      <c r="S476" s="67"/>
      <c r="T476" s="67"/>
      <c r="V476" s="66"/>
      <c r="AC476" s="134"/>
    </row>
    <row r="477">
      <c r="A477" s="11">
        <v>46128.0</v>
      </c>
      <c r="B477" s="13" t="s">
        <v>13</v>
      </c>
      <c r="C477" s="4">
        <v>20.0</v>
      </c>
      <c r="D477" s="6"/>
      <c r="F477" s="66">
        <f t="shared" si="152"/>
        <v>2</v>
      </c>
      <c r="G477" s="13">
        <f t="shared" si="153"/>
        <v>20</v>
      </c>
      <c r="H477" s="66">
        <f t="shared" si="154"/>
        <v>2</v>
      </c>
      <c r="L477" s="72">
        <v>8.0</v>
      </c>
      <c r="N477" s="72">
        <v>7.0</v>
      </c>
      <c r="P477" s="123"/>
      <c r="Q477" s="123">
        <v>5.0</v>
      </c>
      <c r="R477" s="90" t="s">
        <v>13</v>
      </c>
      <c r="S477" s="67"/>
      <c r="T477" s="67"/>
      <c r="V477" s="67"/>
      <c r="AC477" s="133"/>
    </row>
    <row r="478">
      <c r="A478" s="11">
        <v>46128.0</v>
      </c>
      <c r="B478" s="114" t="s">
        <v>14</v>
      </c>
      <c r="C478" s="115">
        <v>15.0</v>
      </c>
      <c r="D478" s="6"/>
      <c r="F478" s="66">
        <f t="shared" si="152"/>
        <v>0</v>
      </c>
      <c r="G478" s="13">
        <f t="shared" si="153"/>
        <v>15</v>
      </c>
      <c r="H478" s="66">
        <f t="shared" si="154"/>
        <v>0</v>
      </c>
      <c r="I478" s="4">
        <v>5.0</v>
      </c>
      <c r="J478" s="115"/>
      <c r="K478" s="115"/>
      <c r="L478" s="131">
        <v>4.0</v>
      </c>
      <c r="M478" s="115"/>
      <c r="N478" s="131">
        <v>3.0</v>
      </c>
      <c r="O478" s="115"/>
      <c r="P478" s="123"/>
      <c r="Q478" s="123">
        <v>3.0</v>
      </c>
      <c r="R478" s="90" t="s">
        <v>14</v>
      </c>
      <c r="S478" s="67"/>
      <c r="T478" s="67"/>
      <c r="V478" s="67"/>
      <c r="AC478" s="134"/>
    </row>
    <row r="479">
      <c r="A479" s="11">
        <v>46128.0</v>
      </c>
      <c r="B479" s="13" t="s">
        <v>15</v>
      </c>
      <c r="C479" s="4">
        <v>60.0</v>
      </c>
      <c r="D479" s="82">
        <v>4.0</v>
      </c>
      <c r="F479" s="66">
        <f t="shared" si="152"/>
        <v>1</v>
      </c>
      <c r="G479" s="13">
        <f t="shared" si="153"/>
        <v>63</v>
      </c>
      <c r="H479" s="66">
        <f t="shared" si="154"/>
        <v>-2</v>
      </c>
      <c r="L479" s="72">
        <v>22.0</v>
      </c>
      <c r="N479" s="72">
        <v>21.0</v>
      </c>
      <c r="P479" s="123"/>
      <c r="Q479" s="123">
        <v>20.0</v>
      </c>
      <c r="R479" s="90" t="s">
        <v>15</v>
      </c>
      <c r="S479" s="67"/>
      <c r="T479" s="67"/>
      <c r="V479" s="67"/>
      <c r="AC479" s="133"/>
    </row>
    <row r="480">
      <c r="B480" s="4" t="s">
        <v>16</v>
      </c>
      <c r="C480" s="13">
        <f>sum(C468:C479)</f>
        <v>210</v>
      </c>
      <c r="D480" s="6"/>
      <c r="F480" s="66">
        <f t="shared" ref="F480:H480" si="155">sum(F468:F479)</f>
        <v>15</v>
      </c>
      <c r="G480" s="13">
        <f t="shared" si="155"/>
        <v>232</v>
      </c>
      <c r="H480" s="66">
        <f t="shared" si="155"/>
        <v>-7</v>
      </c>
      <c r="J480" s="97">
        <f t="shared" ref="J480:Q480" si="156">sum(J468:J479)</f>
        <v>0</v>
      </c>
      <c r="K480" s="97">
        <f t="shared" si="156"/>
        <v>0</v>
      </c>
      <c r="L480" s="97">
        <f t="shared" si="156"/>
        <v>82</v>
      </c>
      <c r="M480" s="97">
        <f t="shared" si="156"/>
        <v>0</v>
      </c>
      <c r="N480" s="97">
        <f t="shared" si="156"/>
        <v>77</v>
      </c>
      <c r="O480" s="97">
        <f t="shared" si="156"/>
        <v>0</v>
      </c>
      <c r="P480" s="97">
        <f t="shared" si="156"/>
        <v>0</v>
      </c>
      <c r="Q480" s="97">
        <f t="shared" si="156"/>
        <v>65</v>
      </c>
      <c r="R480" s="135"/>
      <c r="S480" s="136">
        <f t="shared" ref="S480:T480" si="157">sum(S468:S479)</f>
        <v>0</v>
      </c>
      <c r="T480" s="136">
        <f t="shared" si="157"/>
        <v>0</v>
      </c>
      <c r="U480" s="137"/>
      <c r="V480" s="137"/>
      <c r="W480" s="135"/>
      <c r="X480" s="135"/>
      <c r="Y480" s="137"/>
      <c r="Z480" s="135"/>
      <c r="AA480" s="135"/>
      <c r="AB480" s="135"/>
      <c r="AC480" s="135"/>
    </row>
    <row r="481">
      <c r="D481" s="6"/>
      <c r="L481" s="4">
        <v>82.0</v>
      </c>
      <c r="N481" s="4">
        <v>77.0</v>
      </c>
      <c r="Q481" s="4">
        <f>Q480</f>
        <v>65</v>
      </c>
    </row>
    <row r="482">
      <c r="D482" s="6"/>
    </row>
    <row r="483">
      <c r="A483" s="141"/>
      <c r="D483" s="6"/>
    </row>
    <row r="484">
      <c r="A484" s="141"/>
      <c r="B484" s="141"/>
      <c r="C484" s="141"/>
      <c r="D484" s="142"/>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c r="AA484" s="141"/>
    </row>
    <row r="485">
      <c r="D485" s="6"/>
    </row>
    <row r="486">
      <c r="C486" s="4" t="s">
        <v>250</v>
      </c>
      <c r="D486" s="82" t="s">
        <v>2</v>
      </c>
      <c r="F486" s="4" t="s">
        <v>244</v>
      </c>
      <c r="G486" s="4" t="s">
        <v>269</v>
      </c>
      <c r="H486" s="4" t="s">
        <v>245</v>
      </c>
      <c r="I486" s="4" t="s">
        <v>258</v>
      </c>
      <c r="J486" s="4" t="s">
        <v>93</v>
      </c>
      <c r="K486" s="4" t="s">
        <v>227</v>
      </c>
      <c r="L486" s="4" t="s">
        <v>89</v>
      </c>
      <c r="M486" s="4" t="s">
        <v>80</v>
      </c>
      <c r="N486" s="4" t="s">
        <v>81</v>
      </c>
      <c r="O486" s="4" t="s">
        <v>232</v>
      </c>
      <c r="P486" s="4" t="s">
        <v>265</v>
      </c>
      <c r="Q486" s="4" t="s">
        <v>264</v>
      </c>
      <c r="R486" s="127" t="s">
        <v>236</v>
      </c>
      <c r="S486" s="128" t="s">
        <v>233</v>
      </c>
      <c r="T486" s="128" t="s">
        <v>234</v>
      </c>
      <c r="U486" s="128" t="s">
        <v>238</v>
      </c>
      <c r="V486" s="128" t="s">
        <v>231</v>
      </c>
      <c r="W486" s="128" t="s">
        <v>239</v>
      </c>
      <c r="X486" s="128" t="s">
        <v>246</v>
      </c>
      <c r="Y486" s="128" t="s">
        <v>247</v>
      </c>
      <c r="Z486" s="129" t="s">
        <v>256</v>
      </c>
      <c r="AA486" s="128" t="s">
        <v>248</v>
      </c>
      <c r="AB486" s="128" t="s">
        <v>267</v>
      </c>
      <c r="AC486" s="130" t="s">
        <v>268</v>
      </c>
    </row>
    <row r="487">
      <c r="A487" s="11">
        <v>46131.0</v>
      </c>
      <c r="B487" s="114" t="s">
        <v>4</v>
      </c>
      <c r="C487" s="115">
        <v>60.0</v>
      </c>
      <c r="D487" s="6"/>
      <c r="F487" s="66">
        <f t="shared" ref="F487:F497" si="158">S471+T471</f>
        <v>0</v>
      </c>
      <c r="G487" s="13">
        <f t="shared" ref="G487:G498" si="159">sum(I487:Q487)</f>
        <v>47</v>
      </c>
      <c r="H487" s="66">
        <f t="shared" ref="H487:H498" si="160">C487+F487-G487+T487+C504</f>
        <v>55</v>
      </c>
      <c r="J487" s="115">
        <v>4.0</v>
      </c>
      <c r="K487" s="115">
        <v>3.0</v>
      </c>
      <c r="L487" s="115">
        <v>8.0</v>
      </c>
      <c r="M487" s="115">
        <v>6.0</v>
      </c>
      <c r="N487" s="115">
        <v>9.0</v>
      </c>
      <c r="O487" s="115">
        <v>5.0</v>
      </c>
      <c r="P487" s="4">
        <v>5.0</v>
      </c>
      <c r="Q487" s="4">
        <v>7.0</v>
      </c>
      <c r="R487" s="90" t="s">
        <v>4</v>
      </c>
      <c r="S487" s="67">
        <v>11.0</v>
      </c>
      <c r="T487" s="66">
        <f t="shared" ref="T487:T498" si="161">sum(U487:AC487)</f>
        <v>22</v>
      </c>
      <c r="U487" s="4">
        <v>2.0</v>
      </c>
      <c r="V487" s="67">
        <v>3.0</v>
      </c>
      <c r="W487" s="4">
        <v>3.0</v>
      </c>
      <c r="Y487" s="4">
        <v>1.0</v>
      </c>
      <c r="AB487" s="4">
        <v>7.0</v>
      </c>
      <c r="AC487" s="138">
        <v>6.0</v>
      </c>
    </row>
    <row r="488">
      <c r="A488" s="11">
        <v>46131.0</v>
      </c>
      <c r="B488" s="13" t="s">
        <v>5</v>
      </c>
      <c r="C488" s="4">
        <v>25.0</v>
      </c>
      <c r="D488" s="6"/>
      <c r="F488" s="66">
        <f t="shared" si="158"/>
        <v>0</v>
      </c>
      <c r="G488" s="13">
        <f t="shared" si="159"/>
        <v>31</v>
      </c>
      <c r="H488" s="66">
        <f t="shared" si="160"/>
        <v>18</v>
      </c>
      <c r="J488" s="4">
        <v>3.0</v>
      </c>
      <c r="K488" s="4">
        <v>2.0</v>
      </c>
      <c r="L488" s="4">
        <v>5.0</v>
      </c>
      <c r="M488" s="4">
        <v>4.0</v>
      </c>
      <c r="N488" s="4">
        <v>6.0</v>
      </c>
      <c r="O488" s="4">
        <v>3.0</v>
      </c>
      <c r="P488" s="123">
        <v>3.0</v>
      </c>
      <c r="Q488" s="123">
        <v>5.0</v>
      </c>
      <c r="R488" s="90" t="s">
        <v>5</v>
      </c>
      <c r="S488" s="67"/>
      <c r="T488" s="66">
        <f t="shared" si="161"/>
        <v>14</v>
      </c>
      <c r="U488" s="4">
        <v>2.0</v>
      </c>
      <c r="V488" s="67"/>
      <c r="W488" s="4">
        <v>5.0</v>
      </c>
      <c r="Y488" s="4">
        <v>4.0</v>
      </c>
      <c r="AC488" s="140">
        <v>3.0</v>
      </c>
    </row>
    <row r="489">
      <c r="A489" s="11">
        <v>46131.0</v>
      </c>
      <c r="B489" s="114" t="s">
        <v>6</v>
      </c>
      <c r="C489" s="115">
        <v>25.0</v>
      </c>
      <c r="D489" s="6"/>
      <c r="F489" s="66">
        <f t="shared" si="158"/>
        <v>0</v>
      </c>
      <c r="G489" s="13">
        <f t="shared" si="159"/>
        <v>26</v>
      </c>
      <c r="H489" s="66">
        <f t="shared" si="160"/>
        <v>23</v>
      </c>
      <c r="J489" s="115">
        <v>2.0</v>
      </c>
      <c r="K489" s="115">
        <v>1.0</v>
      </c>
      <c r="L489" s="115">
        <v>4.0</v>
      </c>
      <c r="M489" s="115">
        <v>3.0</v>
      </c>
      <c r="N489" s="115">
        <v>5.0</v>
      </c>
      <c r="O489" s="115">
        <v>3.0</v>
      </c>
      <c r="P489" s="123">
        <v>3.0</v>
      </c>
      <c r="Q489" s="123">
        <v>5.0</v>
      </c>
      <c r="R489" s="90" t="s">
        <v>6</v>
      </c>
      <c r="S489" s="67">
        <v>2.0</v>
      </c>
      <c r="T489" s="66">
        <f t="shared" si="161"/>
        <v>14</v>
      </c>
      <c r="U489" s="4">
        <v>1.0</v>
      </c>
      <c r="V489" s="67"/>
      <c r="W489" s="4">
        <v>3.0</v>
      </c>
      <c r="Y489" s="4">
        <v>3.0</v>
      </c>
      <c r="AB489" s="4">
        <v>3.0</v>
      </c>
      <c r="AC489" s="139">
        <v>4.0</v>
      </c>
    </row>
    <row r="490">
      <c r="A490" s="11">
        <v>46131.0</v>
      </c>
      <c r="B490" s="13" t="s">
        <v>7</v>
      </c>
      <c r="C490" s="4">
        <v>20.0</v>
      </c>
      <c r="D490" s="6"/>
      <c r="F490" s="66">
        <f t="shared" si="158"/>
        <v>0</v>
      </c>
      <c r="G490" s="13">
        <f t="shared" si="159"/>
        <v>24</v>
      </c>
      <c r="H490" s="66">
        <f t="shared" si="160"/>
        <v>12</v>
      </c>
      <c r="J490" s="4">
        <v>2.0</v>
      </c>
      <c r="K490" s="4">
        <v>1.0</v>
      </c>
      <c r="L490" s="4">
        <v>3.0</v>
      </c>
      <c r="M490" s="4">
        <v>4.0</v>
      </c>
      <c r="N490" s="4">
        <v>5.0</v>
      </c>
      <c r="O490" s="4">
        <v>3.0</v>
      </c>
      <c r="P490" s="123">
        <v>3.0</v>
      </c>
      <c r="Q490" s="123">
        <v>3.0</v>
      </c>
      <c r="R490" s="90" t="s">
        <v>7</v>
      </c>
      <c r="S490" s="67"/>
      <c r="T490" s="66">
        <f t="shared" si="161"/>
        <v>6</v>
      </c>
      <c r="U490" s="4">
        <v>1.0</v>
      </c>
      <c r="V490" s="67"/>
      <c r="W490" s="4">
        <v>3.0</v>
      </c>
      <c r="AC490" s="140">
        <v>2.0</v>
      </c>
    </row>
    <row r="491">
      <c r="A491" s="11">
        <v>46131.0</v>
      </c>
      <c r="B491" s="114" t="s">
        <v>8</v>
      </c>
      <c r="C491" s="115">
        <v>50.0</v>
      </c>
      <c r="D491" s="6"/>
      <c r="F491" s="66">
        <f t="shared" si="158"/>
        <v>0</v>
      </c>
      <c r="G491" s="13">
        <f t="shared" si="159"/>
        <v>39</v>
      </c>
      <c r="H491" s="66">
        <f t="shared" si="160"/>
        <v>32</v>
      </c>
      <c r="J491" s="115">
        <v>4.0</v>
      </c>
      <c r="K491" s="115">
        <v>2.0</v>
      </c>
      <c r="L491" s="115">
        <v>5.0</v>
      </c>
      <c r="M491" s="115">
        <v>4.0</v>
      </c>
      <c r="N491" s="115">
        <v>8.0</v>
      </c>
      <c r="O491" s="115">
        <v>5.0</v>
      </c>
      <c r="P491" s="123">
        <v>5.0</v>
      </c>
      <c r="Q491" s="123">
        <v>6.0</v>
      </c>
      <c r="R491" s="90" t="s">
        <v>8</v>
      </c>
      <c r="S491" s="67">
        <v>9.0</v>
      </c>
      <c r="T491" s="66">
        <f t="shared" si="161"/>
        <v>6</v>
      </c>
      <c r="U491" s="4">
        <v>1.0</v>
      </c>
      <c r="V491" s="67"/>
      <c r="W491" s="4">
        <v>1.0</v>
      </c>
      <c r="Y491" s="4">
        <v>1.0</v>
      </c>
      <c r="AB491" s="4">
        <v>3.0</v>
      </c>
      <c r="AC491" s="134"/>
    </row>
    <row r="492">
      <c r="A492" s="11">
        <v>46131.0</v>
      </c>
      <c r="B492" s="13" t="s">
        <v>9</v>
      </c>
      <c r="C492" s="4">
        <v>50.0</v>
      </c>
      <c r="D492" s="82"/>
      <c r="F492" s="66">
        <f t="shared" si="158"/>
        <v>0</v>
      </c>
      <c r="G492" s="13">
        <f t="shared" si="159"/>
        <v>41</v>
      </c>
      <c r="H492" s="66">
        <f t="shared" si="160"/>
        <v>33</v>
      </c>
      <c r="J492" s="4">
        <v>3.0</v>
      </c>
      <c r="K492" s="4">
        <v>3.0</v>
      </c>
      <c r="L492" s="4">
        <v>5.0</v>
      </c>
      <c r="M492" s="4">
        <v>5.0</v>
      </c>
      <c r="N492" s="4">
        <v>9.0</v>
      </c>
      <c r="O492" s="4">
        <v>5.0</v>
      </c>
      <c r="P492" s="123">
        <v>5.0</v>
      </c>
      <c r="Q492" s="123">
        <v>6.0</v>
      </c>
      <c r="R492" s="90" t="s">
        <v>9</v>
      </c>
      <c r="S492" s="67">
        <v>5.0</v>
      </c>
      <c r="T492" s="66">
        <f t="shared" si="161"/>
        <v>9</v>
      </c>
      <c r="U492" s="4">
        <v>2.0</v>
      </c>
      <c r="V492" s="67"/>
      <c r="Y492" s="4">
        <v>2.0</v>
      </c>
      <c r="AA492" s="4">
        <v>2.0</v>
      </c>
      <c r="AB492" s="4">
        <v>3.0</v>
      </c>
      <c r="AC492" s="133"/>
    </row>
    <row r="493">
      <c r="A493" s="11">
        <v>46131.0</v>
      </c>
      <c r="B493" s="114" t="s">
        <v>10</v>
      </c>
      <c r="C493" s="115">
        <v>35.0</v>
      </c>
      <c r="D493" s="6"/>
      <c r="F493" s="66">
        <f t="shared" si="158"/>
        <v>0</v>
      </c>
      <c r="G493" s="13">
        <f t="shared" si="159"/>
        <v>31</v>
      </c>
      <c r="H493" s="66">
        <f t="shared" si="160"/>
        <v>22</v>
      </c>
      <c r="J493" s="115">
        <v>3.0</v>
      </c>
      <c r="K493" s="115">
        <v>3.0</v>
      </c>
      <c r="L493" s="115">
        <v>4.0</v>
      </c>
      <c r="M493" s="115">
        <v>5.0</v>
      </c>
      <c r="N493" s="115">
        <v>5.0</v>
      </c>
      <c r="O493" s="115">
        <v>3.0</v>
      </c>
      <c r="P493" s="123">
        <v>3.0</v>
      </c>
      <c r="Q493" s="123">
        <v>5.0</v>
      </c>
      <c r="R493" s="90" t="s">
        <v>10</v>
      </c>
      <c r="S493" s="67">
        <v>5.0</v>
      </c>
      <c r="T493" s="66">
        <f t="shared" si="161"/>
        <v>8</v>
      </c>
      <c r="V493" s="67"/>
      <c r="W493" s="4">
        <v>2.0</v>
      </c>
      <c r="Y493" s="4">
        <v>1.0</v>
      </c>
      <c r="AA493" s="4">
        <v>2.0</v>
      </c>
      <c r="AB493" s="4">
        <v>1.0</v>
      </c>
      <c r="AC493" s="139">
        <v>2.0</v>
      </c>
    </row>
    <row r="494">
      <c r="A494" s="11">
        <v>46131.0</v>
      </c>
      <c r="B494" s="13" t="s">
        <v>11</v>
      </c>
      <c r="C494" s="4">
        <v>20.0</v>
      </c>
      <c r="D494" s="6"/>
      <c r="F494" s="66">
        <f t="shared" si="158"/>
        <v>0</v>
      </c>
      <c r="G494" s="13">
        <f t="shared" si="159"/>
        <v>25</v>
      </c>
      <c r="H494" s="66">
        <f t="shared" si="160"/>
        <v>8</v>
      </c>
      <c r="J494" s="4">
        <v>2.0</v>
      </c>
      <c r="K494" s="4">
        <v>2.0</v>
      </c>
      <c r="L494" s="4">
        <v>4.0</v>
      </c>
      <c r="M494" s="4">
        <v>3.0</v>
      </c>
      <c r="N494" s="4">
        <v>5.0</v>
      </c>
      <c r="O494" s="4">
        <v>3.0</v>
      </c>
      <c r="P494" s="123">
        <v>3.0</v>
      </c>
      <c r="Q494" s="123">
        <v>3.0</v>
      </c>
      <c r="R494" s="90" t="s">
        <v>11</v>
      </c>
      <c r="S494" s="67">
        <v>1.0</v>
      </c>
      <c r="T494" s="66">
        <f t="shared" si="161"/>
        <v>3</v>
      </c>
      <c r="V494" s="67"/>
      <c r="W494" s="4">
        <v>1.0</v>
      </c>
      <c r="AA494" s="4">
        <v>1.0</v>
      </c>
      <c r="AC494" s="140">
        <v>1.0</v>
      </c>
    </row>
    <row r="495">
      <c r="A495" s="11">
        <v>46131.0</v>
      </c>
      <c r="B495" s="114" t="s">
        <v>12</v>
      </c>
      <c r="C495" s="115">
        <v>20.0</v>
      </c>
      <c r="D495" s="6"/>
      <c r="F495" s="66">
        <f t="shared" si="158"/>
        <v>0</v>
      </c>
      <c r="G495" s="13">
        <f t="shared" si="159"/>
        <v>24</v>
      </c>
      <c r="H495" s="66">
        <f t="shared" si="160"/>
        <v>8</v>
      </c>
      <c r="J495" s="115">
        <v>2.0</v>
      </c>
      <c r="K495" s="115">
        <v>1.0</v>
      </c>
      <c r="L495" s="115">
        <v>5.0</v>
      </c>
      <c r="M495" s="115">
        <v>4.0</v>
      </c>
      <c r="N495" s="115">
        <v>5.0</v>
      </c>
      <c r="O495" s="115">
        <v>2.0</v>
      </c>
      <c r="P495" s="123">
        <v>2.0</v>
      </c>
      <c r="Q495" s="123">
        <v>3.0</v>
      </c>
      <c r="R495" s="90" t="s">
        <v>12</v>
      </c>
      <c r="S495" s="67"/>
      <c r="T495" s="66">
        <f t="shared" si="161"/>
        <v>7</v>
      </c>
      <c r="V495" s="66"/>
      <c r="W495" s="4">
        <v>3.0</v>
      </c>
      <c r="Y495" s="4">
        <v>2.0</v>
      </c>
      <c r="AA495" s="4">
        <v>1.0</v>
      </c>
      <c r="AC495" s="139">
        <v>1.0</v>
      </c>
    </row>
    <row r="496">
      <c r="A496" s="11">
        <v>46131.0</v>
      </c>
      <c r="B496" s="13" t="s">
        <v>13</v>
      </c>
      <c r="C496" s="4">
        <v>40.0</v>
      </c>
      <c r="D496" s="6"/>
      <c r="F496" s="66">
        <f t="shared" si="158"/>
        <v>0</v>
      </c>
      <c r="G496" s="13">
        <f t="shared" si="159"/>
        <v>34</v>
      </c>
      <c r="H496" s="66">
        <f t="shared" si="160"/>
        <v>35</v>
      </c>
      <c r="J496" s="4">
        <v>3.0</v>
      </c>
      <c r="K496" s="4">
        <v>3.0</v>
      </c>
      <c r="L496" s="4">
        <v>6.0</v>
      </c>
      <c r="M496" s="4">
        <v>5.0</v>
      </c>
      <c r="N496" s="4">
        <v>6.0</v>
      </c>
      <c r="O496" s="4">
        <v>3.0</v>
      </c>
      <c r="P496" s="123">
        <v>3.0</v>
      </c>
      <c r="Q496" s="123">
        <v>5.0</v>
      </c>
      <c r="R496" s="90" t="s">
        <v>13</v>
      </c>
      <c r="S496" s="67">
        <v>9.0</v>
      </c>
      <c r="T496" s="66">
        <f t="shared" si="161"/>
        <v>14</v>
      </c>
      <c r="V496" s="67">
        <v>2.0</v>
      </c>
      <c r="W496" s="4">
        <v>3.0</v>
      </c>
      <c r="Y496" s="4">
        <v>5.0</v>
      </c>
      <c r="AB496" s="4">
        <v>2.0</v>
      </c>
      <c r="AC496" s="140">
        <v>2.0</v>
      </c>
    </row>
    <row r="497">
      <c r="A497" s="11">
        <v>46131.0</v>
      </c>
      <c r="B497" s="114" t="s">
        <v>14</v>
      </c>
      <c r="C497" s="115">
        <v>30.0</v>
      </c>
      <c r="D497" s="6"/>
      <c r="F497" s="13">
        <f t="shared" si="158"/>
        <v>0</v>
      </c>
      <c r="G497" s="13">
        <f t="shared" si="159"/>
        <v>25</v>
      </c>
      <c r="H497" s="66">
        <f t="shared" si="160"/>
        <v>25</v>
      </c>
      <c r="J497" s="115">
        <v>2.0</v>
      </c>
      <c r="K497" s="115">
        <v>1.0</v>
      </c>
      <c r="L497" s="115">
        <v>4.0</v>
      </c>
      <c r="M497" s="115">
        <v>3.0</v>
      </c>
      <c r="N497" s="115">
        <v>6.0</v>
      </c>
      <c r="O497" s="115">
        <v>3.0</v>
      </c>
      <c r="P497" s="123">
        <v>3.0</v>
      </c>
      <c r="Q497" s="123">
        <v>3.0</v>
      </c>
      <c r="R497" s="90" t="s">
        <v>14</v>
      </c>
      <c r="S497" s="67">
        <v>3.0</v>
      </c>
      <c r="T497" s="66">
        <f t="shared" si="161"/>
        <v>10</v>
      </c>
      <c r="V497" s="67"/>
      <c r="W497" s="4">
        <v>3.0</v>
      </c>
      <c r="AA497" s="4">
        <v>2.0</v>
      </c>
      <c r="AB497" s="4">
        <v>3.0</v>
      </c>
      <c r="AC497" s="139">
        <v>2.0</v>
      </c>
    </row>
    <row r="498">
      <c r="A498" s="11">
        <v>46131.0</v>
      </c>
      <c r="B498" s="13" t="s">
        <v>15</v>
      </c>
      <c r="C498" s="4">
        <v>375.0</v>
      </c>
      <c r="D498" s="82"/>
      <c r="F498" s="13">
        <f>S483+T483</f>
        <v>0</v>
      </c>
      <c r="G498" s="13">
        <f t="shared" si="159"/>
        <v>269</v>
      </c>
      <c r="H498" s="66">
        <f t="shared" si="160"/>
        <v>309</v>
      </c>
      <c r="J498" s="4">
        <v>25.0</v>
      </c>
      <c r="K498" s="4">
        <v>20.0</v>
      </c>
      <c r="L498" s="4">
        <v>45.0</v>
      </c>
      <c r="M498" s="4">
        <v>40.0</v>
      </c>
      <c r="N498" s="4">
        <v>50.0</v>
      </c>
      <c r="O498" s="4">
        <v>25.0</v>
      </c>
      <c r="P498" s="123">
        <v>25.0</v>
      </c>
      <c r="Q498" s="123">
        <v>39.0</v>
      </c>
      <c r="R498" s="90" t="s">
        <v>15</v>
      </c>
      <c r="S498" s="67">
        <v>94.0</v>
      </c>
      <c r="T498" s="66">
        <f t="shared" si="161"/>
        <v>83</v>
      </c>
      <c r="U498" s="4">
        <v>5.0</v>
      </c>
      <c r="V498" s="67">
        <v>18.0</v>
      </c>
      <c r="W498" s="4">
        <v>8.0</v>
      </c>
      <c r="X498" s="4">
        <v>4.0</v>
      </c>
      <c r="Y498" s="4">
        <v>4.0</v>
      </c>
      <c r="AA498" s="4">
        <v>5.0</v>
      </c>
      <c r="AB498" s="4">
        <v>28.0</v>
      </c>
      <c r="AC498" s="140">
        <v>11.0</v>
      </c>
    </row>
    <row r="499">
      <c r="B499" s="4" t="s">
        <v>16</v>
      </c>
      <c r="C499" s="13">
        <f>sum(C487:C498)</f>
        <v>750</v>
      </c>
      <c r="D499" s="6"/>
      <c r="F499" s="66">
        <f t="shared" ref="F499:H499" si="162">sum(F487:F498)</f>
        <v>0</v>
      </c>
      <c r="G499" s="13">
        <f t="shared" si="162"/>
        <v>616</v>
      </c>
      <c r="H499" s="66">
        <f t="shared" si="162"/>
        <v>580</v>
      </c>
      <c r="J499" s="97">
        <f t="shared" ref="J499:Q499" si="163">sum(J487:J498)</f>
        <v>55</v>
      </c>
      <c r="K499" s="97">
        <f t="shared" si="163"/>
        <v>42</v>
      </c>
      <c r="L499" s="97">
        <f t="shared" si="163"/>
        <v>98</v>
      </c>
      <c r="M499" s="97">
        <f t="shared" si="163"/>
        <v>86</v>
      </c>
      <c r="N499" s="97">
        <f t="shared" si="163"/>
        <v>119</v>
      </c>
      <c r="O499" s="97">
        <f t="shared" si="163"/>
        <v>63</v>
      </c>
      <c r="P499" s="97">
        <f t="shared" si="163"/>
        <v>63</v>
      </c>
      <c r="Q499" s="97">
        <f t="shared" si="163"/>
        <v>90</v>
      </c>
      <c r="R499" s="135"/>
      <c r="S499" s="136">
        <f t="shared" ref="S499:AC499" si="164">sum(S487:S498)</f>
        <v>139</v>
      </c>
      <c r="T499" s="136">
        <f t="shared" si="164"/>
        <v>196</v>
      </c>
      <c r="U499" s="137">
        <f t="shared" si="164"/>
        <v>14</v>
      </c>
      <c r="V499" s="143">
        <f t="shared" si="164"/>
        <v>23</v>
      </c>
      <c r="W499" s="137">
        <f t="shared" si="164"/>
        <v>35</v>
      </c>
      <c r="X499" s="137">
        <f t="shared" si="164"/>
        <v>4</v>
      </c>
      <c r="Y499" s="137">
        <f t="shared" si="164"/>
        <v>23</v>
      </c>
      <c r="Z499" s="137">
        <f t="shared" si="164"/>
        <v>0</v>
      </c>
      <c r="AA499" s="137">
        <f t="shared" si="164"/>
        <v>13</v>
      </c>
      <c r="AB499" s="137">
        <f t="shared" si="164"/>
        <v>50</v>
      </c>
      <c r="AC499" s="137">
        <f t="shared" si="164"/>
        <v>34</v>
      </c>
    </row>
    <row r="500">
      <c r="D500" s="6"/>
      <c r="J500" s="13">
        <f t="shared" ref="J500:N500" si="165">J499-U499</f>
        <v>41</v>
      </c>
      <c r="K500" s="66">
        <f t="shared" si="165"/>
        <v>19</v>
      </c>
      <c r="L500" s="13">
        <f t="shared" si="165"/>
        <v>63</v>
      </c>
      <c r="M500" s="13">
        <f t="shared" si="165"/>
        <v>82</v>
      </c>
      <c r="N500" s="13">
        <f t="shared" si="165"/>
        <v>96</v>
      </c>
      <c r="O500" s="13">
        <f t="shared" ref="O500:Q500" si="166">O499-AA499</f>
        <v>50</v>
      </c>
      <c r="P500" s="13">
        <f t="shared" si="166"/>
        <v>13</v>
      </c>
      <c r="Q500" s="13">
        <f t="shared" si="166"/>
        <v>56</v>
      </c>
    </row>
    <row r="501">
      <c r="D501" s="6"/>
    </row>
    <row r="502">
      <c r="D502" s="6"/>
      <c r="G502" s="4"/>
      <c r="I502" s="62"/>
      <c r="J502" s="62" t="s">
        <v>114</v>
      </c>
      <c r="P502" s="62"/>
    </row>
    <row r="503">
      <c r="D503" s="6"/>
      <c r="H503" s="4" t="s">
        <v>251</v>
      </c>
      <c r="I503" s="75" t="s">
        <v>253</v>
      </c>
      <c r="J503" s="4" t="s">
        <v>93</v>
      </c>
      <c r="K503" s="4" t="s">
        <v>227</v>
      </c>
      <c r="L503" s="4" t="s">
        <v>89</v>
      </c>
      <c r="M503" s="4" t="s">
        <v>80</v>
      </c>
      <c r="N503" s="4" t="s">
        <v>81</v>
      </c>
      <c r="O503" s="4" t="s">
        <v>232</v>
      </c>
      <c r="P503" s="4" t="s">
        <v>265</v>
      </c>
      <c r="Q503" s="4" t="s">
        <v>264</v>
      </c>
      <c r="R503" s="127" t="s">
        <v>236</v>
      </c>
      <c r="S503" s="128" t="s">
        <v>233</v>
      </c>
      <c r="T503" s="128" t="s">
        <v>234</v>
      </c>
      <c r="U503" s="128" t="s">
        <v>238</v>
      </c>
      <c r="V503" s="128" t="s">
        <v>231</v>
      </c>
      <c r="W503" s="128" t="s">
        <v>239</v>
      </c>
      <c r="X503" s="128" t="s">
        <v>246</v>
      </c>
      <c r="Y503" s="128" t="s">
        <v>247</v>
      </c>
      <c r="Z503" s="129" t="s">
        <v>256</v>
      </c>
      <c r="AA503" s="128" t="s">
        <v>248</v>
      </c>
      <c r="AB503" s="128" t="s">
        <v>267</v>
      </c>
      <c r="AC503" s="130" t="s">
        <v>268</v>
      </c>
    </row>
    <row r="504">
      <c r="A504" s="11">
        <v>46131.0</v>
      </c>
      <c r="B504" s="114" t="s">
        <v>4</v>
      </c>
      <c r="C504" s="115">
        <v>20.0</v>
      </c>
      <c r="D504" s="6"/>
      <c r="H504" s="66">
        <f t="shared" ref="H504:H515" si="167">S487+T487</f>
        <v>33</v>
      </c>
      <c r="I504" s="119">
        <f t="shared" ref="I504:I515" si="168">H504-sum(J504:Q504)</f>
        <v>15</v>
      </c>
      <c r="L504" s="4">
        <v>4.0</v>
      </c>
      <c r="M504" s="4">
        <v>4.0</v>
      </c>
      <c r="N504" s="67">
        <v>4.0</v>
      </c>
      <c r="P504" s="4">
        <v>3.0</v>
      </c>
      <c r="Q504" s="4">
        <v>3.0</v>
      </c>
      <c r="R504" s="90" t="s">
        <v>4</v>
      </c>
      <c r="S504" s="67"/>
      <c r="T504" s="66">
        <f t="shared" ref="T504:T510" si="169">sum(U504:AC504)</f>
        <v>2</v>
      </c>
      <c r="V504" s="67"/>
      <c r="W504" s="4">
        <v>1.0</v>
      </c>
      <c r="AB504" s="4">
        <v>1.0</v>
      </c>
      <c r="AC504" s="138"/>
    </row>
    <row r="505">
      <c r="A505" s="11">
        <v>46131.0</v>
      </c>
      <c r="B505" s="13" t="s">
        <v>5</v>
      </c>
      <c r="C505" s="4">
        <v>10.0</v>
      </c>
      <c r="D505" s="6"/>
      <c r="H505" s="66">
        <f t="shared" si="167"/>
        <v>14</v>
      </c>
      <c r="I505" s="119">
        <f t="shared" si="168"/>
        <v>14</v>
      </c>
      <c r="N505" s="67"/>
      <c r="P505" s="67"/>
      <c r="R505" s="90" t="s">
        <v>5</v>
      </c>
      <c r="S505" s="67"/>
      <c r="T505" s="66">
        <f t="shared" si="169"/>
        <v>0</v>
      </c>
      <c r="V505" s="67"/>
      <c r="AC505" s="133"/>
    </row>
    <row r="506">
      <c r="A506" s="11">
        <v>46131.0</v>
      </c>
      <c r="B506" s="114" t="s">
        <v>6</v>
      </c>
      <c r="C506" s="115">
        <v>10.0</v>
      </c>
      <c r="D506" s="6"/>
      <c r="H506" s="66">
        <f t="shared" si="167"/>
        <v>16</v>
      </c>
      <c r="I506" s="119">
        <f t="shared" si="168"/>
        <v>10</v>
      </c>
      <c r="L506" s="4">
        <v>2.0</v>
      </c>
      <c r="M506" s="4">
        <v>2.0</v>
      </c>
      <c r="N506" s="67">
        <v>2.0</v>
      </c>
      <c r="R506" s="90" t="s">
        <v>6</v>
      </c>
      <c r="S506" s="67"/>
      <c r="T506" s="66">
        <f t="shared" si="169"/>
        <v>1</v>
      </c>
      <c r="V506" s="67"/>
      <c r="X506" s="4">
        <v>1.0</v>
      </c>
      <c r="AC506" s="139"/>
    </row>
    <row r="507">
      <c r="A507" s="11">
        <v>46131.0</v>
      </c>
      <c r="B507" s="13" t="s">
        <v>7</v>
      </c>
      <c r="C507" s="4">
        <v>10.0</v>
      </c>
      <c r="D507" s="6"/>
      <c r="H507" s="66">
        <f t="shared" si="167"/>
        <v>6</v>
      </c>
      <c r="I507" s="119">
        <f t="shared" si="168"/>
        <v>6</v>
      </c>
      <c r="N507" s="67"/>
      <c r="P507" s="67"/>
      <c r="R507" s="90" t="s">
        <v>7</v>
      </c>
      <c r="S507" s="67"/>
      <c r="T507" s="66">
        <f t="shared" si="169"/>
        <v>0</v>
      </c>
      <c r="V507" s="67"/>
      <c r="AC507" s="140"/>
    </row>
    <row r="508">
      <c r="A508" s="11">
        <v>46131.0</v>
      </c>
      <c r="B508" s="114" t="s">
        <v>8</v>
      </c>
      <c r="C508" s="115">
        <v>15.0</v>
      </c>
      <c r="D508" s="6"/>
      <c r="H508" s="66">
        <f t="shared" si="167"/>
        <v>15</v>
      </c>
      <c r="I508" s="119">
        <f t="shared" si="168"/>
        <v>2</v>
      </c>
      <c r="L508" s="4">
        <v>3.0</v>
      </c>
      <c r="M508" s="4">
        <v>2.0</v>
      </c>
      <c r="N508" s="67">
        <v>3.0</v>
      </c>
      <c r="P508" s="67">
        <v>2.0</v>
      </c>
      <c r="Q508" s="4">
        <v>3.0</v>
      </c>
      <c r="R508" s="90" t="s">
        <v>8</v>
      </c>
      <c r="S508" s="67"/>
      <c r="T508" s="66">
        <f t="shared" si="169"/>
        <v>1</v>
      </c>
      <c r="V508" s="67"/>
      <c r="W508" s="4">
        <v>1.0</v>
      </c>
      <c r="AC508" s="134"/>
    </row>
    <row r="509">
      <c r="A509" s="11">
        <v>46131.0</v>
      </c>
      <c r="B509" s="13" t="s">
        <v>9</v>
      </c>
      <c r="C509" s="4">
        <v>15.0</v>
      </c>
      <c r="D509" s="6"/>
      <c r="H509" s="66">
        <f t="shared" si="167"/>
        <v>14</v>
      </c>
      <c r="I509" s="119">
        <f t="shared" si="168"/>
        <v>2</v>
      </c>
      <c r="L509" s="4">
        <v>3.0</v>
      </c>
      <c r="M509" s="4">
        <v>2.0</v>
      </c>
      <c r="N509" s="67">
        <v>3.0</v>
      </c>
      <c r="P509" s="67">
        <v>2.0</v>
      </c>
      <c r="Q509" s="4">
        <v>2.0</v>
      </c>
      <c r="R509" s="90" t="s">
        <v>9</v>
      </c>
      <c r="S509" s="67"/>
      <c r="T509" s="66">
        <f t="shared" si="169"/>
        <v>3</v>
      </c>
      <c r="V509" s="67"/>
      <c r="W509" s="4">
        <v>1.0</v>
      </c>
      <c r="Y509" s="4">
        <v>1.0</v>
      </c>
      <c r="AB509" s="4">
        <v>1.0</v>
      </c>
      <c r="AC509" s="133"/>
    </row>
    <row r="510">
      <c r="A510" s="11">
        <v>46131.0</v>
      </c>
      <c r="B510" s="114" t="s">
        <v>10</v>
      </c>
      <c r="C510" s="115">
        <v>10.0</v>
      </c>
      <c r="D510" s="6"/>
      <c r="H510" s="66">
        <f t="shared" si="167"/>
        <v>13</v>
      </c>
      <c r="I510" s="119">
        <f t="shared" si="168"/>
        <v>2</v>
      </c>
      <c r="L510" s="4">
        <v>2.0</v>
      </c>
      <c r="M510" s="4">
        <v>2.0</v>
      </c>
      <c r="N510" s="4">
        <v>2.0</v>
      </c>
      <c r="P510" s="67">
        <v>3.0</v>
      </c>
      <c r="Q510" s="4">
        <v>2.0</v>
      </c>
      <c r="R510" s="90" t="s">
        <v>10</v>
      </c>
      <c r="S510" s="67"/>
      <c r="T510" s="66">
        <f t="shared" si="169"/>
        <v>2</v>
      </c>
      <c r="V510" s="67"/>
      <c r="W510" s="4">
        <v>2.0</v>
      </c>
      <c r="AC510" s="134"/>
    </row>
    <row r="511">
      <c r="A511" s="11">
        <v>46131.0</v>
      </c>
      <c r="B511" s="13" t="s">
        <v>11</v>
      </c>
      <c r="C511" s="4">
        <v>10.0</v>
      </c>
      <c r="D511" s="6"/>
      <c r="H511" s="66">
        <f t="shared" si="167"/>
        <v>4</v>
      </c>
      <c r="I511" s="119">
        <f t="shared" si="168"/>
        <v>4</v>
      </c>
      <c r="N511" s="66"/>
      <c r="P511" s="67"/>
      <c r="R511" s="90" t="s">
        <v>11</v>
      </c>
      <c r="S511" s="67"/>
      <c r="T511" s="66"/>
      <c r="V511" s="67"/>
      <c r="AC511" s="133"/>
    </row>
    <row r="512">
      <c r="A512" s="11">
        <v>46131.0</v>
      </c>
      <c r="B512" s="114" t="s">
        <v>12</v>
      </c>
      <c r="C512" s="115">
        <v>5.0</v>
      </c>
      <c r="D512" s="6"/>
      <c r="H512" s="66">
        <f t="shared" si="167"/>
        <v>7</v>
      </c>
      <c r="I512" s="119">
        <f t="shared" si="168"/>
        <v>7</v>
      </c>
      <c r="N512" s="67"/>
      <c r="P512" s="66"/>
      <c r="R512" s="90" t="s">
        <v>12</v>
      </c>
      <c r="S512" s="67"/>
      <c r="T512" s="66">
        <f t="shared" ref="T512:T515" si="170">sum(U512:AC512)</f>
        <v>0</v>
      </c>
      <c r="V512" s="66"/>
      <c r="AC512" s="139"/>
    </row>
    <row r="513">
      <c r="A513" s="11">
        <v>46131.0</v>
      </c>
      <c r="B513" s="13" t="s">
        <v>13</v>
      </c>
      <c r="C513" s="4">
        <v>15.0</v>
      </c>
      <c r="D513" s="6"/>
      <c r="H513" s="66">
        <f t="shared" si="167"/>
        <v>23</v>
      </c>
      <c r="I513" s="119">
        <f t="shared" si="168"/>
        <v>10</v>
      </c>
      <c r="L513" s="4">
        <v>3.0</v>
      </c>
      <c r="M513" s="67">
        <v>3.0</v>
      </c>
      <c r="N513" s="4">
        <v>3.0</v>
      </c>
      <c r="P513" s="67">
        <v>2.0</v>
      </c>
      <c r="Q513" s="4">
        <v>2.0</v>
      </c>
      <c r="R513" s="90" t="s">
        <v>13</v>
      </c>
      <c r="S513" s="67"/>
      <c r="T513" s="66">
        <f t="shared" si="170"/>
        <v>2</v>
      </c>
      <c r="V513" s="67"/>
      <c r="Y513" s="4">
        <v>1.0</v>
      </c>
      <c r="AB513" s="4">
        <v>1.0</v>
      </c>
      <c r="AC513" s="140"/>
    </row>
    <row r="514">
      <c r="A514" s="11">
        <v>46131.0</v>
      </c>
      <c r="B514" s="114" t="s">
        <v>14</v>
      </c>
      <c r="C514" s="115">
        <v>10.0</v>
      </c>
      <c r="D514" s="6"/>
      <c r="H514" s="66">
        <f t="shared" si="167"/>
        <v>13</v>
      </c>
      <c r="I514" s="119">
        <f t="shared" si="168"/>
        <v>6</v>
      </c>
      <c r="L514" s="4">
        <v>2.0</v>
      </c>
      <c r="M514" s="67">
        <v>1.0</v>
      </c>
      <c r="N514" s="4">
        <v>2.0</v>
      </c>
      <c r="P514" s="67">
        <v>1.0</v>
      </c>
      <c r="Q514" s="4">
        <v>1.0</v>
      </c>
      <c r="R514" s="90" t="s">
        <v>14</v>
      </c>
      <c r="S514" s="67"/>
      <c r="T514" s="66">
        <f t="shared" si="170"/>
        <v>2</v>
      </c>
      <c r="V514" s="67"/>
      <c r="Y514" s="4">
        <v>2.0</v>
      </c>
      <c r="AC514" s="134"/>
    </row>
    <row r="515">
      <c r="A515" s="11">
        <v>46131.0</v>
      </c>
      <c r="B515" s="13" t="s">
        <v>15</v>
      </c>
      <c r="C515" s="4">
        <v>120.0</v>
      </c>
      <c r="D515" s="6"/>
      <c r="H515" s="66">
        <f t="shared" si="167"/>
        <v>177</v>
      </c>
      <c r="I515" s="119">
        <f t="shared" si="168"/>
        <v>98</v>
      </c>
      <c r="L515" s="4">
        <v>15.0</v>
      </c>
      <c r="M515" s="4">
        <v>15.0</v>
      </c>
      <c r="N515" s="67">
        <v>15.0</v>
      </c>
      <c r="P515" s="67">
        <v>17.0</v>
      </c>
      <c r="Q515" s="4">
        <v>17.0</v>
      </c>
      <c r="R515" s="90" t="s">
        <v>15</v>
      </c>
      <c r="S515" s="67">
        <v>29.0</v>
      </c>
      <c r="T515" s="66">
        <f t="shared" si="170"/>
        <v>23</v>
      </c>
      <c r="V515" s="67"/>
      <c r="W515" s="4">
        <v>4.0</v>
      </c>
      <c r="Y515" s="4">
        <v>7.0</v>
      </c>
      <c r="AB515" s="4">
        <v>12.0</v>
      </c>
      <c r="AC515" s="133"/>
    </row>
    <row r="516">
      <c r="B516" s="4" t="s">
        <v>16</v>
      </c>
      <c r="C516" s="13">
        <f>sum(C504:C515)</f>
        <v>250</v>
      </c>
      <c r="D516" s="6"/>
      <c r="I516" s="66">
        <f t="shared" ref="I516:Q516" si="171">sum(I504:I515)</f>
        <v>176</v>
      </c>
      <c r="J516" s="97">
        <f t="shared" si="171"/>
        <v>0</v>
      </c>
      <c r="K516" s="97">
        <f t="shared" si="171"/>
        <v>0</v>
      </c>
      <c r="L516" s="97">
        <f t="shared" si="171"/>
        <v>34</v>
      </c>
      <c r="M516" s="97">
        <f t="shared" si="171"/>
        <v>31</v>
      </c>
      <c r="N516" s="118">
        <f t="shared" si="171"/>
        <v>34</v>
      </c>
      <c r="O516" s="97">
        <f t="shared" si="171"/>
        <v>0</v>
      </c>
      <c r="P516" s="97">
        <f t="shared" si="171"/>
        <v>30</v>
      </c>
      <c r="Q516" s="97">
        <f t="shared" si="171"/>
        <v>30</v>
      </c>
      <c r="R516" s="135"/>
      <c r="S516" s="136">
        <f t="shared" ref="S516:AC516" si="172">sum(S504:S515)</f>
        <v>29</v>
      </c>
      <c r="T516" s="136">
        <f t="shared" si="172"/>
        <v>36</v>
      </c>
      <c r="U516" s="135">
        <f t="shared" si="172"/>
        <v>0</v>
      </c>
      <c r="V516" s="136">
        <f t="shared" si="172"/>
        <v>0</v>
      </c>
      <c r="W516" s="135">
        <f t="shared" si="172"/>
        <v>9</v>
      </c>
      <c r="X516" s="135">
        <f t="shared" si="172"/>
        <v>1</v>
      </c>
      <c r="Y516" s="135">
        <f t="shared" si="172"/>
        <v>11</v>
      </c>
      <c r="Z516" s="135">
        <f t="shared" si="172"/>
        <v>0</v>
      </c>
      <c r="AA516" s="135">
        <f t="shared" si="172"/>
        <v>0</v>
      </c>
      <c r="AB516" s="135">
        <f t="shared" si="172"/>
        <v>15</v>
      </c>
      <c r="AC516" s="135">
        <f t="shared" si="172"/>
        <v>0</v>
      </c>
    </row>
    <row r="517">
      <c r="D517" s="6"/>
    </row>
    <row r="518">
      <c r="D518" s="6"/>
    </row>
    <row r="519">
      <c r="C519" s="4" t="s">
        <v>270</v>
      </c>
      <c r="D519" s="82" t="s">
        <v>271</v>
      </c>
      <c r="F519" s="4" t="s">
        <v>244</v>
      </c>
      <c r="G519" s="4" t="s">
        <v>269</v>
      </c>
      <c r="H519" s="4" t="s">
        <v>245</v>
      </c>
      <c r="I519" s="4" t="s">
        <v>258</v>
      </c>
      <c r="J519" s="4" t="s">
        <v>93</v>
      </c>
      <c r="K519" s="4" t="s">
        <v>227</v>
      </c>
      <c r="L519" s="4" t="s">
        <v>89</v>
      </c>
      <c r="M519" s="4" t="s">
        <v>80</v>
      </c>
      <c r="N519" s="4" t="s">
        <v>81</v>
      </c>
      <c r="O519" s="4" t="s">
        <v>232</v>
      </c>
      <c r="P519" s="4" t="s">
        <v>265</v>
      </c>
      <c r="Q519" s="4" t="s">
        <v>264</v>
      </c>
      <c r="R519" s="127" t="s">
        <v>236</v>
      </c>
      <c r="S519" s="128" t="s">
        <v>233</v>
      </c>
      <c r="T519" s="128" t="s">
        <v>234</v>
      </c>
      <c r="U519" s="128" t="s">
        <v>238</v>
      </c>
      <c r="V519" s="128" t="s">
        <v>231</v>
      </c>
      <c r="W519" s="128" t="s">
        <v>239</v>
      </c>
      <c r="X519" s="128" t="s">
        <v>246</v>
      </c>
      <c r="Y519" s="128" t="s">
        <v>247</v>
      </c>
      <c r="Z519" s="128" t="s">
        <v>248</v>
      </c>
      <c r="AA519" s="128" t="s">
        <v>267</v>
      </c>
      <c r="AB519" s="130" t="s">
        <v>268</v>
      </c>
    </row>
    <row r="520">
      <c r="A520" s="11">
        <v>46132.0</v>
      </c>
      <c r="B520" s="114" t="s">
        <v>4</v>
      </c>
      <c r="C520" s="115">
        <v>20.0</v>
      </c>
      <c r="D520" s="6">
        <f t="shared" ref="D520:D532" si="173">C504</f>
        <v>20</v>
      </c>
      <c r="F520" s="66">
        <f t="shared" ref="F520:F531" si="174">I504+S504+T504</f>
        <v>17</v>
      </c>
      <c r="G520" s="13">
        <f t="shared" ref="G520:G531" si="175">sum(I520:Q520)</f>
        <v>43</v>
      </c>
      <c r="H520" s="66">
        <f t="shared" ref="H520:H531" si="176">C520+F520-G520+T520+C554+D520</f>
        <v>36</v>
      </c>
      <c r="J520" s="115">
        <v>4.0</v>
      </c>
      <c r="K520" s="115">
        <v>3.0</v>
      </c>
      <c r="L520" s="115">
        <v>7.0</v>
      </c>
      <c r="M520" s="115">
        <v>6.0</v>
      </c>
      <c r="N520" s="115">
        <v>7.0</v>
      </c>
      <c r="O520" s="115">
        <v>5.0</v>
      </c>
      <c r="P520" s="4">
        <v>4.0</v>
      </c>
      <c r="Q520" s="4">
        <v>7.0</v>
      </c>
      <c r="R520" s="90" t="s">
        <v>4</v>
      </c>
      <c r="S520" s="67"/>
      <c r="T520" s="66">
        <f t="shared" ref="T520:T526" si="177">sum(U520:AB520)</f>
        <v>2</v>
      </c>
      <c r="V520" s="67"/>
      <c r="W520" s="4">
        <v>1.0</v>
      </c>
      <c r="AA520" s="4">
        <v>1.0</v>
      </c>
      <c r="AB520" s="138"/>
    </row>
    <row r="521">
      <c r="A521" s="11">
        <v>46132.0</v>
      </c>
      <c r="B521" s="13" t="s">
        <v>5</v>
      </c>
      <c r="C521" s="4">
        <v>15.0</v>
      </c>
      <c r="D521" s="6">
        <f t="shared" si="173"/>
        <v>10</v>
      </c>
      <c r="F521" s="66">
        <f t="shared" si="174"/>
        <v>14</v>
      </c>
      <c r="G521" s="13">
        <f t="shared" si="175"/>
        <v>30</v>
      </c>
      <c r="H521" s="66">
        <f t="shared" si="176"/>
        <v>24</v>
      </c>
      <c r="J521" s="4">
        <v>3.0</v>
      </c>
      <c r="K521" s="4">
        <v>2.0</v>
      </c>
      <c r="L521" s="4">
        <v>5.0</v>
      </c>
      <c r="M521" s="4">
        <v>4.0</v>
      </c>
      <c r="N521" s="4">
        <v>5.0</v>
      </c>
      <c r="O521" s="4">
        <v>3.0</v>
      </c>
      <c r="P521" s="123">
        <v>3.0</v>
      </c>
      <c r="Q521" s="123">
        <v>5.0</v>
      </c>
      <c r="R521" s="90" t="s">
        <v>5</v>
      </c>
      <c r="S521" s="67"/>
      <c r="T521" s="66">
        <f t="shared" si="177"/>
        <v>0</v>
      </c>
      <c r="V521" s="67"/>
      <c r="AB521" s="133"/>
    </row>
    <row r="522">
      <c r="A522" s="11">
        <v>46132.0</v>
      </c>
      <c r="B522" s="114" t="s">
        <v>6</v>
      </c>
      <c r="C522" s="115">
        <v>15.0</v>
      </c>
      <c r="D522" s="6">
        <f t="shared" si="173"/>
        <v>10</v>
      </c>
      <c r="F522" s="66">
        <f t="shared" si="174"/>
        <v>11</v>
      </c>
      <c r="G522" s="13">
        <f t="shared" si="175"/>
        <v>26</v>
      </c>
      <c r="H522" s="66">
        <f t="shared" si="176"/>
        <v>36</v>
      </c>
      <c r="J522" s="115">
        <v>2.0</v>
      </c>
      <c r="K522" s="115">
        <v>1.0</v>
      </c>
      <c r="L522" s="115">
        <v>4.0</v>
      </c>
      <c r="M522" s="115">
        <v>3.0</v>
      </c>
      <c r="N522" s="115">
        <v>5.0</v>
      </c>
      <c r="O522" s="115">
        <v>3.0</v>
      </c>
      <c r="P522" s="123">
        <v>3.0</v>
      </c>
      <c r="Q522" s="123">
        <v>5.0</v>
      </c>
      <c r="R522" s="90" t="s">
        <v>6</v>
      </c>
      <c r="S522" s="67"/>
      <c r="T522" s="66">
        <f t="shared" si="177"/>
        <v>1</v>
      </c>
      <c r="V522" s="67"/>
      <c r="X522" s="4">
        <v>1.0</v>
      </c>
      <c r="AB522" s="139"/>
    </row>
    <row r="523">
      <c r="A523" s="11">
        <v>46132.0</v>
      </c>
      <c r="B523" s="13" t="s">
        <v>7</v>
      </c>
      <c r="C523" s="4">
        <v>15.0</v>
      </c>
      <c r="D523" s="6">
        <f t="shared" si="173"/>
        <v>10</v>
      </c>
      <c r="F523" s="66">
        <f t="shared" si="174"/>
        <v>6</v>
      </c>
      <c r="G523" s="13">
        <f t="shared" si="175"/>
        <v>24</v>
      </c>
      <c r="H523" s="66">
        <f t="shared" si="176"/>
        <v>37</v>
      </c>
      <c r="J523" s="4">
        <v>2.0</v>
      </c>
      <c r="K523" s="4">
        <v>1.0</v>
      </c>
      <c r="L523" s="4">
        <v>3.0</v>
      </c>
      <c r="M523" s="4">
        <v>4.0</v>
      </c>
      <c r="N523" s="4">
        <v>5.0</v>
      </c>
      <c r="O523" s="4">
        <v>3.0</v>
      </c>
      <c r="P523" s="123">
        <v>3.0</v>
      </c>
      <c r="Q523" s="123">
        <v>3.0</v>
      </c>
      <c r="R523" s="90" t="s">
        <v>7</v>
      </c>
      <c r="S523" s="67"/>
      <c r="T523" s="66">
        <f t="shared" si="177"/>
        <v>0</v>
      </c>
      <c r="V523" s="67"/>
      <c r="AB523" s="140"/>
    </row>
    <row r="524">
      <c r="A524" s="11">
        <v>46132.0</v>
      </c>
      <c r="B524" s="114" t="s">
        <v>8</v>
      </c>
      <c r="C524" s="115">
        <v>20.0</v>
      </c>
      <c r="D524" s="6">
        <f t="shared" si="173"/>
        <v>15</v>
      </c>
      <c r="F524" s="66">
        <f t="shared" si="174"/>
        <v>3</v>
      </c>
      <c r="G524" s="13">
        <f t="shared" si="175"/>
        <v>38</v>
      </c>
      <c r="H524" s="66">
        <f t="shared" si="176"/>
        <v>21</v>
      </c>
      <c r="J524" s="115">
        <v>4.0</v>
      </c>
      <c r="K524" s="115">
        <v>2.0</v>
      </c>
      <c r="L524" s="115">
        <v>5.0</v>
      </c>
      <c r="M524" s="115">
        <v>4.0</v>
      </c>
      <c r="N524" s="115">
        <v>8.0</v>
      </c>
      <c r="O524" s="115">
        <v>5.0</v>
      </c>
      <c r="P524" s="123">
        <v>4.0</v>
      </c>
      <c r="Q524" s="123">
        <v>6.0</v>
      </c>
      <c r="R524" s="90" t="s">
        <v>8</v>
      </c>
      <c r="S524" s="67"/>
      <c r="T524" s="66">
        <f t="shared" si="177"/>
        <v>1</v>
      </c>
      <c r="V524" s="67"/>
      <c r="W524" s="4">
        <v>1.0</v>
      </c>
      <c r="AB524" s="134"/>
    </row>
    <row r="525">
      <c r="A525" s="11">
        <v>46132.0</v>
      </c>
      <c r="B525" s="13" t="s">
        <v>9</v>
      </c>
      <c r="C525" s="4">
        <v>20.0</v>
      </c>
      <c r="D525" s="6">
        <f t="shared" si="173"/>
        <v>15</v>
      </c>
      <c r="F525" s="66">
        <f t="shared" si="174"/>
        <v>5</v>
      </c>
      <c r="G525" s="13">
        <f t="shared" si="175"/>
        <v>39</v>
      </c>
      <c r="H525" s="66">
        <f t="shared" si="176"/>
        <v>19</v>
      </c>
      <c r="J525" s="4">
        <v>4.0</v>
      </c>
      <c r="K525" s="4">
        <v>3.0</v>
      </c>
      <c r="L525" s="4">
        <v>5.0</v>
      </c>
      <c r="M525" s="4">
        <v>5.0</v>
      </c>
      <c r="N525" s="4">
        <v>7.0</v>
      </c>
      <c r="O525" s="4">
        <v>5.0</v>
      </c>
      <c r="P525" s="123">
        <v>4.0</v>
      </c>
      <c r="Q525" s="123">
        <v>6.0</v>
      </c>
      <c r="R525" s="90" t="s">
        <v>9</v>
      </c>
      <c r="S525" s="67"/>
      <c r="T525" s="66">
        <f t="shared" si="177"/>
        <v>3</v>
      </c>
      <c r="V525" s="67"/>
      <c r="W525" s="4">
        <v>1.0</v>
      </c>
      <c r="Y525" s="4">
        <v>1.0</v>
      </c>
      <c r="AA525" s="4">
        <v>1.0</v>
      </c>
      <c r="AB525" s="133"/>
    </row>
    <row r="526">
      <c r="A526" s="11">
        <v>46132.0</v>
      </c>
      <c r="B526" s="114" t="s">
        <v>10</v>
      </c>
      <c r="C526" s="115">
        <v>20.0</v>
      </c>
      <c r="D526" s="6">
        <f t="shared" si="173"/>
        <v>10</v>
      </c>
      <c r="F526" s="66">
        <f t="shared" si="174"/>
        <v>4</v>
      </c>
      <c r="G526" s="13">
        <f t="shared" si="175"/>
        <v>31</v>
      </c>
      <c r="H526" s="66">
        <f t="shared" si="176"/>
        <v>20</v>
      </c>
      <c r="J526" s="115">
        <v>3.0</v>
      </c>
      <c r="K526" s="115">
        <v>3.0</v>
      </c>
      <c r="L526" s="115">
        <v>4.0</v>
      </c>
      <c r="M526" s="115">
        <v>5.0</v>
      </c>
      <c r="N526" s="115">
        <v>5.0</v>
      </c>
      <c r="O526" s="115">
        <v>3.0</v>
      </c>
      <c r="P526" s="123">
        <v>3.0</v>
      </c>
      <c r="Q526" s="123">
        <v>5.0</v>
      </c>
      <c r="R526" s="90" t="s">
        <v>10</v>
      </c>
      <c r="S526" s="67"/>
      <c r="T526" s="66">
        <f t="shared" si="177"/>
        <v>2</v>
      </c>
      <c r="V526" s="67"/>
      <c r="W526" s="4">
        <v>2.0</v>
      </c>
      <c r="AB526" s="134"/>
    </row>
    <row r="527">
      <c r="A527" s="11">
        <v>46132.0</v>
      </c>
      <c r="B527" s="13" t="s">
        <v>11</v>
      </c>
      <c r="C527" s="4">
        <v>20.0</v>
      </c>
      <c r="D527" s="6">
        <f t="shared" si="173"/>
        <v>10</v>
      </c>
      <c r="F527" s="66">
        <f t="shared" si="174"/>
        <v>4</v>
      </c>
      <c r="G527" s="13">
        <f t="shared" si="175"/>
        <v>24</v>
      </c>
      <c r="H527" s="66">
        <f t="shared" si="176"/>
        <v>40</v>
      </c>
      <c r="J527" s="4">
        <v>2.0</v>
      </c>
      <c r="K527" s="4">
        <v>2.0</v>
      </c>
      <c r="L527" s="4">
        <v>4.0</v>
      </c>
      <c r="M527" s="4">
        <v>3.0</v>
      </c>
      <c r="N527" s="4">
        <v>4.0</v>
      </c>
      <c r="O527" s="4">
        <v>3.0</v>
      </c>
      <c r="P527" s="123">
        <v>3.0</v>
      </c>
      <c r="Q527" s="123">
        <v>3.0</v>
      </c>
      <c r="R527" s="90" t="s">
        <v>11</v>
      </c>
      <c r="S527" s="67"/>
      <c r="T527" s="66"/>
      <c r="V527" s="67"/>
      <c r="AB527" s="133"/>
    </row>
    <row r="528">
      <c r="A528" s="11">
        <v>46132.0</v>
      </c>
      <c r="B528" s="114" t="s">
        <v>12</v>
      </c>
      <c r="C528" s="115">
        <v>10.0</v>
      </c>
      <c r="D528" s="6">
        <f t="shared" si="173"/>
        <v>5</v>
      </c>
      <c r="F528" s="66">
        <f t="shared" si="174"/>
        <v>7</v>
      </c>
      <c r="G528" s="13">
        <f t="shared" si="175"/>
        <v>24</v>
      </c>
      <c r="H528" s="66">
        <f t="shared" si="176"/>
        <v>13</v>
      </c>
      <c r="J528" s="115">
        <v>2.0</v>
      </c>
      <c r="K528" s="115">
        <v>1.0</v>
      </c>
      <c r="L528" s="115">
        <v>5.0</v>
      </c>
      <c r="M528" s="115">
        <v>4.0</v>
      </c>
      <c r="N528" s="115">
        <v>5.0</v>
      </c>
      <c r="O528" s="115">
        <v>2.0</v>
      </c>
      <c r="P528" s="123">
        <v>2.0</v>
      </c>
      <c r="Q528" s="123">
        <v>3.0</v>
      </c>
      <c r="R528" s="90" t="s">
        <v>12</v>
      </c>
      <c r="S528" s="67"/>
      <c r="T528" s="66">
        <f t="shared" ref="T528:T531" si="178">sum(U528:AB528)</f>
        <v>0</v>
      </c>
      <c r="V528" s="66"/>
      <c r="AB528" s="139"/>
    </row>
    <row r="529">
      <c r="A529" s="11">
        <v>46132.0</v>
      </c>
      <c r="B529" s="13" t="s">
        <v>13</v>
      </c>
      <c r="C529" s="4">
        <v>20.0</v>
      </c>
      <c r="D529" s="6">
        <f t="shared" si="173"/>
        <v>15</v>
      </c>
      <c r="F529" s="66">
        <f t="shared" si="174"/>
        <v>12</v>
      </c>
      <c r="G529" s="13">
        <f t="shared" si="175"/>
        <v>33</v>
      </c>
      <c r="H529" s="66">
        <f t="shared" si="176"/>
        <v>146</v>
      </c>
      <c r="J529" s="4">
        <v>3.0</v>
      </c>
      <c r="K529" s="4">
        <v>2.0</v>
      </c>
      <c r="L529" s="4">
        <v>6.0</v>
      </c>
      <c r="M529" s="4">
        <v>5.0</v>
      </c>
      <c r="N529" s="4">
        <v>6.0</v>
      </c>
      <c r="O529" s="4">
        <v>3.0</v>
      </c>
      <c r="P529" s="123">
        <v>3.0</v>
      </c>
      <c r="Q529" s="123">
        <v>5.0</v>
      </c>
      <c r="R529" s="90" t="s">
        <v>13</v>
      </c>
      <c r="S529" s="67"/>
      <c r="T529" s="66">
        <f t="shared" si="178"/>
        <v>2</v>
      </c>
      <c r="V529" s="67"/>
      <c r="Y529" s="4">
        <v>1.0</v>
      </c>
      <c r="AA529" s="4">
        <v>1.0</v>
      </c>
      <c r="AB529" s="140"/>
    </row>
    <row r="530">
      <c r="A530" s="11">
        <v>46132.0</v>
      </c>
      <c r="B530" s="114" t="s">
        <v>14</v>
      </c>
      <c r="C530" s="115">
        <v>10.0</v>
      </c>
      <c r="D530" s="6">
        <f t="shared" si="173"/>
        <v>10</v>
      </c>
      <c r="F530" s="66">
        <f t="shared" si="174"/>
        <v>8</v>
      </c>
      <c r="G530" s="13">
        <f t="shared" si="175"/>
        <v>25</v>
      </c>
      <c r="H530" s="66">
        <f t="shared" si="176"/>
        <v>370</v>
      </c>
      <c r="J530" s="115">
        <v>2.0</v>
      </c>
      <c r="K530" s="115">
        <v>1.0</v>
      </c>
      <c r="L530" s="115">
        <v>4.0</v>
      </c>
      <c r="M530" s="115">
        <v>3.0</v>
      </c>
      <c r="N530" s="115">
        <v>6.0</v>
      </c>
      <c r="O530" s="115">
        <v>3.0</v>
      </c>
      <c r="P530" s="123">
        <v>3.0</v>
      </c>
      <c r="Q530" s="123">
        <v>3.0</v>
      </c>
      <c r="R530" s="90" t="s">
        <v>14</v>
      </c>
      <c r="S530" s="67"/>
      <c r="T530" s="66">
        <f t="shared" si="178"/>
        <v>2</v>
      </c>
      <c r="V530" s="67"/>
      <c r="Y530" s="4">
        <v>2.0</v>
      </c>
      <c r="AB530" s="134"/>
    </row>
    <row r="531">
      <c r="A531" s="11">
        <v>46132.0</v>
      </c>
      <c r="B531" s="13" t="s">
        <v>15</v>
      </c>
      <c r="C531" s="4">
        <v>165.0</v>
      </c>
      <c r="D531" s="6">
        <f t="shared" si="173"/>
        <v>120</v>
      </c>
      <c r="F531" s="66">
        <f t="shared" si="174"/>
        <v>150</v>
      </c>
      <c r="G531" s="13">
        <f t="shared" si="175"/>
        <v>255</v>
      </c>
      <c r="H531" s="66">
        <f t="shared" si="176"/>
        <v>203</v>
      </c>
      <c r="J531" s="4">
        <v>25.0</v>
      </c>
      <c r="K531" s="4">
        <v>20.0</v>
      </c>
      <c r="L531" s="4">
        <v>45.0</v>
      </c>
      <c r="M531" s="4">
        <v>40.0</v>
      </c>
      <c r="N531" s="4">
        <v>45.0</v>
      </c>
      <c r="O531" s="4">
        <v>25.0</v>
      </c>
      <c r="P531" s="123">
        <v>20.0</v>
      </c>
      <c r="Q531" s="123">
        <v>35.0</v>
      </c>
      <c r="R531" s="90" t="s">
        <v>15</v>
      </c>
      <c r="S531" s="67"/>
      <c r="T531" s="66">
        <f t="shared" si="178"/>
        <v>23</v>
      </c>
      <c r="V531" s="67"/>
      <c r="W531" s="4">
        <v>4.0</v>
      </c>
      <c r="Y531" s="4">
        <v>7.0</v>
      </c>
      <c r="AA531" s="4">
        <v>12.0</v>
      </c>
      <c r="AB531" s="133"/>
    </row>
    <row r="532">
      <c r="B532" s="4" t="s">
        <v>16</v>
      </c>
      <c r="C532" s="13">
        <f>sum(C520:C531)</f>
        <v>350</v>
      </c>
      <c r="D532" s="6">
        <f t="shared" si="173"/>
        <v>250</v>
      </c>
      <c r="F532" s="66">
        <f t="shared" ref="F532:H532" si="179">sum(F520:F531)</f>
        <v>241</v>
      </c>
      <c r="G532" s="13">
        <f t="shared" si="179"/>
        <v>592</v>
      </c>
      <c r="H532" s="66">
        <f t="shared" si="179"/>
        <v>965</v>
      </c>
      <c r="J532" s="97">
        <f t="shared" ref="J532:Q532" si="180">sum(J520:J531)</f>
        <v>56</v>
      </c>
      <c r="K532" s="97">
        <f t="shared" si="180"/>
        <v>41</v>
      </c>
      <c r="L532" s="97">
        <f t="shared" si="180"/>
        <v>97</v>
      </c>
      <c r="M532" s="97">
        <f t="shared" si="180"/>
        <v>86</v>
      </c>
      <c r="N532" s="97">
        <f t="shared" si="180"/>
        <v>108</v>
      </c>
      <c r="O532" s="97">
        <f t="shared" si="180"/>
        <v>63</v>
      </c>
      <c r="P532" s="97">
        <f t="shared" si="180"/>
        <v>55</v>
      </c>
      <c r="Q532" s="97">
        <f t="shared" si="180"/>
        <v>86</v>
      </c>
      <c r="R532" s="135"/>
      <c r="S532" s="136">
        <f t="shared" ref="S532:AB532" si="181">sum(S520:S531)</f>
        <v>0</v>
      </c>
      <c r="T532" s="136">
        <f t="shared" si="181"/>
        <v>36</v>
      </c>
      <c r="U532" s="135">
        <f t="shared" si="181"/>
        <v>0</v>
      </c>
      <c r="V532" s="136">
        <f t="shared" si="181"/>
        <v>0</v>
      </c>
      <c r="W532" s="135">
        <f t="shared" si="181"/>
        <v>9</v>
      </c>
      <c r="X532" s="135">
        <f t="shared" si="181"/>
        <v>1</v>
      </c>
      <c r="Y532" s="135">
        <f t="shared" si="181"/>
        <v>11</v>
      </c>
      <c r="Z532" s="135">
        <f t="shared" si="181"/>
        <v>0</v>
      </c>
      <c r="AA532" s="135">
        <f t="shared" si="181"/>
        <v>15</v>
      </c>
      <c r="AB532" s="135">
        <f t="shared" si="181"/>
        <v>0</v>
      </c>
    </row>
    <row r="533">
      <c r="D533" s="6"/>
      <c r="J533" s="13">
        <f t="shared" ref="J533:Q533" si="182">J532-U532</f>
        <v>56</v>
      </c>
      <c r="K533" s="66">
        <f t="shared" si="182"/>
        <v>41</v>
      </c>
      <c r="L533" s="13">
        <f t="shared" si="182"/>
        <v>88</v>
      </c>
      <c r="M533" s="13">
        <f t="shared" si="182"/>
        <v>85</v>
      </c>
      <c r="N533" s="13">
        <f t="shared" si="182"/>
        <v>97</v>
      </c>
      <c r="O533" s="13">
        <f t="shared" si="182"/>
        <v>63</v>
      </c>
      <c r="P533" s="13">
        <f t="shared" si="182"/>
        <v>40</v>
      </c>
      <c r="Q533" s="13">
        <f t="shared" si="182"/>
        <v>86</v>
      </c>
    </row>
    <row r="534">
      <c r="D534" s="6"/>
      <c r="I534" s="62"/>
      <c r="J534" s="62" t="s">
        <v>114</v>
      </c>
      <c r="P534" s="62"/>
    </row>
    <row r="535">
      <c r="D535" s="6"/>
      <c r="H535" s="4" t="s">
        <v>251</v>
      </c>
      <c r="I535" s="75" t="s">
        <v>253</v>
      </c>
      <c r="J535" s="4" t="s">
        <v>93</v>
      </c>
      <c r="K535" s="4" t="s">
        <v>227</v>
      </c>
      <c r="L535" s="4" t="s">
        <v>89</v>
      </c>
      <c r="M535" s="4" t="s">
        <v>80</v>
      </c>
      <c r="N535" s="4" t="s">
        <v>81</v>
      </c>
      <c r="O535" s="4" t="s">
        <v>232</v>
      </c>
      <c r="P535" s="4" t="s">
        <v>265</v>
      </c>
      <c r="Q535" s="4" t="s">
        <v>264</v>
      </c>
      <c r="R535" s="127" t="s">
        <v>236</v>
      </c>
      <c r="S535" s="128" t="s">
        <v>233</v>
      </c>
      <c r="T535" s="128" t="s">
        <v>234</v>
      </c>
      <c r="U535" s="128" t="s">
        <v>238</v>
      </c>
      <c r="V535" s="128" t="s">
        <v>231</v>
      </c>
      <c r="W535" s="128" t="s">
        <v>239</v>
      </c>
      <c r="X535" s="128" t="s">
        <v>246</v>
      </c>
      <c r="Y535" s="128" t="s">
        <v>247</v>
      </c>
      <c r="Z535" s="128" t="s">
        <v>248</v>
      </c>
      <c r="AA535" s="128" t="s">
        <v>267</v>
      </c>
      <c r="AB535" s="130" t="s">
        <v>268</v>
      </c>
    </row>
    <row r="536">
      <c r="B536" s="114" t="s">
        <v>4</v>
      </c>
      <c r="D536" s="6"/>
      <c r="H536" s="66">
        <f t="shared" ref="H536:H547" si="183">S520+T520</f>
        <v>2</v>
      </c>
      <c r="I536" s="119">
        <f t="shared" ref="I536:I547" si="184">H536-sum(J536:Q536)</f>
        <v>2</v>
      </c>
      <c r="N536" s="67"/>
      <c r="R536" s="90" t="s">
        <v>4</v>
      </c>
      <c r="S536" s="67"/>
      <c r="T536" s="66">
        <f t="shared" ref="T536:T542" si="185">sum(U536:AB536)</f>
        <v>1</v>
      </c>
      <c r="V536" s="67"/>
      <c r="AA536" s="4">
        <v>1.0</v>
      </c>
      <c r="AB536" s="138"/>
    </row>
    <row r="537">
      <c r="B537" s="13" t="s">
        <v>5</v>
      </c>
      <c r="D537" s="6"/>
      <c r="H537" s="66">
        <f t="shared" si="183"/>
        <v>0</v>
      </c>
      <c r="I537" s="119">
        <f t="shared" si="184"/>
        <v>0</v>
      </c>
      <c r="N537" s="67"/>
      <c r="P537" s="67"/>
      <c r="R537" s="90" t="s">
        <v>5</v>
      </c>
      <c r="S537" s="67"/>
      <c r="T537" s="66">
        <f t="shared" si="185"/>
        <v>0</v>
      </c>
      <c r="V537" s="67"/>
      <c r="AB537" s="133"/>
    </row>
    <row r="538">
      <c r="B538" s="114" t="s">
        <v>6</v>
      </c>
      <c r="D538" s="6"/>
      <c r="H538" s="66">
        <f t="shared" si="183"/>
        <v>1</v>
      </c>
      <c r="I538" s="119">
        <f t="shared" si="184"/>
        <v>1</v>
      </c>
      <c r="N538" s="67"/>
      <c r="R538" s="90" t="s">
        <v>6</v>
      </c>
      <c r="S538" s="67"/>
      <c r="T538" s="66">
        <f t="shared" si="185"/>
        <v>0</v>
      </c>
      <c r="V538" s="67"/>
      <c r="AB538" s="139"/>
    </row>
    <row r="539">
      <c r="B539" s="13" t="s">
        <v>7</v>
      </c>
      <c r="D539" s="6"/>
      <c r="H539" s="66">
        <f t="shared" si="183"/>
        <v>0</v>
      </c>
      <c r="I539" s="119">
        <f t="shared" si="184"/>
        <v>0</v>
      </c>
      <c r="N539" s="67"/>
      <c r="P539" s="67"/>
      <c r="R539" s="90" t="s">
        <v>7</v>
      </c>
      <c r="S539" s="67"/>
      <c r="T539" s="66">
        <f t="shared" si="185"/>
        <v>0</v>
      </c>
      <c r="V539" s="67"/>
      <c r="AB539" s="140"/>
    </row>
    <row r="540">
      <c r="B540" s="114" t="s">
        <v>8</v>
      </c>
      <c r="D540" s="6"/>
      <c r="H540" s="66">
        <f t="shared" si="183"/>
        <v>1</v>
      </c>
      <c r="I540" s="119">
        <f t="shared" si="184"/>
        <v>1</v>
      </c>
      <c r="N540" s="67"/>
      <c r="P540" s="67"/>
      <c r="R540" s="90" t="s">
        <v>8</v>
      </c>
      <c r="S540" s="67"/>
      <c r="T540" s="66">
        <f t="shared" si="185"/>
        <v>0</v>
      </c>
      <c r="V540" s="67"/>
      <c r="AB540" s="134"/>
    </row>
    <row r="541">
      <c r="B541" s="13" t="s">
        <v>9</v>
      </c>
      <c r="D541" s="6"/>
      <c r="H541" s="66">
        <f t="shared" si="183"/>
        <v>3</v>
      </c>
      <c r="I541" s="119">
        <f t="shared" si="184"/>
        <v>3</v>
      </c>
      <c r="N541" s="67"/>
      <c r="P541" s="67"/>
      <c r="R541" s="90" t="s">
        <v>9</v>
      </c>
      <c r="S541" s="67"/>
      <c r="T541" s="66">
        <f t="shared" si="185"/>
        <v>1</v>
      </c>
      <c r="V541" s="67"/>
      <c r="AA541" s="4">
        <v>1.0</v>
      </c>
      <c r="AB541" s="133"/>
    </row>
    <row r="542">
      <c r="B542" s="114" t="s">
        <v>10</v>
      </c>
      <c r="D542" s="6"/>
      <c r="H542" s="66">
        <f t="shared" si="183"/>
        <v>2</v>
      </c>
      <c r="I542" s="119">
        <f t="shared" si="184"/>
        <v>2</v>
      </c>
      <c r="P542" s="67"/>
      <c r="R542" s="90" t="s">
        <v>10</v>
      </c>
      <c r="S542" s="67"/>
      <c r="T542" s="66">
        <f t="shared" si="185"/>
        <v>0</v>
      </c>
      <c r="V542" s="67"/>
      <c r="AB542" s="134"/>
    </row>
    <row r="543">
      <c r="B543" s="13" t="s">
        <v>11</v>
      </c>
      <c r="D543" s="6"/>
      <c r="H543" s="66">
        <f t="shared" si="183"/>
        <v>0</v>
      </c>
      <c r="I543" s="119">
        <f t="shared" si="184"/>
        <v>0</v>
      </c>
      <c r="N543" s="66"/>
      <c r="P543" s="67"/>
      <c r="R543" s="90" t="s">
        <v>11</v>
      </c>
      <c r="S543" s="67"/>
      <c r="T543" s="66"/>
      <c r="V543" s="67"/>
      <c r="AB543" s="133"/>
    </row>
    <row r="544">
      <c r="B544" s="114" t="s">
        <v>12</v>
      </c>
      <c r="D544" s="6"/>
      <c r="H544" s="66">
        <f t="shared" si="183"/>
        <v>0</v>
      </c>
      <c r="I544" s="119">
        <f t="shared" si="184"/>
        <v>0</v>
      </c>
      <c r="N544" s="67"/>
      <c r="P544" s="66"/>
      <c r="R544" s="90" t="s">
        <v>12</v>
      </c>
      <c r="S544" s="67"/>
      <c r="T544" s="66">
        <f t="shared" ref="T544:T547" si="186">sum(U544:AB544)</f>
        <v>0</v>
      </c>
      <c r="V544" s="66"/>
      <c r="AB544" s="139"/>
    </row>
    <row r="545">
      <c r="B545" s="13" t="s">
        <v>13</v>
      </c>
      <c r="D545" s="6"/>
      <c r="H545" s="66">
        <f t="shared" si="183"/>
        <v>2</v>
      </c>
      <c r="I545" s="119">
        <f t="shared" si="184"/>
        <v>2</v>
      </c>
      <c r="M545" s="67"/>
      <c r="P545" s="67"/>
      <c r="R545" s="90" t="s">
        <v>13</v>
      </c>
      <c r="S545" s="67"/>
      <c r="T545" s="66">
        <f t="shared" si="186"/>
        <v>1</v>
      </c>
      <c r="V545" s="67"/>
      <c r="AA545" s="4">
        <v>1.0</v>
      </c>
      <c r="AB545" s="140"/>
    </row>
    <row r="546">
      <c r="B546" s="114" t="s">
        <v>14</v>
      </c>
      <c r="D546" s="6"/>
      <c r="H546" s="66">
        <f t="shared" si="183"/>
        <v>2</v>
      </c>
      <c r="I546" s="119">
        <f t="shared" si="184"/>
        <v>1</v>
      </c>
      <c r="M546" s="67"/>
      <c r="N546" s="67">
        <v>1.0</v>
      </c>
      <c r="P546" s="67"/>
      <c r="R546" s="90" t="s">
        <v>14</v>
      </c>
      <c r="S546" s="67"/>
      <c r="T546" s="66">
        <f t="shared" si="186"/>
        <v>0</v>
      </c>
      <c r="V546" s="67"/>
      <c r="AB546" s="134"/>
    </row>
    <row r="547">
      <c r="B547" s="13" t="s">
        <v>15</v>
      </c>
      <c r="D547" s="6"/>
      <c r="H547" s="66">
        <f t="shared" si="183"/>
        <v>23</v>
      </c>
      <c r="I547" s="119">
        <f t="shared" si="184"/>
        <v>-22</v>
      </c>
      <c r="L547" s="4">
        <v>15.0</v>
      </c>
      <c r="N547" s="4">
        <v>15.0</v>
      </c>
      <c r="P547" s="67"/>
      <c r="Q547" s="4">
        <v>15.0</v>
      </c>
      <c r="R547" s="90" t="s">
        <v>15</v>
      </c>
      <c r="S547" s="67"/>
      <c r="T547" s="66">
        <f t="shared" si="186"/>
        <v>12</v>
      </c>
      <c r="V547" s="67"/>
      <c r="AA547" s="4">
        <v>12.0</v>
      </c>
      <c r="AB547" s="133"/>
    </row>
    <row r="548">
      <c r="D548" s="6"/>
      <c r="I548" s="66">
        <f t="shared" ref="I548:K548" si="187">sum(I536:I547)</f>
        <v>-10</v>
      </c>
      <c r="J548" s="97">
        <f t="shared" si="187"/>
        <v>0</v>
      </c>
      <c r="K548" s="97">
        <f t="shared" si="187"/>
        <v>0</v>
      </c>
      <c r="L548" s="59">
        <v>35.0</v>
      </c>
      <c r="M548" s="59"/>
      <c r="N548" s="59">
        <v>35.0</v>
      </c>
      <c r="O548" s="97">
        <f t="shared" ref="O548:P548" si="188">sum(O536:O547)</f>
        <v>0</v>
      </c>
      <c r="P548" s="97">
        <f t="shared" si="188"/>
        <v>0</v>
      </c>
      <c r="Q548" s="59">
        <v>30.0</v>
      </c>
      <c r="R548" s="135"/>
      <c r="S548" s="136">
        <f t="shared" ref="S548:V548" si="189">sum(S536:S547)</f>
        <v>0</v>
      </c>
      <c r="T548" s="136">
        <f t="shared" si="189"/>
        <v>15</v>
      </c>
      <c r="U548" s="135">
        <f t="shared" si="189"/>
        <v>0</v>
      </c>
      <c r="V548" s="136">
        <f t="shared" si="189"/>
        <v>0</v>
      </c>
      <c r="W548" s="137">
        <v>4.0</v>
      </c>
      <c r="X548" s="135">
        <f t="shared" ref="X548:AB548" si="190">sum(X536:X547)</f>
        <v>0</v>
      </c>
      <c r="Y548" s="135">
        <f t="shared" si="190"/>
        <v>0</v>
      </c>
      <c r="Z548" s="135">
        <f t="shared" si="190"/>
        <v>0</v>
      </c>
      <c r="AA548" s="135">
        <f t="shared" si="190"/>
        <v>15</v>
      </c>
      <c r="AB548" s="135">
        <f t="shared" si="190"/>
        <v>0</v>
      </c>
    </row>
    <row r="549">
      <c r="D549" s="6"/>
      <c r="J549" s="97"/>
      <c r="K549" s="97"/>
      <c r="L549" s="59"/>
      <c r="M549" s="59"/>
      <c r="N549" s="59"/>
      <c r="O549" s="97"/>
      <c r="P549" s="97"/>
      <c r="Q549" s="59"/>
    </row>
    <row r="550">
      <c r="D550" s="6"/>
      <c r="J550" s="97"/>
      <c r="K550" s="97"/>
      <c r="L550" s="59"/>
      <c r="M550" s="59"/>
      <c r="N550" s="59"/>
      <c r="O550" s="97"/>
      <c r="P550" s="97"/>
      <c r="Q550" s="59"/>
    </row>
    <row r="551">
      <c r="C551" s="4" t="s">
        <v>270</v>
      </c>
      <c r="D551" s="82" t="s">
        <v>244</v>
      </c>
      <c r="G551" s="4" t="s">
        <v>269</v>
      </c>
      <c r="H551" s="4" t="s">
        <v>245</v>
      </c>
      <c r="I551" s="4" t="s">
        <v>258</v>
      </c>
      <c r="J551" s="4" t="s">
        <v>93</v>
      </c>
      <c r="K551" s="4" t="s">
        <v>227</v>
      </c>
      <c r="L551" s="4" t="s">
        <v>89</v>
      </c>
      <c r="M551" s="4" t="s">
        <v>80</v>
      </c>
      <c r="N551" s="4" t="s">
        <v>81</v>
      </c>
      <c r="O551" s="4" t="s">
        <v>232</v>
      </c>
      <c r="P551" s="4" t="s">
        <v>265</v>
      </c>
      <c r="Q551" s="4" t="s">
        <v>264</v>
      </c>
      <c r="R551" s="127" t="s">
        <v>236</v>
      </c>
      <c r="S551" s="128" t="s">
        <v>233</v>
      </c>
      <c r="T551" s="128" t="s">
        <v>234</v>
      </c>
      <c r="U551" s="128" t="s">
        <v>238</v>
      </c>
      <c r="V551" s="128" t="s">
        <v>231</v>
      </c>
      <c r="W551" s="128" t="s">
        <v>239</v>
      </c>
      <c r="X551" s="128" t="s">
        <v>246</v>
      </c>
      <c r="Y551" s="128" t="s">
        <v>247</v>
      </c>
      <c r="Z551" s="128" t="s">
        <v>248</v>
      </c>
      <c r="AA551" s="128" t="s">
        <v>267</v>
      </c>
      <c r="AB551" s="130" t="s">
        <v>268</v>
      </c>
    </row>
    <row r="552">
      <c r="A552" s="11">
        <v>46133.0</v>
      </c>
      <c r="B552" s="114" t="s">
        <v>4</v>
      </c>
      <c r="C552" s="115">
        <v>30.0</v>
      </c>
      <c r="G552" s="13">
        <f t="shared" ref="G552:G563" si="191">sum(I552:Q552)</f>
        <v>44</v>
      </c>
      <c r="H552" s="13" t="str">
        <f t="shared" ref="H552:H563" si="192">C552+F552-G552+T552+#REF!+D552</f>
        <v>#REF!</v>
      </c>
      <c r="J552" s="115">
        <v>4.0</v>
      </c>
      <c r="K552" s="115">
        <v>2.0</v>
      </c>
      <c r="L552" s="144">
        <v>7.0</v>
      </c>
      <c r="M552" s="144">
        <v>6.0</v>
      </c>
      <c r="N552" s="144">
        <v>9.0</v>
      </c>
      <c r="O552" s="144">
        <v>5.0</v>
      </c>
      <c r="P552" s="4">
        <v>4.0</v>
      </c>
      <c r="Q552" s="59">
        <v>7.0</v>
      </c>
      <c r="R552" s="90" t="s">
        <v>4</v>
      </c>
      <c r="S552" s="67"/>
      <c r="T552" s="66">
        <f t="shared" ref="T552:T558" si="193">sum(U552:AB552)</f>
        <v>9</v>
      </c>
      <c r="U552" s="4">
        <v>3.0</v>
      </c>
      <c r="V552" s="67">
        <v>3.0</v>
      </c>
      <c r="AA552" s="4">
        <v>1.0</v>
      </c>
      <c r="AB552" s="138">
        <v>2.0</v>
      </c>
    </row>
    <row r="553">
      <c r="A553" s="11">
        <v>46133.0</v>
      </c>
      <c r="B553" s="13" t="s">
        <v>5</v>
      </c>
      <c r="C553" s="4">
        <v>20.0</v>
      </c>
      <c r="D553" s="6"/>
      <c r="G553" s="13">
        <f t="shared" si="191"/>
        <v>29</v>
      </c>
      <c r="H553" s="13" t="str">
        <f t="shared" si="192"/>
        <v>#REF!</v>
      </c>
      <c r="J553" s="4">
        <v>3.0</v>
      </c>
      <c r="K553" s="4">
        <v>2.0</v>
      </c>
      <c r="L553" s="59">
        <v>5.0</v>
      </c>
      <c r="M553" s="59">
        <v>4.0</v>
      </c>
      <c r="N553" s="59">
        <v>5.0</v>
      </c>
      <c r="O553" s="59">
        <v>3.0</v>
      </c>
      <c r="P553" s="123">
        <v>2.0</v>
      </c>
      <c r="Q553" s="145">
        <v>5.0</v>
      </c>
      <c r="R553" s="90" t="s">
        <v>5</v>
      </c>
      <c r="S553" s="67"/>
      <c r="T553" s="66">
        <f t="shared" si="193"/>
        <v>15</v>
      </c>
      <c r="U553" s="4">
        <v>3.0</v>
      </c>
      <c r="V553" s="67">
        <v>4.0</v>
      </c>
      <c r="Y553" s="4">
        <v>2.0</v>
      </c>
      <c r="Z553" s="4">
        <v>2.0</v>
      </c>
      <c r="AA553" s="4">
        <v>1.0</v>
      </c>
      <c r="AB553" s="140">
        <v>3.0</v>
      </c>
    </row>
    <row r="554">
      <c r="A554" s="11">
        <v>46133.0</v>
      </c>
      <c r="B554" s="114" t="s">
        <v>6</v>
      </c>
      <c r="C554" s="115">
        <v>20.0</v>
      </c>
      <c r="D554" s="6"/>
      <c r="G554" s="13">
        <f t="shared" si="191"/>
        <v>26</v>
      </c>
      <c r="H554" s="13" t="str">
        <f t="shared" si="192"/>
        <v>#REF!</v>
      </c>
      <c r="J554" s="115">
        <v>2.0</v>
      </c>
      <c r="K554" s="115">
        <v>1.0</v>
      </c>
      <c r="L554" s="144">
        <v>5.0</v>
      </c>
      <c r="M554" s="144">
        <v>3.0</v>
      </c>
      <c r="N554" s="144">
        <v>5.0</v>
      </c>
      <c r="O554" s="144">
        <v>3.0</v>
      </c>
      <c r="P554" s="123">
        <v>2.0</v>
      </c>
      <c r="Q554" s="145">
        <v>5.0</v>
      </c>
      <c r="R554" s="90" t="s">
        <v>6</v>
      </c>
      <c r="S554" s="67"/>
      <c r="T554" s="66">
        <f t="shared" si="193"/>
        <v>10</v>
      </c>
      <c r="V554" s="67">
        <v>1.0</v>
      </c>
      <c r="W554" s="4">
        <v>1.0</v>
      </c>
      <c r="Y554" s="4">
        <v>2.0</v>
      </c>
      <c r="Z554" s="4">
        <v>2.0</v>
      </c>
      <c r="AA554" s="4">
        <v>1.0</v>
      </c>
      <c r="AB554" s="139">
        <v>3.0</v>
      </c>
    </row>
    <row r="555">
      <c r="A555" s="11">
        <v>46133.0</v>
      </c>
      <c r="B555" s="13" t="s">
        <v>7</v>
      </c>
      <c r="C555" s="4">
        <v>15.0</v>
      </c>
      <c r="D555" s="6"/>
      <c r="G555" s="13">
        <f t="shared" si="191"/>
        <v>24</v>
      </c>
      <c r="H555" s="13" t="str">
        <f t="shared" si="192"/>
        <v>#REF!</v>
      </c>
      <c r="J555" s="4">
        <v>2.0</v>
      </c>
      <c r="K555" s="4">
        <v>1.0</v>
      </c>
      <c r="L555" s="59">
        <v>4.0</v>
      </c>
      <c r="M555" s="59">
        <v>4.0</v>
      </c>
      <c r="N555" s="59">
        <v>5.0</v>
      </c>
      <c r="O555" s="59">
        <v>3.0</v>
      </c>
      <c r="P555" s="123">
        <v>2.0</v>
      </c>
      <c r="Q555" s="145">
        <v>3.0</v>
      </c>
      <c r="R555" s="90" t="s">
        <v>7</v>
      </c>
      <c r="S555" s="67"/>
      <c r="T555" s="66">
        <f t="shared" si="193"/>
        <v>1</v>
      </c>
      <c r="V555" s="67"/>
      <c r="Z555" s="4">
        <v>1.0</v>
      </c>
      <c r="AB555" s="140"/>
    </row>
    <row r="556">
      <c r="A556" s="11">
        <v>46133.0</v>
      </c>
      <c r="B556" s="114" t="s">
        <v>8</v>
      </c>
      <c r="C556" s="115">
        <v>25.0</v>
      </c>
      <c r="D556" s="6"/>
      <c r="G556" s="13">
        <f t="shared" si="191"/>
        <v>39</v>
      </c>
      <c r="H556" s="13" t="str">
        <f t="shared" si="192"/>
        <v>#REF!</v>
      </c>
      <c r="J556" s="115">
        <v>4.0</v>
      </c>
      <c r="K556" s="115">
        <v>2.0</v>
      </c>
      <c r="L556" s="144">
        <v>5.0</v>
      </c>
      <c r="M556" s="144">
        <v>4.0</v>
      </c>
      <c r="N556" s="144">
        <v>9.0</v>
      </c>
      <c r="O556" s="144">
        <v>5.0</v>
      </c>
      <c r="P556" s="123">
        <v>4.0</v>
      </c>
      <c r="Q556" s="145">
        <v>6.0</v>
      </c>
      <c r="R556" s="90" t="s">
        <v>8</v>
      </c>
      <c r="S556" s="67"/>
      <c r="T556" s="66">
        <f t="shared" si="193"/>
        <v>2</v>
      </c>
      <c r="U556" s="4">
        <v>2.0</v>
      </c>
      <c r="V556" s="67"/>
      <c r="AB556" s="134"/>
    </row>
    <row r="557">
      <c r="A557" s="11">
        <v>46133.0</v>
      </c>
      <c r="B557" s="13" t="s">
        <v>9</v>
      </c>
      <c r="C557" s="4">
        <v>30.0</v>
      </c>
      <c r="D557" s="6"/>
      <c r="G557" s="13">
        <f t="shared" si="191"/>
        <v>41</v>
      </c>
      <c r="H557" s="13" t="str">
        <f t="shared" si="192"/>
        <v>#REF!</v>
      </c>
      <c r="J557" s="4">
        <v>4.0</v>
      </c>
      <c r="K557" s="4">
        <v>3.0</v>
      </c>
      <c r="L557" s="59">
        <v>5.0</v>
      </c>
      <c r="M557" s="59">
        <v>5.0</v>
      </c>
      <c r="N557" s="59">
        <v>9.0</v>
      </c>
      <c r="O557" s="59">
        <v>5.0</v>
      </c>
      <c r="P557" s="123">
        <v>4.0</v>
      </c>
      <c r="Q557" s="145">
        <v>6.0</v>
      </c>
      <c r="R557" s="90" t="s">
        <v>9</v>
      </c>
      <c r="S557" s="67"/>
      <c r="T557" s="66">
        <f t="shared" si="193"/>
        <v>5</v>
      </c>
      <c r="U557" s="4">
        <v>1.0</v>
      </c>
      <c r="V557" s="67">
        <v>1.0</v>
      </c>
      <c r="Y557" s="4">
        <v>3.0</v>
      </c>
      <c r="AB557" s="133"/>
    </row>
    <row r="558">
      <c r="A558" s="11">
        <v>46133.0</v>
      </c>
      <c r="B558" s="114" t="s">
        <v>10</v>
      </c>
      <c r="C558" s="115">
        <v>20.0</v>
      </c>
      <c r="D558" s="6"/>
      <c r="G558" s="13">
        <f t="shared" si="191"/>
        <v>30</v>
      </c>
      <c r="H558" s="13" t="str">
        <f t="shared" si="192"/>
        <v>#REF!</v>
      </c>
      <c r="J558" s="115">
        <v>3.0</v>
      </c>
      <c r="K558" s="115">
        <v>3.0</v>
      </c>
      <c r="L558" s="144">
        <v>4.0</v>
      </c>
      <c r="M558" s="144">
        <v>5.0</v>
      </c>
      <c r="N558" s="144">
        <v>5.0</v>
      </c>
      <c r="O558" s="144">
        <v>3.0</v>
      </c>
      <c r="P558" s="123">
        <v>2.0</v>
      </c>
      <c r="Q558" s="145">
        <v>5.0</v>
      </c>
      <c r="R558" s="90" t="s">
        <v>10</v>
      </c>
      <c r="S558" s="67"/>
      <c r="T558" s="66">
        <f t="shared" si="193"/>
        <v>3</v>
      </c>
      <c r="U558" s="4">
        <v>2.0</v>
      </c>
      <c r="V558" s="67"/>
      <c r="Z558" s="4">
        <v>1.0</v>
      </c>
      <c r="AB558" s="134"/>
    </row>
    <row r="559">
      <c r="A559" s="11">
        <v>46133.0</v>
      </c>
      <c r="B559" s="13" t="s">
        <v>11</v>
      </c>
      <c r="C559" s="4">
        <v>15.0</v>
      </c>
      <c r="D559" s="6"/>
      <c r="G559" s="13">
        <f t="shared" si="191"/>
        <v>24</v>
      </c>
      <c r="H559" s="13" t="str">
        <f t="shared" si="192"/>
        <v>#REF!</v>
      </c>
      <c r="J559" s="4">
        <v>2.0</v>
      </c>
      <c r="K559" s="4">
        <v>2.0</v>
      </c>
      <c r="L559" s="59">
        <v>4.0</v>
      </c>
      <c r="M559" s="59">
        <v>3.0</v>
      </c>
      <c r="N559" s="59">
        <v>5.0</v>
      </c>
      <c r="O559" s="59">
        <v>3.0</v>
      </c>
      <c r="P559" s="123">
        <v>2.0</v>
      </c>
      <c r="Q559" s="145">
        <v>3.0</v>
      </c>
      <c r="R559" s="90" t="s">
        <v>11</v>
      </c>
      <c r="S559" s="67"/>
      <c r="T559" s="66"/>
      <c r="U559" s="4">
        <v>2.0</v>
      </c>
      <c r="V559" s="67"/>
      <c r="AA559" s="4">
        <v>2.0</v>
      </c>
      <c r="AB559" s="140">
        <v>2.0</v>
      </c>
    </row>
    <row r="560">
      <c r="A560" s="11">
        <v>46133.0</v>
      </c>
      <c r="B560" s="114" t="s">
        <v>12</v>
      </c>
      <c r="C560" s="115">
        <v>15.0</v>
      </c>
      <c r="D560" s="6"/>
      <c r="G560" s="13">
        <f t="shared" si="191"/>
        <v>25</v>
      </c>
      <c r="H560" s="13" t="str">
        <f t="shared" si="192"/>
        <v>#REF!</v>
      </c>
      <c r="J560" s="115">
        <v>2.0</v>
      </c>
      <c r="K560" s="115">
        <v>1.0</v>
      </c>
      <c r="L560" s="144">
        <v>5.0</v>
      </c>
      <c r="M560" s="144">
        <v>4.0</v>
      </c>
      <c r="N560" s="144">
        <v>5.0</v>
      </c>
      <c r="O560" s="144">
        <v>3.0</v>
      </c>
      <c r="P560" s="123">
        <v>2.0</v>
      </c>
      <c r="Q560" s="145">
        <v>3.0</v>
      </c>
      <c r="R560" s="90" t="s">
        <v>12</v>
      </c>
      <c r="S560" s="67"/>
      <c r="T560" s="66">
        <f t="shared" ref="T560:T563" si="194">sum(U560:AB560)</f>
        <v>3</v>
      </c>
      <c r="V560" s="66"/>
      <c r="Y560" s="4">
        <v>1.0</v>
      </c>
      <c r="AA560" s="4">
        <v>2.0</v>
      </c>
      <c r="AB560" s="139"/>
    </row>
    <row r="561">
      <c r="A561" s="11">
        <v>46133.0</v>
      </c>
      <c r="B561" s="13" t="s">
        <v>13</v>
      </c>
      <c r="C561" s="4">
        <v>30.0</v>
      </c>
      <c r="D561" s="6"/>
      <c r="G561" s="13">
        <f t="shared" si="191"/>
        <v>36</v>
      </c>
      <c r="H561" s="13" t="str">
        <f t="shared" si="192"/>
        <v>#REF!</v>
      </c>
      <c r="J561" s="4">
        <v>3.0</v>
      </c>
      <c r="K561" s="4">
        <v>2.0</v>
      </c>
      <c r="L561" s="59">
        <v>6.0</v>
      </c>
      <c r="M561" s="59">
        <v>5.0</v>
      </c>
      <c r="N561" s="59">
        <v>9.0</v>
      </c>
      <c r="O561" s="59">
        <v>3.0</v>
      </c>
      <c r="P561" s="123">
        <v>3.0</v>
      </c>
      <c r="Q561" s="145">
        <v>5.0</v>
      </c>
      <c r="R561" s="90" t="s">
        <v>13</v>
      </c>
      <c r="S561" s="67"/>
      <c r="T561" s="66">
        <f t="shared" si="194"/>
        <v>8</v>
      </c>
      <c r="V561" s="67">
        <v>2.0</v>
      </c>
      <c r="Z561" s="4">
        <v>1.0</v>
      </c>
      <c r="AA561" s="4">
        <v>3.0</v>
      </c>
      <c r="AB561" s="140">
        <v>2.0</v>
      </c>
    </row>
    <row r="562">
      <c r="A562" s="11">
        <v>46133.0</v>
      </c>
      <c r="B562" s="114" t="s">
        <v>14</v>
      </c>
      <c r="C562" s="115">
        <v>15.0</v>
      </c>
      <c r="D562" s="82">
        <v>0.0</v>
      </c>
      <c r="G562" s="13">
        <f t="shared" si="191"/>
        <v>23</v>
      </c>
      <c r="H562" s="13" t="str">
        <f t="shared" si="192"/>
        <v>#REF!</v>
      </c>
      <c r="J562" s="115">
        <v>2.0</v>
      </c>
      <c r="K562" s="115"/>
      <c r="L562" s="144">
        <v>4.0</v>
      </c>
      <c r="M562" s="144">
        <v>3.0</v>
      </c>
      <c r="N562" s="144">
        <v>6.0</v>
      </c>
      <c r="O562" s="144">
        <v>3.0</v>
      </c>
      <c r="P562" s="123">
        <v>2.0</v>
      </c>
      <c r="Q562" s="145">
        <v>3.0</v>
      </c>
      <c r="R562" s="90" t="s">
        <v>14</v>
      </c>
      <c r="S562" s="67"/>
      <c r="T562" s="66">
        <f t="shared" si="194"/>
        <v>1</v>
      </c>
      <c r="V562" s="67"/>
      <c r="Z562" s="4">
        <v>1.0</v>
      </c>
      <c r="AB562" s="134"/>
    </row>
    <row r="563">
      <c r="A563" s="11">
        <v>46133.0</v>
      </c>
      <c r="B563" s="13" t="s">
        <v>15</v>
      </c>
      <c r="C563" s="4">
        <v>130.0</v>
      </c>
      <c r="D563" s="6">
        <f>206-L547-M547-N547-Q547</f>
        <v>161</v>
      </c>
      <c r="G563" s="13">
        <f t="shared" si="191"/>
        <v>272</v>
      </c>
      <c r="H563" s="13" t="str">
        <f t="shared" si="192"/>
        <v>#REF!</v>
      </c>
      <c r="J563" s="4">
        <v>25.0</v>
      </c>
      <c r="K563" s="4">
        <v>20.0</v>
      </c>
      <c r="L563" s="59">
        <v>45.0</v>
      </c>
      <c r="M563" s="59">
        <v>40.0</v>
      </c>
      <c r="N563" s="59">
        <v>60.0</v>
      </c>
      <c r="O563" s="59">
        <v>27.0</v>
      </c>
      <c r="P563" s="123">
        <v>20.0</v>
      </c>
      <c r="Q563" s="145">
        <v>35.0</v>
      </c>
      <c r="R563" s="90" t="s">
        <v>15</v>
      </c>
      <c r="S563" s="67"/>
      <c r="T563" s="66">
        <f t="shared" si="194"/>
        <v>63</v>
      </c>
      <c r="U563" s="4">
        <v>7.0</v>
      </c>
      <c r="V563" s="67">
        <v>7.0</v>
      </c>
      <c r="Y563" s="4">
        <v>12.0</v>
      </c>
      <c r="Z563" s="4">
        <v>15.0</v>
      </c>
      <c r="AA563" s="4">
        <v>17.0</v>
      </c>
      <c r="AB563" s="140">
        <v>5.0</v>
      </c>
    </row>
    <row r="564">
      <c r="B564" s="4" t="s">
        <v>16</v>
      </c>
      <c r="C564" s="13">
        <f>sum(C552:C563)</f>
        <v>365</v>
      </c>
      <c r="D564" s="6">
        <f>334-(L548+M548+N548+Q548-18-6)</f>
        <v>258</v>
      </c>
      <c r="G564" s="13">
        <f t="shared" ref="G564:H564" si="195">sum(G552:G563)</f>
        <v>613</v>
      </c>
      <c r="H564" s="13" t="str">
        <f t="shared" si="195"/>
        <v>#REF!</v>
      </c>
      <c r="J564" s="97">
        <f t="shared" ref="J564:Q564" si="196">sum(J552:J563)</f>
        <v>56</v>
      </c>
      <c r="K564" s="97">
        <f t="shared" si="196"/>
        <v>39</v>
      </c>
      <c r="L564" s="97">
        <f t="shared" si="196"/>
        <v>99</v>
      </c>
      <c r="M564" s="97">
        <f t="shared" si="196"/>
        <v>86</v>
      </c>
      <c r="N564" s="97">
        <f t="shared" si="196"/>
        <v>132</v>
      </c>
      <c r="O564" s="97">
        <f t="shared" si="196"/>
        <v>66</v>
      </c>
      <c r="P564" s="97">
        <f t="shared" si="196"/>
        <v>49</v>
      </c>
      <c r="Q564" s="97">
        <f t="shared" si="196"/>
        <v>86</v>
      </c>
      <c r="R564" s="135"/>
      <c r="S564" s="136">
        <f t="shared" ref="S564:AB564" si="197">sum(S552:S563)</f>
        <v>0</v>
      </c>
      <c r="T564" s="136">
        <f t="shared" si="197"/>
        <v>120</v>
      </c>
      <c r="U564" s="135">
        <f t="shared" si="197"/>
        <v>20</v>
      </c>
      <c r="V564" s="136">
        <f t="shared" si="197"/>
        <v>18</v>
      </c>
      <c r="W564" s="135">
        <f t="shared" si="197"/>
        <v>1</v>
      </c>
      <c r="X564" s="135">
        <f t="shared" si="197"/>
        <v>0</v>
      </c>
      <c r="Y564" s="135">
        <f t="shared" si="197"/>
        <v>20</v>
      </c>
      <c r="Z564" s="135">
        <f t="shared" si="197"/>
        <v>23</v>
      </c>
      <c r="AA564" s="135">
        <f t="shared" si="197"/>
        <v>27</v>
      </c>
      <c r="AB564" s="135">
        <f t="shared" si="197"/>
        <v>17</v>
      </c>
    </row>
    <row r="565">
      <c r="D565" s="6"/>
      <c r="J565" s="13">
        <f t="shared" ref="J565:Q565" si="198">J564-U564</f>
        <v>36</v>
      </c>
      <c r="K565" s="66">
        <f t="shared" si="198"/>
        <v>21</v>
      </c>
      <c r="L565" s="13">
        <f t="shared" si="198"/>
        <v>98</v>
      </c>
      <c r="M565" s="13">
        <f t="shared" si="198"/>
        <v>86</v>
      </c>
      <c r="N565" s="13">
        <f t="shared" si="198"/>
        <v>112</v>
      </c>
      <c r="O565" s="13">
        <f t="shared" si="198"/>
        <v>43</v>
      </c>
      <c r="P565" s="13">
        <f t="shared" si="198"/>
        <v>22</v>
      </c>
      <c r="Q565" s="13">
        <f t="shared" si="198"/>
        <v>69</v>
      </c>
    </row>
    <row r="566">
      <c r="D566" s="6"/>
      <c r="I566" s="62"/>
      <c r="J566" s="62" t="s">
        <v>114</v>
      </c>
      <c r="P566" s="62"/>
      <c r="R566" s="127" t="s">
        <v>236</v>
      </c>
      <c r="S566" s="128" t="s">
        <v>233</v>
      </c>
      <c r="T566" s="128" t="s">
        <v>234</v>
      </c>
      <c r="U566" s="128" t="s">
        <v>238</v>
      </c>
      <c r="V566" s="128" t="s">
        <v>231</v>
      </c>
      <c r="W566" s="128" t="s">
        <v>239</v>
      </c>
      <c r="X566" s="128" t="s">
        <v>246</v>
      </c>
      <c r="Y566" s="128" t="s">
        <v>247</v>
      </c>
      <c r="Z566" s="129" t="s">
        <v>256</v>
      </c>
      <c r="AA566" s="128" t="s">
        <v>248</v>
      </c>
      <c r="AB566" s="128" t="s">
        <v>267</v>
      </c>
      <c r="AC566" s="130" t="s">
        <v>268</v>
      </c>
    </row>
    <row r="567">
      <c r="D567" s="6"/>
      <c r="H567" s="4" t="s">
        <v>251</v>
      </c>
      <c r="I567" s="75" t="s">
        <v>253</v>
      </c>
      <c r="J567" s="4" t="s">
        <v>93</v>
      </c>
      <c r="K567" s="4" t="s">
        <v>227</v>
      </c>
      <c r="L567" s="4" t="s">
        <v>89</v>
      </c>
      <c r="M567" s="4" t="s">
        <v>80</v>
      </c>
      <c r="N567" s="4" t="s">
        <v>81</v>
      </c>
      <c r="O567" s="4" t="s">
        <v>232</v>
      </c>
      <c r="P567" s="4" t="s">
        <v>265</v>
      </c>
      <c r="Q567" s="4" t="s">
        <v>264</v>
      </c>
      <c r="R567" s="90" t="s">
        <v>4</v>
      </c>
      <c r="S567" s="67"/>
      <c r="T567" s="66">
        <f t="shared" ref="T567:T573" si="199">sum(U567:AC567)</f>
        <v>1</v>
      </c>
      <c r="V567" s="67"/>
      <c r="W567" s="4">
        <v>1.0</v>
      </c>
      <c r="AC567" s="138"/>
    </row>
    <row r="568">
      <c r="B568" s="114" t="s">
        <v>4</v>
      </c>
      <c r="D568" s="6"/>
      <c r="H568" s="66">
        <f t="shared" ref="H568:H579" si="200">S552+T552</f>
        <v>9</v>
      </c>
      <c r="I568" s="119">
        <f t="shared" ref="I568:I579" si="201">H568-sum(J568:Q568)</f>
        <v>9</v>
      </c>
      <c r="N568" s="67"/>
      <c r="R568" s="90" t="s">
        <v>5</v>
      </c>
      <c r="S568" s="67"/>
      <c r="T568" s="66">
        <f t="shared" si="199"/>
        <v>0</v>
      </c>
      <c r="V568" s="67"/>
      <c r="AC568" s="140"/>
    </row>
    <row r="569">
      <c r="B569" s="13" t="s">
        <v>5</v>
      </c>
      <c r="D569" s="6"/>
      <c r="H569" s="66">
        <f t="shared" si="200"/>
        <v>15</v>
      </c>
      <c r="I569" s="119">
        <f t="shared" si="201"/>
        <v>15</v>
      </c>
      <c r="N569" s="67"/>
      <c r="P569" s="67"/>
      <c r="R569" s="90" t="s">
        <v>6</v>
      </c>
      <c r="S569" s="67"/>
      <c r="T569" s="66">
        <f t="shared" si="199"/>
        <v>0</v>
      </c>
      <c r="V569" s="67"/>
      <c r="AC569" s="139"/>
    </row>
    <row r="570">
      <c r="B570" s="114" t="s">
        <v>6</v>
      </c>
      <c r="D570" s="6"/>
      <c r="H570" s="66">
        <f t="shared" si="200"/>
        <v>10</v>
      </c>
      <c r="I570" s="119">
        <f t="shared" si="201"/>
        <v>10</v>
      </c>
      <c r="N570" s="67"/>
      <c r="R570" s="90" t="s">
        <v>7</v>
      </c>
      <c r="S570" s="67"/>
      <c r="T570" s="66">
        <f t="shared" si="199"/>
        <v>0</v>
      </c>
      <c r="V570" s="67"/>
      <c r="AC570" s="140"/>
    </row>
    <row r="571">
      <c r="B571" s="13" t="s">
        <v>7</v>
      </c>
      <c r="D571" s="6"/>
      <c r="H571" s="66">
        <f t="shared" si="200"/>
        <v>1</v>
      </c>
      <c r="I571" s="119">
        <f t="shared" si="201"/>
        <v>1</v>
      </c>
      <c r="N571" s="67"/>
      <c r="P571" s="67"/>
      <c r="R571" s="90" t="s">
        <v>8</v>
      </c>
      <c r="S571" s="67"/>
      <c r="T571" s="66">
        <f t="shared" si="199"/>
        <v>0</v>
      </c>
      <c r="V571" s="67"/>
      <c r="AC571" s="134"/>
    </row>
    <row r="572">
      <c r="B572" s="114" t="s">
        <v>8</v>
      </c>
      <c r="D572" s="6"/>
      <c r="H572" s="66">
        <f t="shared" si="200"/>
        <v>2</v>
      </c>
      <c r="I572" s="119">
        <f t="shared" si="201"/>
        <v>2</v>
      </c>
      <c r="N572" s="67"/>
      <c r="P572" s="67"/>
      <c r="R572" s="90" t="s">
        <v>9</v>
      </c>
      <c r="S572" s="67"/>
      <c r="T572" s="66">
        <f t="shared" si="199"/>
        <v>0</v>
      </c>
      <c r="V572" s="67"/>
      <c r="AC572" s="133"/>
    </row>
    <row r="573">
      <c r="B573" s="13" t="s">
        <v>9</v>
      </c>
      <c r="D573" s="6"/>
      <c r="H573" s="66">
        <f t="shared" si="200"/>
        <v>5</v>
      </c>
      <c r="I573" s="119">
        <f t="shared" si="201"/>
        <v>5</v>
      </c>
      <c r="N573" s="67"/>
      <c r="P573" s="67"/>
      <c r="R573" s="90" t="s">
        <v>10</v>
      </c>
      <c r="S573" s="67"/>
      <c r="T573" s="66">
        <f t="shared" si="199"/>
        <v>0</v>
      </c>
      <c r="V573" s="67"/>
      <c r="AC573" s="134"/>
    </row>
    <row r="574">
      <c r="B574" s="114" t="s">
        <v>10</v>
      </c>
      <c r="D574" s="6"/>
      <c r="H574" s="66">
        <f t="shared" si="200"/>
        <v>3</v>
      </c>
      <c r="I574" s="119">
        <f t="shared" si="201"/>
        <v>3</v>
      </c>
      <c r="P574" s="67"/>
      <c r="R574" s="90" t="s">
        <v>11</v>
      </c>
      <c r="S574" s="67"/>
      <c r="T574" s="66"/>
      <c r="V574" s="67"/>
      <c r="AC574" s="140"/>
    </row>
    <row r="575">
      <c r="B575" s="13" t="s">
        <v>11</v>
      </c>
      <c r="D575" s="6"/>
      <c r="H575" s="66">
        <f t="shared" si="200"/>
        <v>0</v>
      </c>
      <c r="I575" s="119">
        <f t="shared" si="201"/>
        <v>0</v>
      </c>
      <c r="N575" s="66"/>
      <c r="P575" s="67"/>
      <c r="R575" s="90" t="s">
        <v>12</v>
      </c>
      <c r="S575" s="67"/>
      <c r="T575" s="66">
        <f t="shared" ref="T575:T578" si="202">sum(U575:AC575)</f>
        <v>0</v>
      </c>
      <c r="V575" s="66"/>
      <c r="AC575" s="139"/>
    </row>
    <row r="576">
      <c r="B576" s="114" t="s">
        <v>12</v>
      </c>
      <c r="D576" s="6"/>
      <c r="H576" s="66">
        <f t="shared" si="200"/>
        <v>3</v>
      </c>
      <c r="I576" s="119">
        <f t="shared" si="201"/>
        <v>3</v>
      </c>
      <c r="N576" s="67"/>
      <c r="P576" s="66"/>
      <c r="R576" s="90" t="s">
        <v>13</v>
      </c>
      <c r="S576" s="67"/>
      <c r="T576" s="66">
        <f t="shared" si="202"/>
        <v>0</v>
      </c>
      <c r="V576" s="67"/>
      <c r="AC576" s="140"/>
    </row>
    <row r="577">
      <c r="B577" s="13" t="s">
        <v>13</v>
      </c>
      <c r="D577" s="6"/>
      <c r="H577" s="66">
        <f t="shared" si="200"/>
        <v>8</v>
      </c>
      <c r="I577" s="119">
        <f t="shared" si="201"/>
        <v>8</v>
      </c>
      <c r="M577" s="67"/>
      <c r="P577" s="67"/>
      <c r="R577" s="90" t="s">
        <v>14</v>
      </c>
      <c r="S577" s="67"/>
      <c r="T577" s="66">
        <f t="shared" si="202"/>
        <v>0</v>
      </c>
      <c r="V577" s="67"/>
      <c r="AC577" s="134"/>
    </row>
    <row r="578">
      <c r="B578" s="114" t="s">
        <v>14</v>
      </c>
      <c r="D578" s="6"/>
      <c r="H578" s="66">
        <f t="shared" si="200"/>
        <v>1</v>
      </c>
      <c r="I578" s="119">
        <f t="shared" si="201"/>
        <v>-1</v>
      </c>
      <c r="M578" s="67"/>
      <c r="N578" s="67">
        <v>2.0</v>
      </c>
      <c r="P578" s="67"/>
      <c r="R578" s="90" t="s">
        <v>15</v>
      </c>
      <c r="S578" s="67"/>
      <c r="T578" s="66">
        <f t="shared" si="202"/>
        <v>0</v>
      </c>
      <c r="V578" s="67"/>
      <c r="AC578" s="140"/>
    </row>
    <row r="579">
      <c r="B579" s="13" t="s">
        <v>15</v>
      </c>
      <c r="D579" s="6"/>
      <c r="H579" s="66">
        <f t="shared" si="200"/>
        <v>63</v>
      </c>
      <c r="I579" s="119">
        <f t="shared" si="201"/>
        <v>3</v>
      </c>
      <c r="L579" s="4">
        <v>15.0</v>
      </c>
      <c r="M579" s="4">
        <v>15.0</v>
      </c>
      <c r="N579" s="4">
        <v>15.0</v>
      </c>
      <c r="P579" s="67"/>
      <c r="Q579" s="4">
        <v>15.0</v>
      </c>
      <c r="R579" s="135"/>
      <c r="S579" s="136">
        <f t="shared" ref="S579:AC579" si="203">sum(S567:S578)</f>
        <v>0</v>
      </c>
      <c r="T579" s="136">
        <f t="shared" si="203"/>
        <v>1</v>
      </c>
      <c r="U579" s="135">
        <f t="shared" si="203"/>
        <v>0</v>
      </c>
      <c r="V579" s="136">
        <f t="shared" si="203"/>
        <v>0</v>
      </c>
      <c r="W579" s="135">
        <f t="shared" si="203"/>
        <v>1</v>
      </c>
      <c r="X579" s="135">
        <f t="shared" si="203"/>
        <v>0</v>
      </c>
      <c r="Y579" s="135">
        <f t="shared" si="203"/>
        <v>0</v>
      </c>
      <c r="Z579" s="135">
        <f t="shared" si="203"/>
        <v>0</v>
      </c>
      <c r="AA579" s="135">
        <f t="shared" si="203"/>
        <v>0</v>
      </c>
      <c r="AB579" s="135">
        <f t="shared" si="203"/>
        <v>0</v>
      </c>
      <c r="AC579" s="135">
        <f t="shared" si="203"/>
        <v>0</v>
      </c>
    </row>
    <row r="580">
      <c r="D580" s="6"/>
      <c r="I580" s="66">
        <f t="shared" ref="I580:K580" si="204">sum(I568:I579)</f>
        <v>58</v>
      </c>
      <c r="J580" s="97">
        <f t="shared" si="204"/>
        <v>0</v>
      </c>
      <c r="K580" s="97">
        <f t="shared" si="204"/>
        <v>0</v>
      </c>
      <c r="L580" s="59">
        <v>33.0</v>
      </c>
      <c r="M580" s="59">
        <v>33.0</v>
      </c>
      <c r="N580" s="59">
        <v>36.0</v>
      </c>
      <c r="O580" s="97">
        <f t="shared" ref="O580:P580" si="205">sum(O568:O579)</f>
        <v>0</v>
      </c>
      <c r="P580" s="97">
        <f t="shared" si="205"/>
        <v>0</v>
      </c>
      <c r="Q580" s="59">
        <v>34.0</v>
      </c>
    </row>
    <row r="583">
      <c r="D583" s="6"/>
    </row>
    <row r="584">
      <c r="C584" s="4" t="s">
        <v>270</v>
      </c>
      <c r="D584" s="82" t="s">
        <v>2</v>
      </c>
      <c r="E584" s="4" t="s">
        <v>272</v>
      </c>
      <c r="F584" s="4" t="s">
        <v>273</v>
      </c>
      <c r="G584" s="4" t="s">
        <v>274</v>
      </c>
      <c r="J584" s="4" t="s">
        <v>93</v>
      </c>
      <c r="K584" s="4" t="s">
        <v>227</v>
      </c>
      <c r="L584" s="4" t="s">
        <v>89</v>
      </c>
      <c r="M584" s="4" t="s">
        <v>80</v>
      </c>
      <c r="N584" s="4" t="s">
        <v>81</v>
      </c>
      <c r="O584" s="4" t="s">
        <v>232</v>
      </c>
      <c r="P584" s="4" t="s">
        <v>265</v>
      </c>
      <c r="Q584" s="4" t="s">
        <v>264</v>
      </c>
      <c r="R584" s="127" t="s">
        <v>236</v>
      </c>
      <c r="S584" s="128" t="s">
        <v>233</v>
      </c>
      <c r="T584" s="128" t="s">
        <v>234</v>
      </c>
      <c r="U584" s="128" t="s">
        <v>238</v>
      </c>
      <c r="V584" s="128" t="s">
        <v>231</v>
      </c>
      <c r="W584" s="128" t="s">
        <v>239</v>
      </c>
      <c r="X584" s="128" t="s">
        <v>246</v>
      </c>
      <c r="Y584" s="128" t="s">
        <v>247</v>
      </c>
      <c r="Z584" s="128" t="s">
        <v>248</v>
      </c>
      <c r="AA584" s="128" t="s">
        <v>267</v>
      </c>
      <c r="AB584" s="130" t="s">
        <v>268</v>
      </c>
    </row>
    <row r="585">
      <c r="A585" s="11">
        <v>46134.0</v>
      </c>
      <c r="B585" s="114" t="s">
        <v>4</v>
      </c>
      <c r="C585" s="115">
        <v>48.0</v>
      </c>
      <c r="D585" s="6"/>
      <c r="E585" s="4">
        <v>2.0</v>
      </c>
      <c r="F585" s="6">
        <f t="shared" ref="F585:F596" si="206">C585+D585+E585-sum(J585:Q585)</f>
        <v>16</v>
      </c>
      <c r="G585" s="6">
        <f t="shared" ref="G585:G596" si="207">F585+T585</f>
        <v>21</v>
      </c>
      <c r="J585" s="115"/>
      <c r="K585" s="115"/>
      <c r="L585" s="144">
        <v>7.0</v>
      </c>
      <c r="M585" s="144">
        <v>6.0</v>
      </c>
      <c r="N585" s="144">
        <v>9.0</v>
      </c>
      <c r="O585" s="144">
        <v>5.0</v>
      </c>
      <c r="Q585" s="59">
        <v>7.0</v>
      </c>
      <c r="R585" s="90" t="s">
        <v>4</v>
      </c>
      <c r="S585" s="67"/>
      <c r="T585" s="66">
        <f t="shared" ref="T585:T591" si="208">sum(U585:AB585)</f>
        <v>5</v>
      </c>
      <c r="V585" s="67"/>
      <c r="W585" s="4">
        <v>5.0</v>
      </c>
      <c r="AB585" s="138"/>
    </row>
    <row r="586">
      <c r="A586" s="11">
        <v>46134.0</v>
      </c>
      <c r="B586" s="13" t="s">
        <v>5</v>
      </c>
      <c r="D586" s="6"/>
      <c r="E586" s="4">
        <v>11.0</v>
      </c>
      <c r="F586" s="6">
        <f t="shared" si="206"/>
        <v>0</v>
      </c>
      <c r="G586" s="6">
        <f t="shared" si="207"/>
        <v>2</v>
      </c>
      <c r="L586" s="59">
        <v>2.0</v>
      </c>
      <c r="M586" s="59">
        <v>2.0</v>
      </c>
      <c r="N586" s="59">
        <v>4.0</v>
      </c>
      <c r="O586" s="59">
        <v>1.0</v>
      </c>
      <c r="P586" s="123"/>
      <c r="Q586" s="145">
        <v>2.0</v>
      </c>
      <c r="R586" s="90" t="s">
        <v>5</v>
      </c>
      <c r="S586" s="67"/>
      <c r="T586" s="66">
        <f t="shared" si="208"/>
        <v>2</v>
      </c>
      <c r="V586" s="67"/>
      <c r="Y586" s="4">
        <v>2.0</v>
      </c>
      <c r="AB586" s="140"/>
    </row>
    <row r="587">
      <c r="A587" s="11">
        <v>46134.0</v>
      </c>
      <c r="B587" s="114" t="s">
        <v>6</v>
      </c>
      <c r="C587" s="115">
        <v>24.0</v>
      </c>
      <c r="D587" s="6"/>
      <c r="E587" s="4">
        <v>5.0</v>
      </c>
      <c r="F587" s="6">
        <f t="shared" si="206"/>
        <v>8</v>
      </c>
      <c r="G587" s="6">
        <f t="shared" si="207"/>
        <v>10</v>
      </c>
      <c r="J587" s="115"/>
      <c r="K587" s="115"/>
      <c r="L587" s="144">
        <v>5.0</v>
      </c>
      <c r="M587" s="144">
        <v>3.0</v>
      </c>
      <c r="N587" s="144">
        <v>5.0</v>
      </c>
      <c r="O587" s="144">
        <v>3.0</v>
      </c>
      <c r="P587" s="123"/>
      <c r="Q587" s="145">
        <v>5.0</v>
      </c>
      <c r="R587" s="90" t="s">
        <v>6</v>
      </c>
      <c r="S587" s="67"/>
      <c r="T587" s="66">
        <f t="shared" si="208"/>
        <v>2</v>
      </c>
      <c r="V587" s="67"/>
      <c r="W587" s="4">
        <v>2.0</v>
      </c>
      <c r="AB587" s="139"/>
    </row>
    <row r="588">
      <c r="A588" s="11">
        <v>46134.0</v>
      </c>
      <c r="B588" s="13" t="s">
        <v>7</v>
      </c>
      <c r="C588" s="4">
        <v>24.0</v>
      </c>
      <c r="D588" s="6"/>
      <c r="F588" s="6">
        <f t="shared" si="206"/>
        <v>5</v>
      </c>
      <c r="G588" s="6">
        <f t="shared" si="207"/>
        <v>8</v>
      </c>
      <c r="L588" s="59">
        <v>4.0</v>
      </c>
      <c r="M588" s="59">
        <v>4.0</v>
      </c>
      <c r="N588" s="59">
        <v>5.0</v>
      </c>
      <c r="O588" s="59">
        <v>3.0</v>
      </c>
      <c r="P588" s="123"/>
      <c r="Q588" s="145">
        <v>3.0</v>
      </c>
      <c r="R588" s="90" t="s">
        <v>7</v>
      </c>
      <c r="S588" s="67"/>
      <c r="T588" s="66">
        <f t="shared" si="208"/>
        <v>3</v>
      </c>
      <c r="V588" s="67"/>
      <c r="W588" s="4">
        <v>2.0</v>
      </c>
      <c r="Z588" s="4">
        <v>1.0</v>
      </c>
      <c r="AB588" s="140"/>
    </row>
    <row r="589">
      <c r="A589" s="11">
        <v>46134.0</v>
      </c>
      <c r="B589" s="114" t="s">
        <v>8</v>
      </c>
      <c r="C589" s="115">
        <v>35.0</v>
      </c>
      <c r="D589" s="82">
        <v>9.0</v>
      </c>
      <c r="F589" s="6">
        <f t="shared" si="206"/>
        <v>19</v>
      </c>
      <c r="G589" s="6">
        <f t="shared" si="207"/>
        <v>20</v>
      </c>
      <c r="J589" s="115"/>
      <c r="K589" s="115"/>
      <c r="L589" s="144">
        <v>5.0</v>
      </c>
      <c r="M589" s="144">
        <v>5.0</v>
      </c>
      <c r="N589" s="144">
        <v>4.0</v>
      </c>
      <c r="O589" s="144">
        <v>5.0</v>
      </c>
      <c r="P589" s="123"/>
      <c r="Q589" s="145">
        <v>6.0</v>
      </c>
      <c r="R589" s="90" t="s">
        <v>8</v>
      </c>
      <c r="S589" s="67"/>
      <c r="T589" s="66">
        <f t="shared" si="208"/>
        <v>1</v>
      </c>
      <c r="V589" s="67"/>
      <c r="Z589" s="4">
        <v>1.0</v>
      </c>
      <c r="AB589" s="134"/>
    </row>
    <row r="590">
      <c r="A590" s="11">
        <v>46134.0</v>
      </c>
      <c r="B590" s="13" t="s">
        <v>9</v>
      </c>
      <c r="C590" s="4">
        <v>48.0</v>
      </c>
      <c r="D590" s="6"/>
      <c r="F590" s="6">
        <f t="shared" si="206"/>
        <v>21</v>
      </c>
      <c r="G590" s="6">
        <f t="shared" si="207"/>
        <v>21</v>
      </c>
      <c r="L590" s="59">
        <v>6.0</v>
      </c>
      <c r="M590" s="59">
        <v>5.0</v>
      </c>
      <c r="N590" s="59">
        <v>6.0</v>
      </c>
      <c r="O590" s="59">
        <v>5.0</v>
      </c>
      <c r="P590" s="123"/>
      <c r="Q590" s="145">
        <v>5.0</v>
      </c>
      <c r="R590" s="90" t="s">
        <v>9</v>
      </c>
      <c r="S590" s="67"/>
      <c r="T590" s="66">
        <f t="shared" si="208"/>
        <v>0</v>
      </c>
      <c r="V590" s="67"/>
      <c r="AB590" s="133"/>
    </row>
    <row r="591">
      <c r="A591" s="11">
        <v>46134.0</v>
      </c>
      <c r="B591" s="114" t="s">
        <v>10</v>
      </c>
      <c r="C591" s="115">
        <v>25.0</v>
      </c>
      <c r="D591" s="6"/>
      <c r="F591" s="6">
        <f t="shared" si="206"/>
        <v>5</v>
      </c>
      <c r="G591" s="6">
        <f t="shared" si="207"/>
        <v>6</v>
      </c>
      <c r="J591" s="115"/>
      <c r="K591" s="115"/>
      <c r="L591" s="144">
        <v>4.0</v>
      </c>
      <c r="M591" s="144">
        <v>5.0</v>
      </c>
      <c r="N591" s="144">
        <v>4.0</v>
      </c>
      <c r="O591" s="144">
        <v>3.0</v>
      </c>
      <c r="P591" s="123"/>
      <c r="Q591" s="145">
        <v>4.0</v>
      </c>
      <c r="R591" s="90" t="s">
        <v>10</v>
      </c>
      <c r="S591" s="67"/>
      <c r="T591" s="66">
        <f t="shared" si="208"/>
        <v>1</v>
      </c>
      <c r="V591" s="67"/>
      <c r="W591" s="4">
        <v>1.0</v>
      </c>
      <c r="AB591" s="134"/>
    </row>
    <row r="592">
      <c r="A592" s="11">
        <v>46134.0</v>
      </c>
      <c r="B592" s="13" t="s">
        <v>11</v>
      </c>
      <c r="C592" s="4">
        <v>16.0</v>
      </c>
      <c r="D592" s="6"/>
      <c r="E592" s="4">
        <v>2.0</v>
      </c>
      <c r="F592" s="6">
        <f t="shared" si="206"/>
        <v>0</v>
      </c>
      <c r="G592" s="6">
        <f t="shared" si="207"/>
        <v>0</v>
      </c>
      <c r="L592" s="59">
        <v>4.0</v>
      </c>
      <c r="M592" s="59">
        <v>4.0</v>
      </c>
      <c r="N592" s="59">
        <v>5.0</v>
      </c>
      <c r="O592" s="59">
        <v>2.0</v>
      </c>
      <c r="P592" s="123"/>
      <c r="Q592" s="145">
        <v>3.0</v>
      </c>
      <c r="R592" s="90" t="s">
        <v>11</v>
      </c>
      <c r="S592" s="67"/>
      <c r="T592" s="66"/>
      <c r="V592" s="67"/>
      <c r="Z592" s="4">
        <v>1.0</v>
      </c>
      <c r="AB592" s="140"/>
    </row>
    <row r="593">
      <c r="A593" s="11">
        <v>46134.0</v>
      </c>
      <c r="B593" s="114" t="s">
        <v>12</v>
      </c>
      <c r="C593" s="115">
        <v>16.0</v>
      </c>
      <c r="D593" s="6"/>
      <c r="F593" s="6">
        <f t="shared" si="206"/>
        <v>4</v>
      </c>
      <c r="G593" s="6">
        <f t="shared" si="207"/>
        <v>4</v>
      </c>
      <c r="J593" s="115"/>
      <c r="K593" s="115"/>
      <c r="L593" s="144">
        <v>4.0</v>
      </c>
      <c r="M593" s="144">
        <v>4.0</v>
      </c>
      <c r="N593" s="144"/>
      <c r="O593" s="144">
        <v>2.0</v>
      </c>
      <c r="P593" s="123"/>
      <c r="Q593" s="145">
        <v>2.0</v>
      </c>
      <c r="R593" s="90" t="s">
        <v>12</v>
      </c>
      <c r="S593" s="67"/>
      <c r="T593" s="66">
        <f t="shared" ref="T593:T596" si="209">sum(U593:AB593)</f>
        <v>0</v>
      </c>
      <c r="V593" s="66"/>
      <c r="AB593" s="139"/>
    </row>
    <row r="594">
      <c r="A594" s="11">
        <v>46134.0</v>
      </c>
      <c r="B594" s="13" t="s">
        <v>13</v>
      </c>
      <c r="C594" s="4">
        <v>34.0</v>
      </c>
      <c r="D594" s="6"/>
      <c r="E594" s="4">
        <v>4.0</v>
      </c>
      <c r="F594" s="6">
        <f t="shared" si="206"/>
        <v>9</v>
      </c>
      <c r="G594" s="6">
        <f t="shared" si="207"/>
        <v>11</v>
      </c>
      <c r="L594" s="59">
        <v>6.0</v>
      </c>
      <c r="M594" s="59">
        <v>5.0</v>
      </c>
      <c r="N594" s="59">
        <v>9.0</v>
      </c>
      <c r="O594" s="59">
        <v>4.0</v>
      </c>
      <c r="P594" s="123"/>
      <c r="Q594" s="145">
        <v>5.0</v>
      </c>
      <c r="R594" s="90" t="s">
        <v>13</v>
      </c>
      <c r="S594" s="67"/>
      <c r="T594" s="66">
        <f t="shared" si="209"/>
        <v>2</v>
      </c>
      <c r="V594" s="67"/>
      <c r="W594" s="4">
        <v>2.0</v>
      </c>
      <c r="AB594" s="140"/>
    </row>
    <row r="595">
      <c r="A595" s="11">
        <v>46134.0</v>
      </c>
      <c r="B595" s="114" t="s">
        <v>14</v>
      </c>
      <c r="C595" s="115">
        <v>16.0</v>
      </c>
      <c r="D595" s="82">
        <v>9.0</v>
      </c>
      <c r="F595" s="6">
        <f t="shared" si="206"/>
        <v>6</v>
      </c>
      <c r="G595" s="6">
        <f t="shared" si="207"/>
        <v>9</v>
      </c>
      <c r="J595" s="115"/>
      <c r="K595" s="115"/>
      <c r="L595" s="144">
        <v>4.0</v>
      </c>
      <c r="M595" s="144">
        <v>3.0</v>
      </c>
      <c r="N595" s="144">
        <v>6.0</v>
      </c>
      <c r="O595" s="144">
        <v>3.0</v>
      </c>
      <c r="P595" s="123"/>
      <c r="Q595" s="145">
        <v>3.0</v>
      </c>
      <c r="R595" s="90" t="s">
        <v>14</v>
      </c>
      <c r="S595" s="67"/>
      <c r="T595" s="66">
        <f t="shared" si="209"/>
        <v>3</v>
      </c>
      <c r="V595" s="67"/>
      <c r="W595" s="4">
        <v>1.0</v>
      </c>
      <c r="Z595" s="4">
        <v>2.0</v>
      </c>
      <c r="AB595" s="134"/>
    </row>
    <row r="596">
      <c r="A596" s="11">
        <v>46134.0</v>
      </c>
      <c r="B596" s="13" t="s">
        <v>15</v>
      </c>
      <c r="C596" s="4">
        <f>240+24</f>
        <v>264</v>
      </c>
      <c r="D596" s="6"/>
      <c r="E596" s="4">
        <v>20.0</v>
      </c>
      <c r="F596" s="6">
        <f t="shared" si="206"/>
        <v>82</v>
      </c>
      <c r="G596" s="6">
        <f t="shared" si="207"/>
        <v>97</v>
      </c>
      <c r="L596" s="59">
        <v>45.0</v>
      </c>
      <c r="M596" s="59">
        <v>40.0</v>
      </c>
      <c r="N596" s="59">
        <v>55.0</v>
      </c>
      <c r="O596" s="59">
        <v>27.0</v>
      </c>
      <c r="P596" s="123"/>
      <c r="Q596" s="145">
        <v>35.0</v>
      </c>
      <c r="R596" s="90" t="s">
        <v>15</v>
      </c>
      <c r="S596" s="67"/>
      <c r="T596" s="66">
        <f t="shared" si="209"/>
        <v>15</v>
      </c>
      <c r="V596" s="67"/>
      <c r="W596" s="4">
        <v>2.0</v>
      </c>
      <c r="X596" s="4">
        <v>5.0</v>
      </c>
      <c r="Z596" s="4">
        <v>4.0</v>
      </c>
      <c r="AB596" s="140">
        <v>4.0</v>
      </c>
    </row>
    <row r="597">
      <c r="B597" s="4" t="s">
        <v>16</v>
      </c>
      <c r="C597" s="13">
        <f>sum(C585:C596)</f>
        <v>550</v>
      </c>
      <c r="D597" s="6"/>
      <c r="F597" s="6">
        <f t="shared" ref="F597:G597" si="210">sum(F585:F596)</f>
        <v>175</v>
      </c>
      <c r="G597" s="6">
        <f t="shared" si="210"/>
        <v>209</v>
      </c>
      <c r="J597" s="97">
        <f t="shared" ref="J597:Q597" si="211">sum(J585:J596)</f>
        <v>0</v>
      </c>
      <c r="K597" s="97">
        <f t="shared" si="211"/>
        <v>0</v>
      </c>
      <c r="L597" s="97">
        <f t="shared" si="211"/>
        <v>96</v>
      </c>
      <c r="M597" s="97">
        <f t="shared" si="211"/>
        <v>86</v>
      </c>
      <c r="N597" s="97">
        <f t="shared" si="211"/>
        <v>112</v>
      </c>
      <c r="O597" s="97">
        <f t="shared" si="211"/>
        <v>63</v>
      </c>
      <c r="P597" s="97">
        <f t="shared" si="211"/>
        <v>0</v>
      </c>
      <c r="Q597" s="97">
        <f t="shared" si="211"/>
        <v>80</v>
      </c>
      <c r="R597" s="135"/>
      <c r="S597" s="136">
        <f t="shared" ref="S597:AB597" si="212">sum(S585:S596)</f>
        <v>0</v>
      </c>
      <c r="T597" s="136">
        <f t="shared" si="212"/>
        <v>34</v>
      </c>
      <c r="U597" s="135">
        <f t="shared" si="212"/>
        <v>0</v>
      </c>
      <c r="V597" s="136">
        <f t="shared" si="212"/>
        <v>0</v>
      </c>
      <c r="W597" s="135">
        <f t="shared" si="212"/>
        <v>15</v>
      </c>
      <c r="X597" s="135">
        <f t="shared" si="212"/>
        <v>5</v>
      </c>
      <c r="Y597" s="135">
        <f t="shared" si="212"/>
        <v>2</v>
      </c>
      <c r="Z597" s="135">
        <f t="shared" si="212"/>
        <v>9</v>
      </c>
      <c r="AA597" s="135">
        <f t="shared" si="212"/>
        <v>0</v>
      </c>
      <c r="AB597" s="135">
        <f t="shared" si="212"/>
        <v>4</v>
      </c>
    </row>
    <row r="598">
      <c r="D598" s="6"/>
      <c r="H598" s="60"/>
      <c r="I598" s="113"/>
      <c r="J598" s="13">
        <f t="shared" ref="J598:Q598" si="213">J597-U597</f>
        <v>0</v>
      </c>
      <c r="K598" s="66">
        <f t="shared" si="213"/>
        <v>0</v>
      </c>
      <c r="L598" s="13">
        <f t="shared" si="213"/>
        <v>81</v>
      </c>
      <c r="M598" s="13">
        <f t="shared" si="213"/>
        <v>81</v>
      </c>
      <c r="N598" s="13">
        <f t="shared" si="213"/>
        <v>110</v>
      </c>
      <c r="O598" s="13">
        <f t="shared" si="213"/>
        <v>54</v>
      </c>
      <c r="P598" s="13">
        <f t="shared" si="213"/>
        <v>0</v>
      </c>
      <c r="Q598" s="13">
        <f t="shared" si="213"/>
        <v>76</v>
      </c>
    </row>
    <row r="599">
      <c r="D599" s="6"/>
      <c r="H599" s="60"/>
      <c r="I599" s="113"/>
      <c r="J599" s="113"/>
      <c r="K599" s="113"/>
      <c r="L599" s="113"/>
      <c r="M599" s="113"/>
      <c r="N599" s="113"/>
      <c r="O599" s="113"/>
      <c r="P599" s="113"/>
      <c r="Q599" s="60"/>
    </row>
    <row r="600">
      <c r="D600" s="6"/>
      <c r="I600" s="62"/>
      <c r="J600" s="62" t="s">
        <v>114</v>
      </c>
      <c r="P600" s="62"/>
    </row>
    <row r="601">
      <c r="B601" s="114" t="s">
        <v>4</v>
      </c>
      <c r="D601" s="6"/>
      <c r="H601" s="4" t="s">
        <v>251</v>
      </c>
      <c r="I601" s="75" t="s">
        <v>253</v>
      </c>
      <c r="J601" s="4" t="s">
        <v>93</v>
      </c>
      <c r="K601" s="4" t="s">
        <v>227</v>
      </c>
      <c r="L601" s="4" t="s">
        <v>89</v>
      </c>
      <c r="M601" s="4" t="s">
        <v>80</v>
      </c>
      <c r="N601" s="4" t="s">
        <v>81</v>
      </c>
      <c r="O601" s="4" t="s">
        <v>232</v>
      </c>
      <c r="P601" s="4" t="s">
        <v>265</v>
      </c>
      <c r="Q601" s="4" t="s">
        <v>264</v>
      </c>
      <c r="R601" s="127" t="s">
        <v>236</v>
      </c>
      <c r="S601" s="128" t="s">
        <v>233</v>
      </c>
      <c r="T601" s="128" t="s">
        <v>234</v>
      </c>
      <c r="U601" s="128" t="s">
        <v>238</v>
      </c>
      <c r="V601" s="128" t="s">
        <v>231</v>
      </c>
      <c r="W601" s="128" t="s">
        <v>239</v>
      </c>
      <c r="X601" s="128" t="s">
        <v>246</v>
      </c>
      <c r="Y601" s="128" t="s">
        <v>247</v>
      </c>
      <c r="Z601" s="129" t="s">
        <v>256</v>
      </c>
      <c r="AA601" s="128" t="s">
        <v>248</v>
      </c>
      <c r="AB601" s="128" t="s">
        <v>267</v>
      </c>
      <c r="AC601" s="130" t="s">
        <v>268</v>
      </c>
    </row>
    <row r="602">
      <c r="B602" s="13" t="s">
        <v>5</v>
      </c>
      <c r="D602" s="6"/>
      <c r="I602" s="146"/>
      <c r="N602" s="67"/>
      <c r="R602" s="90" t="s">
        <v>4</v>
      </c>
      <c r="S602" s="67">
        <v>7.0</v>
      </c>
      <c r="T602" s="67">
        <v>5.0</v>
      </c>
      <c r="V602" s="67"/>
      <c r="AC602" s="138"/>
    </row>
    <row r="603">
      <c r="B603" s="114" t="s">
        <v>6</v>
      </c>
      <c r="D603" s="6"/>
      <c r="H603" s="66">
        <f t="shared" ref="H603:H613" si="214">S585+T585</f>
        <v>5</v>
      </c>
      <c r="I603" s="119">
        <f t="shared" ref="I603:I613" si="215">H603-sum(J603:Q603)</f>
        <v>5</v>
      </c>
      <c r="N603" s="67"/>
      <c r="P603" s="67"/>
      <c r="R603" s="90" t="s">
        <v>5</v>
      </c>
      <c r="S603" s="67"/>
      <c r="T603" s="67">
        <v>2.0</v>
      </c>
      <c r="V603" s="67"/>
      <c r="AC603" s="140"/>
    </row>
    <row r="604">
      <c r="B604" s="13" t="s">
        <v>7</v>
      </c>
      <c r="D604" s="6"/>
      <c r="H604" s="66">
        <f t="shared" si="214"/>
        <v>2</v>
      </c>
      <c r="I604" s="119">
        <f t="shared" si="215"/>
        <v>2</v>
      </c>
      <c r="N604" s="67"/>
      <c r="R604" s="90" t="s">
        <v>6</v>
      </c>
      <c r="S604" s="67">
        <v>1.0</v>
      </c>
      <c r="T604" s="67">
        <v>2.0</v>
      </c>
      <c r="V604" s="67"/>
      <c r="AC604" s="139"/>
    </row>
    <row r="605">
      <c r="B605" s="114" t="s">
        <v>8</v>
      </c>
      <c r="D605" s="6"/>
      <c r="H605" s="66">
        <f t="shared" si="214"/>
        <v>2</v>
      </c>
      <c r="I605" s="119">
        <f t="shared" si="215"/>
        <v>2</v>
      </c>
      <c r="N605" s="67"/>
      <c r="P605" s="67"/>
      <c r="R605" s="90" t="s">
        <v>7</v>
      </c>
      <c r="S605" s="67">
        <v>3.0</v>
      </c>
      <c r="T605" s="67">
        <v>6.0</v>
      </c>
      <c r="V605" s="67"/>
      <c r="AC605" s="140"/>
    </row>
    <row r="606">
      <c r="B606" s="13" t="s">
        <v>9</v>
      </c>
      <c r="D606" s="6"/>
      <c r="H606" s="66">
        <f t="shared" si="214"/>
        <v>3</v>
      </c>
      <c r="I606" s="119">
        <f t="shared" si="215"/>
        <v>3</v>
      </c>
      <c r="N606" s="67"/>
      <c r="P606" s="67"/>
      <c r="R606" s="90" t="s">
        <v>8</v>
      </c>
      <c r="S606" s="67">
        <v>5.0</v>
      </c>
      <c r="T606" s="67">
        <v>5.0</v>
      </c>
      <c r="V606" s="67"/>
      <c r="AC606" s="134"/>
    </row>
    <row r="607">
      <c r="B607" s="114" t="s">
        <v>10</v>
      </c>
      <c r="D607" s="6"/>
      <c r="H607" s="66">
        <f t="shared" si="214"/>
        <v>1</v>
      </c>
      <c r="I607" s="119">
        <f t="shared" si="215"/>
        <v>1</v>
      </c>
      <c r="N607" s="67"/>
      <c r="P607" s="67"/>
      <c r="R607" s="90" t="s">
        <v>9</v>
      </c>
      <c r="S607" s="67">
        <v>10.0</v>
      </c>
      <c r="T607" s="66">
        <f>sum(U607:AC607)</f>
        <v>0</v>
      </c>
      <c r="V607" s="67"/>
      <c r="AC607" s="133"/>
    </row>
    <row r="608">
      <c r="B608" s="13" t="s">
        <v>11</v>
      </c>
      <c r="D608" s="6"/>
      <c r="H608" s="66">
        <f t="shared" si="214"/>
        <v>0</v>
      </c>
      <c r="I608" s="119">
        <f t="shared" si="215"/>
        <v>0</v>
      </c>
      <c r="P608" s="67"/>
      <c r="R608" s="90" t="s">
        <v>10</v>
      </c>
      <c r="S608" s="67">
        <v>1.0</v>
      </c>
      <c r="T608" s="67">
        <v>1.0</v>
      </c>
      <c r="V608" s="67"/>
      <c r="AC608" s="134"/>
    </row>
    <row r="609">
      <c r="B609" s="114" t="s">
        <v>12</v>
      </c>
      <c r="D609" s="6"/>
      <c r="H609" s="66">
        <f t="shared" si="214"/>
        <v>1</v>
      </c>
      <c r="I609" s="119">
        <f t="shared" si="215"/>
        <v>1</v>
      </c>
      <c r="N609" s="66"/>
      <c r="P609" s="67"/>
      <c r="R609" s="90" t="s">
        <v>11</v>
      </c>
      <c r="S609" s="67"/>
      <c r="T609" s="67">
        <v>1.0</v>
      </c>
      <c r="V609" s="67"/>
      <c r="AC609" s="140"/>
    </row>
    <row r="610">
      <c r="B610" s="13" t="s">
        <v>13</v>
      </c>
      <c r="D610" s="6"/>
      <c r="H610" s="66">
        <f t="shared" si="214"/>
        <v>0</v>
      </c>
      <c r="I610" s="119">
        <f t="shared" si="215"/>
        <v>0</v>
      </c>
      <c r="N610" s="67"/>
      <c r="P610" s="66"/>
      <c r="R610" s="90" t="s">
        <v>12</v>
      </c>
      <c r="S610" s="67">
        <v>6.0</v>
      </c>
      <c r="T610" s="66">
        <f>sum(U610:AC610)</f>
        <v>0</v>
      </c>
      <c r="V610" s="66"/>
      <c r="AC610" s="139"/>
    </row>
    <row r="611">
      <c r="B611" s="114" t="s">
        <v>14</v>
      </c>
      <c r="D611" s="6"/>
      <c r="H611" s="66">
        <f t="shared" si="214"/>
        <v>0</v>
      </c>
      <c r="I611" s="119">
        <f t="shared" si="215"/>
        <v>0</v>
      </c>
      <c r="M611" s="67"/>
      <c r="P611" s="67"/>
      <c r="R611" s="90" t="s">
        <v>13</v>
      </c>
      <c r="S611" s="67">
        <v>2.0</v>
      </c>
      <c r="T611" s="67">
        <v>2.0</v>
      </c>
      <c r="V611" s="67"/>
      <c r="AC611" s="140"/>
    </row>
    <row r="612">
      <c r="B612" s="13" t="s">
        <v>15</v>
      </c>
      <c r="D612" s="6"/>
      <c r="H612" s="66">
        <f t="shared" si="214"/>
        <v>2</v>
      </c>
      <c r="I612" s="119">
        <f t="shared" si="215"/>
        <v>0</v>
      </c>
      <c r="M612" s="67"/>
      <c r="N612" s="67">
        <v>2.0</v>
      </c>
      <c r="P612" s="67"/>
      <c r="R612" s="90" t="s">
        <v>14</v>
      </c>
      <c r="S612" s="67">
        <v>1.0</v>
      </c>
      <c r="T612" s="67">
        <v>4.0</v>
      </c>
      <c r="V612" s="67"/>
      <c r="AC612" s="134"/>
    </row>
    <row r="613">
      <c r="H613" s="66">
        <f t="shared" si="214"/>
        <v>3</v>
      </c>
      <c r="I613" s="119">
        <f t="shared" si="215"/>
        <v>-42</v>
      </c>
      <c r="L613" s="4">
        <v>15.0</v>
      </c>
      <c r="N613" s="4">
        <v>15.0</v>
      </c>
      <c r="P613" s="67"/>
      <c r="Q613" s="4">
        <v>15.0</v>
      </c>
      <c r="R613" s="90" t="s">
        <v>15</v>
      </c>
      <c r="S613" s="67">
        <v>27.0</v>
      </c>
      <c r="T613" s="67">
        <v>2.0</v>
      </c>
      <c r="V613" s="67"/>
      <c r="AC613" s="140"/>
    </row>
    <row r="614">
      <c r="I614" s="13">
        <f t="shared" ref="I614:K614" si="216">sum(I602:I613)</f>
        <v>-28</v>
      </c>
      <c r="J614" s="97">
        <f t="shared" si="216"/>
        <v>0</v>
      </c>
      <c r="K614" s="97">
        <f t="shared" si="216"/>
        <v>0</v>
      </c>
      <c r="L614" s="59">
        <v>35.0</v>
      </c>
      <c r="M614" s="59"/>
      <c r="N614" s="59">
        <v>35.0</v>
      </c>
      <c r="O614" s="97">
        <f t="shared" ref="O614:P614" si="217">sum(O602:O613)</f>
        <v>0</v>
      </c>
      <c r="P614" s="97">
        <f t="shared" si="217"/>
        <v>0</v>
      </c>
      <c r="Q614" s="59">
        <v>35.0</v>
      </c>
      <c r="R614" s="135"/>
      <c r="S614" s="136">
        <f t="shared" ref="S614:V614" si="218">sum(S602:S613)</f>
        <v>63</v>
      </c>
      <c r="T614" s="136">
        <f t="shared" si="218"/>
        <v>30</v>
      </c>
      <c r="U614" s="135">
        <f t="shared" si="218"/>
        <v>0</v>
      </c>
      <c r="V614" s="136">
        <f t="shared" si="218"/>
        <v>0</v>
      </c>
      <c r="W614" s="137">
        <v>4.0</v>
      </c>
      <c r="X614" s="135">
        <f t="shared" ref="X614:AC614" si="219">sum(X602:X613)</f>
        <v>0</v>
      </c>
      <c r="Y614" s="135">
        <f t="shared" si="219"/>
        <v>0</v>
      </c>
      <c r="Z614" s="135">
        <f t="shared" si="219"/>
        <v>0</v>
      </c>
      <c r="AA614" s="135">
        <f t="shared" si="219"/>
        <v>0</v>
      </c>
      <c r="AB614" s="135">
        <f t="shared" si="219"/>
        <v>0</v>
      </c>
      <c r="AC614" s="135">
        <f t="shared" si="219"/>
        <v>0</v>
      </c>
    </row>
    <row r="616">
      <c r="C616" s="4" t="s">
        <v>270</v>
      </c>
      <c r="D616" s="82" t="s">
        <v>275</v>
      </c>
      <c r="E616" s="4" t="s">
        <v>244</v>
      </c>
      <c r="F616" s="4" t="s">
        <v>269</v>
      </c>
      <c r="G616" s="4" t="s">
        <v>245</v>
      </c>
      <c r="I616" s="4" t="s">
        <v>258</v>
      </c>
      <c r="J616" s="4" t="s">
        <v>93</v>
      </c>
      <c r="K616" s="4" t="s">
        <v>227</v>
      </c>
      <c r="L616" s="4" t="s">
        <v>89</v>
      </c>
      <c r="M616" s="4" t="s">
        <v>80</v>
      </c>
      <c r="N616" s="4" t="s">
        <v>81</v>
      </c>
      <c r="O616" s="4" t="s">
        <v>232</v>
      </c>
      <c r="P616" s="4" t="s">
        <v>265</v>
      </c>
      <c r="Q616" s="4" t="s">
        <v>264</v>
      </c>
      <c r="R616" s="127" t="s">
        <v>236</v>
      </c>
      <c r="S616" s="128" t="s">
        <v>233</v>
      </c>
      <c r="T616" s="128" t="s">
        <v>234</v>
      </c>
      <c r="U616" s="128" t="s">
        <v>238</v>
      </c>
      <c r="V616" s="128" t="s">
        <v>231</v>
      </c>
      <c r="W616" s="128" t="s">
        <v>239</v>
      </c>
      <c r="X616" s="128" t="s">
        <v>246</v>
      </c>
      <c r="Y616" s="128" t="s">
        <v>247</v>
      </c>
      <c r="Z616" s="128" t="s">
        <v>248</v>
      </c>
      <c r="AA616" s="128" t="s">
        <v>267</v>
      </c>
      <c r="AB616" s="130" t="s">
        <v>268</v>
      </c>
    </row>
    <row r="617">
      <c r="A617" s="11">
        <v>46135.0</v>
      </c>
      <c r="B617" s="114" t="s">
        <v>4</v>
      </c>
      <c r="C617" s="115">
        <v>20.0</v>
      </c>
      <c r="D617" s="6"/>
      <c r="E617" s="66">
        <f t="shared" ref="E617:E629" si="220">S602+T602</f>
        <v>12</v>
      </c>
      <c r="F617" s="13">
        <f t="shared" ref="F617:F628" si="221">sum(I617:Q617)</f>
        <v>32</v>
      </c>
      <c r="G617" s="6">
        <f t="shared" ref="G617:G628" si="222">C617+D617+E617-sum(I617:Q617)</f>
        <v>0</v>
      </c>
      <c r="J617" s="115">
        <v>5.0</v>
      </c>
      <c r="K617" s="115"/>
      <c r="L617" s="144">
        <v>5.0</v>
      </c>
      <c r="M617" s="115">
        <v>5.0</v>
      </c>
      <c r="N617" s="144">
        <v>7.0</v>
      </c>
      <c r="O617" s="115">
        <v>4.0</v>
      </c>
      <c r="Q617" s="4">
        <v>6.0</v>
      </c>
      <c r="R617" s="90" t="s">
        <v>4</v>
      </c>
      <c r="S617" s="67">
        <v>7.0</v>
      </c>
      <c r="T617" s="67">
        <v>5.0</v>
      </c>
      <c r="V617" s="67"/>
      <c r="AB617" s="138"/>
    </row>
    <row r="618">
      <c r="A618" s="11">
        <v>46135.0</v>
      </c>
      <c r="B618" s="13" t="s">
        <v>5</v>
      </c>
      <c r="C618" s="4">
        <v>0.0</v>
      </c>
      <c r="D618" s="6"/>
      <c r="E618" s="66">
        <f t="shared" si="220"/>
        <v>2</v>
      </c>
      <c r="F618" s="13">
        <f t="shared" si="221"/>
        <v>2</v>
      </c>
      <c r="G618" s="6">
        <f t="shared" si="222"/>
        <v>0</v>
      </c>
      <c r="L618" s="97"/>
      <c r="N618" s="59">
        <v>2.0</v>
      </c>
      <c r="P618" s="123"/>
      <c r="Q618" s="123"/>
      <c r="R618" s="90" t="s">
        <v>5</v>
      </c>
      <c r="S618" s="67"/>
      <c r="T618" s="67">
        <v>2.0</v>
      </c>
      <c r="V618" s="67"/>
      <c r="AB618" s="140"/>
    </row>
    <row r="619">
      <c r="A619" s="11">
        <v>46135.0</v>
      </c>
      <c r="B619" s="114" t="s">
        <v>6</v>
      </c>
      <c r="C619" s="115">
        <v>10.0</v>
      </c>
      <c r="D619" s="6"/>
      <c r="E619" s="66">
        <f t="shared" si="220"/>
        <v>3</v>
      </c>
      <c r="F619" s="13">
        <f t="shared" si="221"/>
        <v>13</v>
      </c>
      <c r="G619" s="6">
        <f t="shared" si="222"/>
        <v>0</v>
      </c>
      <c r="J619" s="115"/>
      <c r="K619" s="115"/>
      <c r="L619" s="144">
        <v>4.0</v>
      </c>
      <c r="M619" s="115">
        <v>3.0</v>
      </c>
      <c r="N619" s="144">
        <v>4.0</v>
      </c>
      <c r="O619" s="115"/>
      <c r="P619" s="123"/>
      <c r="Q619" s="123">
        <v>2.0</v>
      </c>
      <c r="R619" s="90" t="s">
        <v>6</v>
      </c>
      <c r="S619" s="67">
        <v>1.0</v>
      </c>
      <c r="T619" s="67">
        <v>2.0</v>
      </c>
      <c r="V619" s="67"/>
      <c r="AB619" s="139"/>
    </row>
    <row r="620">
      <c r="A620" s="11">
        <v>46135.0</v>
      </c>
      <c r="B620" s="13" t="s">
        <v>7</v>
      </c>
      <c r="C620" s="4">
        <v>12.0</v>
      </c>
      <c r="D620" s="6"/>
      <c r="E620" s="66">
        <f t="shared" si="220"/>
        <v>9</v>
      </c>
      <c r="F620" s="13">
        <f t="shared" si="221"/>
        <v>18</v>
      </c>
      <c r="G620" s="6">
        <f t="shared" si="222"/>
        <v>3</v>
      </c>
      <c r="L620" s="59">
        <v>3.0</v>
      </c>
      <c r="M620" s="4">
        <v>4.0</v>
      </c>
      <c r="N620" s="59">
        <v>5.0</v>
      </c>
      <c r="O620" s="4">
        <v>3.0</v>
      </c>
      <c r="P620" s="123"/>
      <c r="Q620" s="123">
        <v>3.0</v>
      </c>
      <c r="R620" s="90" t="s">
        <v>7</v>
      </c>
      <c r="S620" s="67">
        <v>3.0</v>
      </c>
      <c r="T620" s="67">
        <v>6.0</v>
      </c>
      <c r="V620" s="67"/>
      <c r="AB620" s="140"/>
    </row>
    <row r="621">
      <c r="A621" s="11">
        <v>46135.0</v>
      </c>
      <c r="B621" s="114" t="s">
        <v>8</v>
      </c>
      <c r="C621" s="115">
        <v>20.0</v>
      </c>
      <c r="D621" s="6"/>
      <c r="E621" s="66">
        <f t="shared" si="220"/>
        <v>10</v>
      </c>
      <c r="F621" s="13">
        <f t="shared" si="221"/>
        <v>31</v>
      </c>
      <c r="G621" s="6">
        <f t="shared" si="222"/>
        <v>-1</v>
      </c>
      <c r="J621" s="115">
        <v>3.0</v>
      </c>
      <c r="K621" s="115"/>
      <c r="L621" s="144">
        <v>5.0</v>
      </c>
      <c r="M621" s="115">
        <v>4.0</v>
      </c>
      <c r="N621" s="144">
        <v>8.0</v>
      </c>
      <c r="O621" s="115">
        <v>5.0</v>
      </c>
      <c r="P621" s="123"/>
      <c r="Q621" s="123">
        <v>6.0</v>
      </c>
      <c r="R621" s="90" t="s">
        <v>8</v>
      </c>
      <c r="S621" s="67">
        <v>5.0</v>
      </c>
      <c r="T621" s="67">
        <v>5.0</v>
      </c>
      <c r="V621" s="67"/>
      <c r="AB621" s="134"/>
    </row>
    <row r="622">
      <c r="A622" s="11">
        <v>46135.0</v>
      </c>
      <c r="B622" s="13" t="s">
        <v>9</v>
      </c>
      <c r="C622" s="4">
        <v>20.0</v>
      </c>
      <c r="D622" s="6"/>
      <c r="E622" s="66">
        <f t="shared" si="220"/>
        <v>10</v>
      </c>
      <c r="F622" s="13">
        <f t="shared" si="221"/>
        <v>31</v>
      </c>
      <c r="G622" s="6">
        <f t="shared" si="222"/>
        <v>-1</v>
      </c>
      <c r="J622" s="4">
        <v>3.0</v>
      </c>
      <c r="L622" s="59">
        <v>5.0</v>
      </c>
      <c r="M622" s="4">
        <v>5.0</v>
      </c>
      <c r="N622" s="59">
        <v>7.0</v>
      </c>
      <c r="O622" s="4">
        <v>5.0</v>
      </c>
      <c r="P622" s="123"/>
      <c r="Q622" s="123">
        <v>6.0</v>
      </c>
      <c r="R622" s="90" t="s">
        <v>9</v>
      </c>
      <c r="S622" s="67">
        <v>10.0</v>
      </c>
      <c r="T622" s="66">
        <f>sum(U622:AB622)</f>
        <v>0</v>
      </c>
      <c r="V622" s="67"/>
      <c r="AB622" s="133"/>
    </row>
    <row r="623">
      <c r="A623" s="11">
        <v>46135.0</v>
      </c>
      <c r="B623" s="114" t="s">
        <v>10</v>
      </c>
      <c r="C623" s="115">
        <v>18.0</v>
      </c>
      <c r="D623" s="6"/>
      <c r="E623" s="66">
        <f t="shared" si="220"/>
        <v>2</v>
      </c>
      <c r="F623" s="13">
        <f t="shared" si="221"/>
        <v>20</v>
      </c>
      <c r="G623" s="6">
        <f t="shared" si="222"/>
        <v>0</v>
      </c>
      <c r="J623" s="115"/>
      <c r="K623" s="115"/>
      <c r="L623" s="144">
        <v>4.0</v>
      </c>
      <c r="M623" s="115">
        <v>5.0</v>
      </c>
      <c r="N623" s="144">
        <v>5.0</v>
      </c>
      <c r="O623" s="115">
        <v>3.0</v>
      </c>
      <c r="P623" s="123"/>
      <c r="Q623" s="123">
        <v>3.0</v>
      </c>
      <c r="R623" s="90" t="s">
        <v>10</v>
      </c>
      <c r="S623" s="67">
        <v>1.0</v>
      </c>
      <c r="T623" s="67">
        <v>1.0</v>
      </c>
      <c r="V623" s="67"/>
      <c r="AB623" s="134"/>
    </row>
    <row r="624">
      <c r="A624" s="11">
        <v>46135.0</v>
      </c>
      <c r="B624" s="13" t="s">
        <v>11</v>
      </c>
      <c r="C624" s="4">
        <v>15.0</v>
      </c>
      <c r="D624" s="6"/>
      <c r="E624" s="66">
        <f t="shared" si="220"/>
        <v>1</v>
      </c>
      <c r="F624" s="13">
        <f t="shared" si="221"/>
        <v>16</v>
      </c>
      <c r="G624" s="6">
        <f t="shared" si="222"/>
        <v>0</v>
      </c>
      <c r="L624" s="59">
        <v>4.0</v>
      </c>
      <c r="M624" s="4">
        <v>3.0</v>
      </c>
      <c r="N624" s="59">
        <v>4.0</v>
      </c>
      <c r="O624" s="4">
        <v>3.0</v>
      </c>
      <c r="P624" s="123"/>
      <c r="Q624" s="123">
        <v>2.0</v>
      </c>
      <c r="R624" s="90" t="s">
        <v>11</v>
      </c>
      <c r="S624" s="67"/>
      <c r="T624" s="67">
        <v>1.0</v>
      </c>
      <c r="V624" s="67"/>
      <c r="AB624" s="140"/>
    </row>
    <row r="625">
      <c r="A625" s="11">
        <v>46135.0</v>
      </c>
      <c r="B625" s="114" t="s">
        <v>12</v>
      </c>
      <c r="C625" s="115">
        <v>10.0</v>
      </c>
      <c r="D625" s="6"/>
      <c r="E625" s="66">
        <f t="shared" si="220"/>
        <v>6</v>
      </c>
      <c r="F625" s="13">
        <f t="shared" si="221"/>
        <v>17</v>
      </c>
      <c r="G625" s="6">
        <f t="shared" si="222"/>
        <v>-1</v>
      </c>
      <c r="J625" s="115">
        <v>1.0</v>
      </c>
      <c r="K625" s="115"/>
      <c r="L625" s="144">
        <v>5.0</v>
      </c>
      <c r="M625" s="115">
        <v>4.0</v>
      </c>
      <c r="N625" s="144">
        <v>5.0</v>
      </c>
      <c r="O625" s="115">
        <v>1.0</v>
      </c>
      <c r="P625" s="123"/>
      <c r="Q625" s="123">
        <v>1.0</v>
      </c>
      <c r="R625" s="90" t="s">
        <v>12</v>
      </c>
      <c r="S625" s="67">
        <v>6.0</v>
      </c>
      <c r="T625" s="66">
        <f>sum(U625:AB625)</f>
        <v>0</v>
      </c>
      <c r="V625" s="66"/>
      <c r="AB625" s="139"/>
    </row>
    <row r="626">
      <c r="A626" s="11">
        <v>46135.0</v>
      </c>
      <c r="B626" s="13" t="s">
        <v>13</v>
      </c>
      <c r="C626" s="4">
        <v>20.0</v>
      </c>
      <c r="D626" s="6"/>
      <c r="E626" s="66">
        <f t="shared" si="220"/>
        <v>4</v>
      </c>
      <c r="F626" s="13">
        <f t="shared" si="221"/>
        <v>24</v>
      </c>
      <c r="G626" s="6">
        <f t="shared" si="222"/>
        <v>0</v>
      </c>
      <c r="J626" s="4">
        <v>1.0</v>
      </c>
      <c r="L626" s="59">
        <v>6.0</v>
      </c>
      <c r="M626" s="4">
        <v>5.0</v>
      </c>
      <c r="N626" s="59">
        <v>6.0</v>
      </c>
      <c r="O626" s="4">
        <v>3.0</v>
      </c>
      <c r="P626" s="123"/>
      <c r="Q626" s="123">
        <v>3.0</v>
      </c>
      <c r="R626" s="90" t="s">
        <v>13</v>
      </c>
      <c r="S626" s="67">
        <v>2.0</v>
      </c>
      <c r="T626" s="67">
        <v>2.0</v>
      </c>
      <c r="V626" s="67"/>
      <c r="AB626" s="140"/>
    </row>
    <row r="627">
      <c r="A627" s="11">
        <v>46135.0</v>
      </c>
      <c r="B627" s="114" t="s">
        <v>14</v>
      </c>
      <c r="C627" s="115">
        <v>8.0</v>
      </c>
      <c r="D627" s="6"/>
      <c r="E627" s="66">
        <f t="shared" si="220"/>
        <v>5</v>
      </c>
      <c r="F627" s="13">
        <f t="shared" si="221"/>
        <v>11</v>
      </c>
      <c r="G627" s="6">
        <f t="shared" si="222"/>
        <v>2</v>
      </c>
      <c r="J627" s="115"/>
      <c r="K627" s="115"/>
      <c r="L627" s="144">
        <v>3.0</v>
      </c>
      <c r="M627" s="115">
        <v>3.0</v>
      </c>
      <c r="N627" s="144">
        <v>4.0</v>
      </c>
      <c r="O627" s="115"/>
      <c r="P627" s="123"/>
      <c r="Q627" s="123">
        <v>1.0</v>
      </c>
      <c r="R627" s="90" t="s">
        <v>14</v>
      </c>
      <c r="S627" s="67">
        <v>1.0</v>
      </c>
      <c r="T627" s="67">
        <v>4.0</v>
      </c>
      <c r="V627" s="67"/>
      <c r="AB627" s="134"/>
    </row>
    <row r="628">
      <c r="A628" s="11">
        <v>46135.0</v>
      </c>
      <c r="B628" s="13" t="s">
        <v>15</v>
      </c>
      <c r="C628" s="4">
        <v>112.0</v>
      </c>
      <c r="D628" s="82">
        <f>65+8</f>
        <v>73</v>
      </c>
      <c r="E628" s="66">
        <f t="shared" si="220"/>
        <v>29</v>
      </c>
      <c r="F628" s="13">
        <f t="shared" si="221"/>
        <v>219</v>
      </c>
      <c r="G628" s="6">
        <f t="shared" si="222"/>
        <v>-5</v>
      </c>
      <c r="J628" s="4">
        <v>29.0</v>
      </c>
      <c r="L628" s="59">
        <v>45.0</v>
      </c>
      <c r="M628" s="4">
        <v>40.0</v>
      </c>
      <c r="N628" s="59">
        <v>40.0</v>
      </c>
      <c r="O628" s="4">
        <v>30.0</v>
      </c>
      <c r="P628" s="123"/>
      <c r="Q628" s="123">
        <v>35.0</v>
      </c>
      <c r="R628" s="90" t="s">
        <v>15</v>
      </c>
      <c r="S628" s="67">
        <v>27.0</v>
      </c>
      <c r="T628" s="67">
        <v>2.0</v>
      </c>
      <c r="V628" s="67"/>
      <c r="W628" s="4">
        <v>5.0</v>
      </c>
      <c r="AB628" s="140"/>
    </row>
    <row r="629">
      <c r="B629" s="4" t="s">
        <v>16</v>
      </c>
      <c r="C629" s="6">
        <f>sum(C617:C628)+D628</f>
        <v>338</v>
      </c>
      <c r="D629" s="6"/>
      <c r="E629" s="66">
        <f t="shared" si="220"/>
        <v>93</v>
      </c>
      <c r="F629" s="13">
        <f t="shared" ref="F629:G629" si="223">sum(F617:F628)</f>
        <v>434</v>
      </c>
      <c r="G629" s="6">
        <f t="shared" si="223"/>
        <v>-3</v>
      </c>
      <c r="J629" s="97">
        <f t="shared" ref="J629:Q629" si="224">sum(J617:J628)</f>
        <v>42</v>
      </c>
      <c r="K629" s="97">
        <f t="shared" si="224"/>
        <v>0</v>
      </c>
      <c r="L629" s="97">
        <f t="shared" si="224"/>
        <v>89</v>
      </c>
      <c r="M629" s="97">
        <f t="shared" si="224"/>
        <v>81</v>
      </c>
      <c r="N629" s="97">
        <f t="shared" si="224"/>
        <v>97</v>
      </c>
      <c r="O629" s="97">
        <f t="shared" si="224"/>
        <v>57</v>
      </c>
      <c r="P629" s="97">
        <f t="shared" si="224"/>
        <v>0</v>
      </c>
      <c r="Q629" s="97">
        <f t="shared" si="224"/>
        <v>68</v>
      </c>
      <c r="R629" s="135"/>
      <c r="S629" s="136">
        <f t="shared" ref="S629:Y629" si="225">sum(S617:S628)</f>
        <v>63</v>
      </c>
      <c r="T629" s="136">
        <f t="shared" si="225"/>
        <v>30</v>
      </c>
      <c r="U629" s="135">
        <f t="shared" si="225"/>
        <v>0</v>
      </c>
      <c r="V629" s="136">
        <f t="shared" si="225"/>
        <v>0</v>
      </c>
      <c r="W629" s="135">
        <f t="shared" si="225"/>
        <v>5</v>
      </c>
      <c r="X629" s="135">
        <f t="shared" si="225"/>
        <v>0</v>
      </c>
      <c r="Y629" s="135">
        <f t="shared" si="225"/>
        <v>0</v>
      </c>
      <c r="Z629" s="137">
        <v>19.0</v>
      </c>
      <c r="AA629" s="135">
        <f t="shared" ref="AA629:AB629" si="226">sum(AA617:AA628)</f>
        <v>0</v>
      </c>
      <c r="AB629" s="135">
        <f t="shared" si="226"/>
        <v>0</v>
      </c>
    </row>
    <row r="630">
      <c r="D630" s="6"/>
      <c r="J630" s="13">
        <f t="shared" ref="J630:Q630" si="227">J629-U629</f>
        <v>42</v>
      </c>
      <c r="K630" s="66">
        <f t="shared" si="227"/>
        <v>0</v>
      </c>
      <c r="L630" s="13">
        <f t="shared" si="227"/>
        <v>84</v>
      </c>
      <c r="M630" s="13">
        <f t="shared" si="227"/>
        <v>81</v>
      </c>
      <c r="N630" s="13">
        <f t="shared" si="227"/>
        <v>97</v>
      </c>
      <c r="O630" s="13">
        <f t="shared" si="227"/>
        <v>38</v>
      </c>
      <c r="P630" s="13">
        <f t="shared" si="227"/>
        <v>0</v>
      </c>
      <c r="Q630" s="13">
        <f t="shared" si="227"/>
        <v>68</v>
      </c>
    </row>
    <row r="631">
      <c r="D631" s="6"/>
    </row>
    <row r="632">
      <c r="A632" s="54"/>
      <c r="B632" s="54"/>
      <c r="C632" s="147">
        <f>C629+90</f>
        <v>428</v>
      </c>
      <c r="D632" s="147"/>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row>
    <row r="633">
      <c r="D633" s="6"/>
    </row>
    <row r="634">
      <c r="C634" s="4" t="s">
        <v>270</v>
      </c>
      <c r="D634" s="82" t="s">
        <v>2</v>
      </c>
      <c r="E634" s="4" t="s">
        <v>226</v>
      </c>
      <c r="G634" s="4" t="s">
        <v>16</v>
      </c>
      <c r="H634" s="4" t="s">
        <v>276</v>
      </c>
      <c r="I634" s="4" t="s">
        <v>277</v>
      </c>
      <c r="J634" s="4" t="s">
        <v>93</v>
      </c>
      <c r="K634" s="4" t="s">
        <v>227</v>
      </c>
      <c r="L634" s="4" t="s">
        <v>89</v>
      </c>
      <c r="M634" s="4" t="s">
        <v>80</v>
      </c>
      <c r="N634" s="4" t="s">
        <v>81</v>
      </c>
      <c r="O634" s="4" t="s">
        <v>232</v>
      </c>
      <c r="P634" s="4" t="s">
        <v>265</v>
      </c>
      <c r="Q634" s="4" t="s">
        <v>264</v>
      </c>
      <c r="R634" s="127" t="s">
        <v>236</v>
      </c>
      <c r="S634" s="128" t="s">
        <v>233</v>
      </c>
      <c r="T634" s="128" t="s">
        <v>234</v>
      </c>
      <c r="U634" s="128" t="s">
        <v>238</v>
      </c>
      <c r="V634" s="128" t="s">
        <v>231</v>
      </c>
      <c r="W634" s="128" t="s">
        <v>239</v>
      </c>
      <c r="X634" s="128" t="s">
        <v>246</v>
      </c>
      <c r="Y634" s="128" t="s">
        <v>247</v>
      </c>
      <c r="Z634" s="128" t="s">
        <v>248</v>
      </c>
      <c r="AA634" s="128" t="s">
        <v>267</v>
      </c>
      <c r="AB634" s="130" t="s">
        <v>268</v>
      </c>
    </row>
    <row r="635">
      <c r="A635" s="11">
        <v>46139.0</v>
      </c>
      <c r="B635" s="114" t="s">
        <v>4</v>
      </c>
      <c r="C635" s="115">
        <f t="shared" ref="C635:C645" si="228">G635</f>
        <v>25</v>
      </c>
      <c r="D635" s="6"/>
      <c r="G635" s="13">
        <f t="shared" ref="G635:G646" si="229">sum(H635:Q635)</f>
        <v>25</v>
      </c>
      <c r="J635" s="115"/>
      <c r="K635" s="115"/>
      <c r="L635" s="144">
        <v>5.0</v>
      </c>
      <c r="M635" s="115">
        <v>7.0</v>
      </c>
      <c r="N635" s="144">
        <v>7.0</v>
      </c>
      <c r="O635" s="115"/>
      <c r="Q635" s="4">
        <v>6.0</v>
      </c>
      <c r="R635" s="90" t="s">
        <v>4</v>
      </c>
      <c r="S635" s="67"/>
      <c r="T635" s="66">
        <f t="shared" ref="T635:T641" si="230">sum(U635:AB635)</f>
        <v>0</v>
      </c>
      <c r="V635" s="67"/>
      <c r="AB635" s="138"/>
    </row>
    <row r="636">
      <c r="A636" s="11">
        <v>46139.0</v>
      </c>
      <c r="B636" s="13" t="s">
        <v>5</v>
      </c>
      <c r="C636" s="4">
        <f t="shared" si="228"/>
        <v>20</v>
      </c>
      <c r="D636" s="6"/>
      <c r="G636" s="13">
        <f t="shared" si="229"/>
        <v>20</v>
      </c>
      <c r="H636" s="4">
        <v>4.0</v>
      </c>
      <c r="L636" s="59">
        <v>4.0</v>
      </c>
      <c r="M636" s="4">
        <v>3.0</v>
      </c>
      <c r="N636" s="59">
        <v>5.0</v>
      </c>
      <c r="P636" s="123"/>
      <c r="Q636" s="123">
        <v>4.0</v>
      </c>
      <c r="R636" s="90" t="s">
        <v>5</v>
      </c>
      <c r="S636" s="67">
        <v>4.0</v>
      </c>
      <c r="T636" s="66">
        <f t="shared" si="230"/>
        <v>0</v>
      </c>
      <c r="V636" s="67"/>
      <c r="AB636" s="140"/>
    </row>
    <row r="637">
      <c r="A637" s="11">
        <v>46139.0</v>
      </c>
      <c r="B637" s="114" t="s">
        <v>6</v>
      </c>
      <c r="C637" s="115">
        <f t="shared" si="228"/>
        <v>13</v>
      </c>
      <c r="D637" s="6"/>
      <c r="G637" s="13">
        <f t="shared" si="229"/>
        <v>13</v>
      </c>
      <c r="J637" s="115"/>
      <c r="K637" s="115"/>
      <c r="L637" s="144">
        <v>4.0</v>
      </c>
      <c r="M637" s="115">
        <v>3.0</v>
      </c>
      <c r="N637" s="144">
        <v>4.0</v>
      </c>
      <c r="O637" s="115"/>
      <c r="P637" s="123"/>
      <c r="Q637" s="123">
        <v>2.0</v>
      </c>
      <c r="R637" s="90" t="s">
        <v>6</v>
      </c>
      <c r="S637" s="67"/>
      <c r="T637" s="66">
        <f t="shared" si="230"/>
        <v>2</v>
      </c>
      <c r="V637" s="67"/>
      <c r="W637" s="4">
        <v>2.0</v>
      </c>
      <c r="AB637" s="139"/>
    </row>
    <row r="638">
      <c r="A638" s="11">
        <v>46139.0</v>
      </c>
      <c r="B638" s="13" t="s">
        <v>7</v>
      </c>
      <c r="C638" s="4">
        <f t="shared" si="228"/>
        <v>0</v>
      </c>
      <c r="D638" s="6"/>
      <c r="G638" s="13">
        <f t="shared" si="229"/>
        <v>0</v>
      </c>
      <c r="L638" s="59"/>
      <c r="N638" s="59"/>
      <c r="P638" s="123"/>
      <c r="Q638" s="123"/>
      <c r="R638" s="90" t="s">
        <v>7</v>
      </c>
      <c r="S638" s="67"/>
      <c r="T638" s="66">
        <f t="shared" si="230"/>
        <v>0</v>
      </c>
      <c r="V638" s="67"/>
      <c r="AB638" s="140"/>
    </row>
    <row r="639">
      <c r="A639" s="11">
        <v>46139.0</v>
      </c>
      <c r="B639" s="114" t="s">
        <v>8</v>
      </c>
      <c r="C639" s="115">
        <f t="shared" si="228"/>
        <v>18</v>
      </c>
      <c r="D639" s="6"/>
      <c r="G639" s="13">
        <f t="shared" si="229"/>
        <v>18</v>
      </c>
      <c r="J639" s="115"/>
      <c r="K639" s="115"/>
      <c r="L639" s="144">
        <v>5.0</v>
      </c>
      <c r="M639" s="115">
        <v>4.0</v>
      </c>
      <c r="N639" s="144">
        <v>7.0</v>
      </c>
      <c r="O639" s="115"/>
      <c r="P639" s="123"/>
      <c r="Q639" s="123">
        <v>2.0</v>
      </c>
      <c r="R639" s="90" t="s">
        <v>8</v>
      </c>
      <c r="S639" s="67"/>
      <c r="T639" s="66">
        <f t="shared" si="230"/>
        <v>0</v>
      </c>
      <c r="V639" s="67"/>
      <c r="AB639" s="134"/>
    </row>
    <row r="640">
      <c r="A640" s="11">
        <v>46139.0</v>
      </c>
      <c r="B640" s="13" t="s">
        <v>9</v>
      </c>
      <c r="C640" s="4">
        <f t="shared" si="228"/>
        <v>30</v>
      </c>
      <c r="D640" s="6"/>
      <c r="G640" s="13">
        <f t="shared" si="229"/>
        <v>30</v>
      </c>
      <c r="H640" s="4">
        <v>7.0</v>
      </c>
      <c r="L640" s="59">
        <v>5.0</v>
      </c>
      <c r="M640" s="4">
        <v>5.0</v>
      </c>
      <c r="N640" s="59">
        <v>7.0</v>
      </c>
      <c r="P640" s="123"/>
      <c r="Q640" s="123">
        <v>6.0</v>
      </c>
      <c r="R640" s="90" t="s">
        <v>9</v>
      </c>
      <c r="S640" s="67">
        <v>7.0</v>
      </c>
      <c r="T640" s="66">
        <f t="shared" si="230"/>
        <v>0</v>
      </c>
      <c r="V640" s="67"/>
      <c r="AB640" s="133"/>
    </row>
    <row r="641">
      <c r="A641" s="11">
        <v>46139.0</v>
      </c>
      <c r="B641" s="114" t="s">
        <v>10</v>
      </c>
      <c r="C641" s="115">
        <f t="shared" si="228"/>
        <v>20</v>
      </c>
      <c r="D641" s="6"/>
      <c r="G641" s="13">
        <f t="shared" si="229"/>
        <v>20</v>
      </c>
      <c r="I641" s="4">
        <v>1.0</v>
      </c>
      <c r="J641" s="115"/>
      <c r="K641" s="115"/>
      <c r="L641" s="144">
        <v>4.0</v>
      </c>
      <c r="M641" s="115">
        <v>5.0</v>
      </c>
      <c r="N641" s="144">
        <v>5.0</v>
      </c>
      <c r="O641" s="115"/>
      <c r="P641" s="123"/>
      <c r="Q641" s="123">
        <v>5.0</v>
      </c>
      <c r="R641" s="90" t="s">
        <v>10</v>
      </c>
      <c r="S641" s="67"/>
      <c r="T641" s="66">
        <f t="shared" si="230"/>
        <v>0</v>
      </c>
      <c r="V641" s="67"/>
      <c r="AB641" s="134"/>
    </row>
    <row r="642">
      <c r="A642" s="11">
        <v>46139.0</v>
      </c>
      <c r="B642" s="13" t="s">
        <v>11</v>
      </c>
      <c r="C642" s="4">
        <f t="shared" si="228"/>
        <v>15</v>
      </c>
      <c r="D642" s="6"/>
      <c r="G642" s="13">
        <f t="shared" si="229"/>
        <v>15</v>
      </c>
      <c r="L642" s="59">
        <v>4.0</v>
      </c>
      <c r="M642" s="4">
        <v>3.0</v>
      </c>
      <c r="N642" s="59">
        <v>5.0</v>
      </c>
      <c r="P642" s="123"/>
      <c r="Q642" s="123">
        <v>3.0</v>
      </c>
      <c r="R642" s="90" t="s">
        <v>11</v>
      </c>
      <c r="S642" s="67"/>
      <c r="T642" s="66"/>
      <c r="V642" s="67"/>
      <c r="AB642" s="140"/>
    </row>
    <row r="643">
      <c r="A643" s="11">
        <v>46139.0</v>
      </c>
      <c r="B643" s="114" t="s">
        <v>12</v>
      </c>
      <c r="C643" s="115">
        <f t="shared" si="228"/>
        <v>15</v>
      </c>
      <c r="D643" s="6"/>
      <c r="G643" s="13">
        <f t="shared" si="229"/>
        <v>15</v>
      </c>
      <c r="J643" s="115"/>
      <c r="K643" s="115"/>
      <c r="L643" s="144">
        <v>4.0</v>
      </c>
      <c r="M643" s="115">
        <v>3.0</v>
      </c>
      <c r="N643" s="144">
        <v>5.0</v>
      </c>
      <c r="O643" s="115"/>
      <c r="P643" s="123"/>
      <c r="Q643" s="123">
        <v>3.0</v>
      </c>
      <c r="R643" s="90" t="s">
        <v>12</v>
      </c>
      <c r="S643" s="67"/>
      <c r="T643" s="66">
        <f t="shared" ref="T643:T646" si="231">sum(U643:AB643)</f>
        <v>0</v>
      </c>
      <c r="V643" s="66"/>
      <c r="AB643" s="139"/>
    </row>
    <row r="644">
      <c r="A644" s="11">
        <v>46139.0</v>
      </c>
      <c r="B644" s="13" t="s">
        <v>13</v>
      </c>
      <c r="C644" s="4">
        <f t="shared" si="228"/>
        <v>35</v>
      </c>
      <c r="D644" s="6"/>
      <c r="G644" s="13">
        <f t="shared" si="229"/>
        <v>35</v>
      </c>
      <c r="H644" s="4">
        <v>11.0</v>
      </c>
      <c r="I644" s="4">
        <v>1.0</v>
      </c>
      <c r="L644" s="59">
        <v>5.0</v>
      </c>
      <c r="M644" s="4">
        <v>5.0</v>
      </c>
      <c r="N644" s="59">
        <v>7.0</v>
      </c>
      <c r="P644" s="123"/>
      <c r="Q644" s="123">
        <v>6.0</v>
      </c>
      <c r="R644" s="90" t="s">
        <v>13</v>
      </c>
      <c r="S644" s="67">
        <v>11.0</v>
      </c>
      <c r="T644" s="66">
        <f t="shared" si="231"/>
        <v>1</v>
      </c>
      <c r="V644" s="67"/>
      <c r="W644" s="4">
        <v>1.0</v>
      </c>
      <c r="AB644" s="140"/>
    </row>
    <row r="645">
      <c r="A645" s="11">
        <v>46139.0</v>
      </c>
      <c r="B645" s="114" t="s">
        <v>14</v>
      </c>
      <c r="C645" s="115">
        <f t="shared" si="228"/>
        <v>20</v>
      </c>
      <c r="D645" s="6"/>
      <c r="G645" s="13">
        <f t="shared" si="229"/>
        <v>20</v>
      </c>
      <c r="H645" s="4">
        <v>4.0</v>
      </c>
      <c r="I645" s="4">
        <v>1.0</v>
      </c>
      <c r="J645" s="115"/>
      <c r="K645" s="115"/>
      <c r="L645" s="144">
        <v>4.0</v>
      </c>
      <c r="M645" s="115">
        <v>3.0</v>
      </c>
      <c r="N645" s="144">
        <v>5.0</v>
      </c>
      <c r="O645" s="115"/>
      <c r="P645" s="123"/>
      <c r="Q645" s="123">
        <v>3.0</v>
      </c>
      <c r="R645" s="90" t="s">
        <v>14</v>
      </c>
      <c r="S645" s="67">
        <v>5.0</v>
      </c>
      <c r="T645" s="66">
        <f t="shared" si="231"/>
        <v>0</v>
      </c>
      <c r="V645" s="67"/>
      <c r="AB645" s="134"/>
    </row>
    <row r="646">
      <c r="A646" s="11">
        <v>46139.0</v>
      </c>
      <c r="B646" s="13" t="s">
        <v>15</v>
      </c>
      <c r="C646" s="82">
        <f>G646-D646</f>
        <v>281</v>
      </c>
      <c r="D646" s="82">
        <v>8.0</v>
      </c>
      <c r="G646" s="13">
        <f t="shared" si="229"/>
        <v>289</v>
      </c>
      <c r="H646" s="4">
        <v>121.0</v>
      </c>
      <c r="I646" s="4">
        <v>3.0</v>
      </c>
      <c r="L646" s="59">
        <v>42.0</v>
      </c>
      <c r="M646" s="4">
        <v>38.0</v>
      </c>
      <c r="N646" s="59">
        <v>48.0</v>
      </c>
      <c r="P646" s="123"/>
      <c r="Q646" s="123">
        <v>37.0</v>
      </c>
      <c r="R646" s="90" t="s">
        <v>15</v>
      </c>
      <c r="S646" s="67">
        <v>116.0</v>
      </c>
      <c r="T646" s="66">
        <f t="shared" si="231"/>
        <v>12</v>
      </c>
      <c r="V646" s="67"/>
      <c r="AB646" s="140">
        <v>12.0</v>
      </c>
    </row>
    <row r="647">
      <c r="B647" s="4" t="s">
        <v>16</v>
      </c>
      <c r="C647" s="6">
        <f>sum(C635:C646)+D646</f>
        <v>500</v>
      </c>
      <c r="D647" s="6"/>
      <c r="G647" s="13">
        <f>sum(G635:G646)</f>
        <v>500</v>
      </c>
      <c r="J647" s="97">
        <f t="shared" ref="J647:Q647" si="232">sum(J635:J646)</f>
        <v>0</v>
      </c>
      <c r="K647" s="97">
        <f t="shared" si="232"/>
        <v>0</v>
      </c>
      <c r="L647" s="97">
        <f t="shared" si="232"/>
        <v>86</v>
      </c>
      <c r="M647" s="97">
        <f t="shared" si="232"/>
        <v>79</v>
      </c>
      <c r="N647" s="97">
        <f t="shared" si="232"/>
        <v>105</v>
      </c>
      <c r="O647" s="97">
        <f t="shared" si="232"/>
        <v>0</v>
      </c>
      <c r="P647" s="97">
        <f t="shared" si="232"/>
        <v>0</v>
      </c>
      <c r="Q647" s="97">
        <f t="shared" si="232"/>
        <v>77</v>
      </c>
      <c r="R647" s="135"/>
      <c r="S647" s="136">
        <f t="shared" ref="S647:AB647" si="233">sum(S635:S646)</f>
        <v>143</v>
      </c>
      <c r="T647" s="136">
        <f t="shared" si="233"/>
        <v>15</v>
      </c>
      <c r="U647" s="135">
        <f t="shared" si="233"/>
        <v>0</v>
      </c>
      <c r="V647" s="136">
        <f t="shared" si="233"/>
        <v>0</v>
      </c>
      <c r="W647" s="135">
        <f t="shared" si="233"/>
        <v>3</v>
      </c>
      <c r="X647" s="135">
        <f t="shared" si="233"/>
        <v>0</v>
      </c>
      <c r="Y647" s="135">
        <f t="shared" si="233"/>
        <v>0</v>
      </c>
      <c r="Z647" s="135">
        <f t="shared" si="233"/>
        <v>0</v>
      </c>
      <c r="AA647" s="135">
        <f t="shared" si="233"/>
        <v>0</v>
      </c>
      <c r="AB647" s="135">
        <f t="shared" si="233"/>
        <v>12</v>
      </c>
    </row>
    <row r="648">
      <c r="D648" s="6"/>
      <c r="E648" s="6">
        <f>C647-H663</f>
        <v>342</v>
      </c>
      <c r="J648" s="13">
        <f t="shared" ref="J648:O648" si="234">J647-U647</f>
        <v>0</v>
      </c>
      <c r="K648" s="66">
        <f t="shared" si="234"/>
        <v>0</v>
      </c>
      <c r="L648" s="13">
        <f t="shared" si="234"/>
        <v>83</v>
      </c>
      <c r="M648" s="13">
        <f t="shared" si="234"/>
        <v>79</v>
      </c>
      <c r="N648" s="13">
        <f t="shared" si="234"/>
        <v>105</v>
      </c>
      <c r="O648" s="13">
        <f t="shared" si="234"/>
        <v>0</v>
      </c>
      <c r="P648" s="13">
        <f>P647-Z647</f>
        <v>0</v>
      </c>
      <c r="Q648" s="13">
        <f>Q647-AB647</f>
        <v>65</v>
      </c>
    </row>
    <row r="649">
      <c r="D649" s="6"/>
    </row>
    <row r="650">
      <c r="D650" s="82" t="s">
        <v>2</v>
      </c>
      <c r="G650" s="4" t="s">
        <v>16</v>
      </c>
      <c r="H650" s="4" t="s">
        <v>251</v>
      </c>
      <c r="I650" s="75" t="s">
        <v>253</v>
      </c>
      <c r="J650" s="4" t="s">
        <v>93</v>
      </c>
      <c r="K650" s="4" t="s">
        <v>227</v>
      </c>
      <c r="L650" s="4" t="s">
        <v>89</v>
      </c>
      <c r="M650" s="4" t="s">
        <v>80</v>
      </c>
      <c r="N650" s="4" t="s">
        <v>81</v>
      </c>
      <c r="O650" s="4" t="s">
        <v>232</v>
      </c>
      <c r="P650" s="4" t="s">
        <v>265</v>
      </c>
      <c r="Q650" s="4" t="s">
        <v>264</v>
      </c>
      <c r="R650" s="127" t="s">
        <v>236</v>
      </c>
      <c r="S650" s="128" t="s">
        <v>233</v>
      </c>
      <c r="T650" s="128" t="s">
        <v>234</v>
      </c>
      <c r="U650" s="128" t="s">
        <v>238</v>
      </c>
      <c r="V650" s="128" t="s">
        <v>231</v>
      </c>
      <c r="W650" s="128" t="s">
        <v>239</v>
      </c>
      <c r="X650" s="128" t="s">
        <v>246</v>
      </c>
      <c r="Y650" s="128" t="s">
        <v>247</v>
      </c>
      <c r="Z650" s="128" t="s">
        <v>248</v>
      </c>
      <c r="AA650" s="128" t="s">
        <v>267</v>
      </c>
      <c r="AB650" s="130" t="s">
        <v>268</v>
      </c>
    </row>
    <row r="651">
      <c r="A651" s="11">
        <v>46140.0</v>
      </c>
      <c r="B651" s="114" t="s">
        <v>4</v>
      </c>
      <c r="C651" s="115">
        <v>18.0</v>
      </c>
      <c r="D651" s="82">
        <v>8.0</v>
      </c>
      <c r="G651" s="66">
        <f t="shared" ref="G651:G662" si="235">sum(I651:Q651)</f>
        <v>26</v>
      </c>
      <c r="H651" s="66">
        <f t="shared" ref="H651:H662" si="236">S635+T635</f>
        <v>0</v>
      </c>
      <c r="I651" s="119">
        <f t="shared" ref="I651:I662" si="237">H651+D651+C651-sum(J651:Q651)</f>
        <v>0</v>
      </c>
      <c r="J651" s="115"/>
      <c r="K651" s="115"/>
      <c r="L651" s="144">
        <v>5.0</v>
      </c>
      <c r="M651" s="115">
        <v>7.0</v>
      </c>
      <c r="N651" s="144">
        <v>7.0</v>
      </c>
      <c r="O651" s="115"/>
      <c r="Q651" s="4">
        <v>7.0</v>
      </c>
      <c r="R651" s="90" t="s">
        <v>4</v>
      </c>
      <c r="S651" s="67"/>
      <c r="T651" s="66">
        <f t="shared" ref="T651:T657" si="238">sum(U651:AB651)</f>
        <v>2</v>
      </c>
      <c r="V651" s="67"/>
      <c r="W651" s="4">
        <v>2.0</v>
      </c>
      <c r="AB651" s="138"/>
    </row>
    <row r="652">
      <c r="A652" s="11">
        <v>46140.0</v>
      </c>
      <c r="B652" s="13" t="s">
        <v>5</v>
      </c>
      <c r="C652" s="4">
        <v>10.0</v>
      </c>
      <c r="D652" s="6"/>
      <c r="G652" s="66">
        <f t="shared" si="235"/>
        <v>14</v>
      </c>
      <c r="H652" s="66">
        <f t="shared" si="236"/>
        <v>4</v>
      </c>
      <c r="I652" s="119">
        <f t="shared" si="237"/>
        <v>2</v>
      </c>
      <c r="L652" s="59">
        <v>3.0</v>
      </c>
      <c r="M652" s="4">
        <v>1.0</v>
      </c>
      <c r="N652" s="59">
        <v>5.0</v>
      </c>
      <c r="P652" s="123"/>
      <c r="Q652" s="123">
        <v>3.0</v>
      </c>
      <c r="R652" s="90" t="s">
        <v>5</v>
      </c>
      <c r="S652" s="67"/>
      <c r="T652" s="66">
        <f t="shared" si="238"/>
        <v>2</v>
      </c>
      <c r="V652" s="67"/>
      <c r="W652" s="4">
        <v>2.0</v>
      </c>
      <c r="AB652" s="140"/>
    </row>
    <row r="653">
      <c r="A653" s="11">
        <v>46140.0</v>
      </c>
      <c r="B653" s="114" t="s">
        <v>6</v>
      </c>
      <c r="C653" s="115">
        <v>9.0</v>
      </c>
      <c r="D653" s="6"/>
      <c r="G653" s="66">
        <f t="shared" si="235"/>
        <v>11</v>
      </c>
      <c r="H653" s="66">
        <f t="shared" si="236"/>
        <v>2</v>
      </c>
      <c r="I653" s="119">
        <f t="shared" si="237"/>
        <v>0</v>
      </c>
      <c r="J653" s="115"/>
      <c r="K653" s="115"/>
      <c r="L653" s="144">
        <v>2.0</v>
      </c>
      <c r="M653" s="115">
        <v>3.0</v>
      </c>
      <c r="N653" s="144">
        <v>4.0</v>
      </c>
      <c r="O653" s="115"/>
      <c r="P653" s="123"/>
      <c r="Q653" s="123">
        <v>2.0</v>
      </c>
      <c r="R653" s="90" t="s">
        <v>6</v>
      </c>
      <c r="S653" s="67"/>
      <c r="T653" s="66">
        <f t="shared" si="238"/>
        <v>0</v>
      </c>
      <c r="V653" s="67"/>
      <c r="AB653" s="139"/>
    </row>
    <row r="654">
      <c r="A654" s="11">
        <v>46140.0</v>
      </c>
      <c r="B654" s="13" t="s">
        <v>7</v>
      </c>
      <c r="C654" s="4">
        <v>0.0</v>
      </c>
      <c r="D654" s="6"/>
      <c r="G654" s="66">
        <f t="shared" si="235"/>
        <v>0</v>
      </c>
      <c r="H654" s="66">
        <f t="shared" si="236"/>
        <v>0</v>
      </c>
      <c r="I654" s="119">
        <f t="shared" si="237"/>
        <v>0</v>
      </c>
      <c r="L654" s="59"/>
      <c r="N654" s="59"/>
      <c r="P654" s="123"/>
      <c r="Q654" s="123"/>
      <c r="R654" s="90" t="s">
        <v>7</v>
      </c>
      <c r="S654" s="67"/>
      <c r="T654" s="66">
        <f t="shared" si="238"/>
        <v>0</v>
      </c>
      <c r="V654" s="67"/>
      <c r="AB654" s="140"/>
    </row>
    <row r="655">
      <c r="A655" s="11">
        <v>46140.0</v>
      </c>
      <c r="B655" s="114" t="s">
        <v>8</v>
      </c>
      <c r="C655" s="115">
        <v>18.0</v>
      </c>
      <c r="D655" s="6"/>
      <c r="G655" s="66">
        <f t="shared" si="235"/>
        <v>18</v>
      </c>
      <c r="H655" s="66">
        <f t="shared" si="236"/>
        <v>0</v>
      </c>
      <c r="I655" s="119">
        <f t="shared" si="237"/>
        <v>0</v>
      </c>
      <c r="J655" s="115"/>
      <c r="K655" s="115"/>
      <c r="L655" s="144">
        <v>5.0</v>
      </c>
      <c r="M655" s="115">
        <v>4.0</v>
      </c>
      <c r="N655" s="144">
        <v>6.0</v>
      </c>
      <c r="O655" s="115"/>
      <c r="P655" s="123"/>
      <c r="Q655" s="123">
        <v>3.0</v>
      </c>
      <c r="R655" s="90" t="s">
        <v>8</v>
      </c>
      <c r="S655" s="67"/>
      <c r="T655" s="66">
        <f t="shared" si="238"/>
        <v>0</v>
      </c>
      <c r="V655" s="67"/>
      <c r="AB655" s="134"/>
    </row>
    <row r="656">
      <c r="A656" s="11">
        <v>46140.0</v>
      </c>
      <c r="B656" s="13" t="s">
        <v>9</v>
      </c>
      <c r="C656" s="4">
        <v>7.0</v>
      </c>
      <c r="D656" s="6"/>
      <c r="G656" s="66">
        <f t="shared" si="235"/>
        <v>14</v>
      </c>
      <c r="H656" s="66">
        <f t="shared" si="236"/>
        <v>7</v>
      </c>
      <c r="I656" s="119">
        <f t="shared" si="237"/>
        <v>3</v>
      </c>
      <c r="L656" s="59">
        <v>3.0</v>
      </c>
      <c r="N656" s="59">
        <v>5.0</v>
      </c>
      <c r="P656" s="123"/>
      <c r="Q656" s="123">
        <v>3.0</v>
      </c>
      <c r="R656" s="90" t="s">
        <v>9</v>
      </c>
      <c r="S656" s="67"/>
      <c r="T656" s="66">
        <f t="shared" si="238"/>
        <v>0</v>
      </c>
      <c r="V656" s="67"/>
      <c r="AB656" s="133"/>
    </row>
    <row r="657">
      <c r="A657" s="11">
        <v>46140.0</v>
      </c>
      <c r="B657" s="114" t="s">
        <v>10</v>
      </c>
      <c r="C657" s="115">
        <v>6.0</v>
      </c>
      <c r="D657" s="6"/>
      <c r="G657" s="66">
        <f t="shared" si="235"/>
        <v>6</v>
      </c>
      <c r="H657" s="66">
        <f t="shared" si="236"/>
        <v>0</v>
      </c>
      <c r="I657" s="119">
        <f t="shared" si="237"/>
        <v>0</v>
      </c>
      <c r="J657" s="115"/>
      <c r="K657" s="115"/>
      <c r="L657" s="144">
        <v>2.0</v>
      </c>
      <c r="M657" s="115">
        <v>2.0</v>
      </c>
      <c r="N657" s="144">
        <v>2.0</v>
      </c>
      <c r="O657" s="115"/>
      <c r="P657" s="123"/>
      <c r="Q657" s="123"/>
      <c r="R657" s="90" t="s">
        <v>10</v>
      </c>
      <c r="S657" s="67"/>
      <c r="T657" s="66">
        <f t="shared" si="238"/>
        <v>0</v>
      </c>
      <c r="V657" s="67"/>
      <c r="AB657" s="134"/>
    </row>
    <row r="658">
      <c r="A658" s="11">
        <v>46140.0</v>
      </c>
      <c r="B658" s="13" t="s">
        <v>11</v>
      </c>
      <c r="C658" s="4">
        <v>2.0</v>
      </c>
      <c r="D658" s="6"/>
      <c r="G658" s="66">
        <f t="shared" si="235"/>
        <v>2</v>
      </c>
      <c r="H658" s="66">
        <f t="shared" si="236"/>
        <v>0</v>
      </c>
      <c r="I658" s="119">
        <f t="shared" si="237"/>
        <v>0</v>
      </c>
      <c r="L658" s="59"/>
      <c r="N658" s="59">
        <v>2.0</v>
      </c>
      <c r="P658" s="123"/>
      <c r="Q658" s="123"/>
      <c r="R658" s="90" t="s">
        <v>11</v>
      </c>
      <c r="S658" s="67"/>
      <c r="T658" s="66"/>
      <c r="V658" s="67"/>
      <c r="AB658" s="140"/>
    </row>
    <row r="659">
      <c r="A659" s="11">
        <v>46140.0</v>
      </c>
      <c r="B659" s="114" t="s">
        <v>12</v>
      </c>
      <c r="C659" s="115">
        <v>10.0</v>
      </c>
      <c r="D659" s="6"/>
      <c r="G659" s="66">
        <f t="shared" si="235"/>
        <v>10</v>
      </c>
      <c r="H659" s="66">
        <f t="shared" si="236"/>
        <v>0</v>
      </c>
      <c r="I659" s="119">
        <f t="shared" si="237"/>
        <v>0</v>
      </c>
      <c r="J659" s="115"/>
      <c r="K659" s="115"/>
      <c r="L659" s="144">
        <v>3.0</v>
      </c>
      <c r="M659" s="115">
        <v>2.0</v>
      </c>
      <c r="N659" s="144">
        <v>3.0</v>
      </c>
      <c r="O659" s="115"/>
      <c r="P659" s="123"/>
      <c r="Q659" s="123">
        <v>2.0</v>
      </c>
      <c r="R659" s="90" t="s">
        <v>12</v>
      </c>
      <c r="S659" s="67"/>
      <c r="T659" s="66">
        <f t="shared" ref="T659:T662" si="239">sum(U659:AB659)</f>
        <v>0</v>
      </c>
      <c r="V659" s="66"/>
      <c r="AB659" s="139"/>
    </row>
    <row r="660">
      <c r="A660" s="11">
        <v>46140.0</v>
      </c>
      <c r="B660" s="13" t="s">
        <v>13</v>
      </c>
      <c r="C660" s="4">
        <v>7.0</v>
      </c>
      <c r="D660" s="6"/>
      <c r="G660" s="66">
        <f t="shared" si="235"/>
        <v>19</v>
      </c>
      <c r="H660" s="66">
        <f t="shared" si="236"/>
        <v>12</v>
      </c>
      <c r="I660" s="119">
        <f t="shared" si="237"/>
        <v>0</v>
      </c>
      <c r="L660" s="59">
        <v>4.0</v>
      </c>
      <c r="M660" s="4">
        <v>4.0</v>
      </c>
      <c r="N660" s="59">
        <v>7.0</v>
      </c>
      <c r="P660" s="123"/>
      <c r="Q660" s="123">
        <v>4.0</v>
      </c>
      <c r="R660" s="90" t="s">
        <v>13</v>
      </c>
      <c r="S660" s="67"/>
      <c r="T660" s="66">
        <f t="shared" si="239"/>
        <v>0</v>
      </c>
      <c r="V660" s="67"/>
      <c r="AB660" s="140"/>
    </row>
    <row r="661">
      <c r="A661" s="11">
        <v>46140.0</v>
      </c>
      <c r="B661" s="114" t="s">
        <v>14</v>
      </c>
      <c r="C661" s="115">
        <v>19.0</v>
      </c>
      <c r="D661" s="6"/>
      <c r="G661" s="66">
        <f t="shared" si="235"/>
        <v>24</v>
      </c>
      <c r="H661" s="66">
        <f t="shared" si="236"/>
        <v>5</v>
      </c>
      <c r="I661" s="119">
        <f t="shared" si="237"/>
        <v>1</v>
      </c>
      <c r="J661" s="115"/>
      <c r="K661" s="115"/>
      <c r="L661" s="144">
        <v>5.0</v>
      </c>
      <c r="M661" s="115">
        <v>4.0</v>
      </c>
      <c r="N661" s="144">
        <v>10.0</v>
      </c>
      <c r="O661" s="115"/>
      <c r="P661" s="123"/>
      <c r="Q661" s="123">
        <v>4.0</v>
      </c>
      <c r="R661" s="90" t="s">
        <v>14</v>
      </c>
      <c r="S661" s="67"/>
      <c r="T661" s="66">
        <f t="shared" si="239"/>
        <v>2</v>
      </c>
      <c r="V661" s="67"/>
      <c r="W661" s="4">
        <v>2.0</v>
      </c>
      <c r="AB661" s="134"/>
    </row>
    <row r="662">
      <c r="A662" s="11">
        <v>46140.0</v>
      </c>
      <c r="B662" s="13" t="s">
        <v>15</v>
      </c>
      <c r="C662" s="4">
        <v>52.0</v>
      </c>
      <c r="D662" s="6"/>
      <c r="G662" s="66">
        <f t="shared" si="235"/>
        <v>180</v>
      </c>
      <c r="H662" s="66">
        <f t="shared" si="236"/>
        <v>128</v>
      </c>
      <c r="I662" s="119">
        <f t="shared" si="237"/>
        <v>-8</v>
      </c>
      <c r="L662" s="59">
        <v>45.0</v>
      </c>
      <c r="M662" s="4">
        <v>48.0</v>
      </c>
      <c r="N662" s="59">
        <v>55.0</v>
      </c>
      <c r="P662" s="123"/>
      <c r="Q662" s="123">
        <v>40.0</v>
      </c>
      <c r="R662" s="90" t="s">
        <v>15</v>
      </c>
      <c r="S662" s="67"/>
      <c r="T662" s="66">
        <f t="shared" si="239"/>
        <v>2</v>
      </c>
      <c r="V662" s="67"/>
      <c r="AB662" s="140">
        <v>2.0</v>
      </c>
    </row>
    <row r="663">
      <c r="C663" s="6">
        <f>sum(C651:C662)+D662</f>
        <v>158</v>
      </c>
      <c r="D663" s="6"/>
      <c r="G663" s="66">
        <f t="shared" ref="G663:H663" si="240">sum(G651:G662)</f>
        <v>324</v>
      </c>
      <c r="H663" s="66">
        <f t="shared" si="240"/>
        <v>158</v>
      </c>
      <c r="L663" s="97">
        <f t="shared" ref="L663:Q663" si="241">sum(L651:L662)</f>
        <v>77</v>
      </c>
      <c r="M663" s="97">
        <f t="shared" si="241"/>
        <v>75</v>
      </c>
      <c r="N663" s="97">
        <f t="shared" si="241"/>
        <v>106</v>
      </c>
      <c r="O663" s="97">
        <f t="shared" si="241"/>
        <v>0</v>
      </c>
      <c r="P663" s="97">
        <f t="shared" si="241"/>
        <v>0</v>
      </c>
      <c r="Q663" s="97">
        <f t="shared" si="241"/>
        <v>68</v>
      </c>
      <c r="R663" s="135"/>
      <c r="S663" s="136">
        <f t="shared" ref="S663:AB663" si="242">sum(S651:S662)</f>
        <v>0</v>
      </c>
      <c r="T663" s="136">
        <f t="shared" si="242"/>
        <v>8</v>
      </c>
      <c r="U663" s="135">
        <f t="shared" si="242"/>
        <v>0</v>
      </c>
      <c r="V663" s="136">
        <f t="shared" si="242"/>
        <v>0</v>
      </c>
      <c r="W663" s="135">
        <f t="shared" si="242"/>
        <v>6</v>
      </c>
      <c r="X663" s="135">
        <f t="shared" si="242"/>
        <v>0</v>
      </c>
      <c r="Y663" s="135">
        <f t="shared" si="242"/>
        <v>0</v>
      </c>
      <c r="Z663" s="135">
        <f t="shared" si="242"/>
        <v>0</v>
      </c>
      <c r="AA663" s="135">
        <f t="shared" si="242"/>
        <v>0</v>
      </c>
      <c r="AB663" s="135">
        <f t="shared" si="242"/>
        <v>2</v>
      </c>
    </row>
    <row r="664">
      <c r="J664" s="13">
        <f t="shared" ref="J664:Q664" si="243">J663-U663</f>
        <v>0</v>
      </c>
      <c r="K664" s="66">
        <f t="shared" si="243"/>
        <v>0</v>
      </c>
      <c r="L664" s="13">
        <f t="shared" si="243"/>
        <v>71</v>
      </c>
      <c r="M664" s="13">
        <f t="shared" si="243"/>
        <v>75</v>
      </c>
      <c r="N664" s="13">
        <f t="shared" si="243"/>
        <v>106</v>
      </c>
      <c r="O664" s="13">
        <f t="shared" si="243"/>
        <v>0</v>
      </c>
      <c r="P664" s="13">
        <f t="shared" si="243"/>
        <v>0</v>
      </c>
      <c r="Q664" s="13">
        <f t="shared" si="243"/>
        <v>66</v>
      </c>
    </row>
    <row r="665">
      <c r="D665" s="6"/>
    </row>
    <row r="666">
      <c r="D666" s="6"/>
    </row>
    <row r="667">
      <c r="A667" s="56"/>
      <c r="B667" s="56"/>
      <c r="C667" s="56"/>
      <c r="D667" s="148"/>
      <c r="E667" s="56"/>
      <c r="F667" s="56"/>
      <c r="G667" s="56"/>
      <c r="H667" s="56"/>
      <c r="I667" s="56"/>
      <c r="J667" s="56"/>
      <c r="K667" s="56"/>
      <c r="L667" s="56"/>
      <c r="M667" s="56"/>
      <c r="N667" s="56"/>
      <c r="O667" s="56"/>
      <c r="P667" s="56"/>
      <c r="Q667" s="56"/>
      <c r="R667" s="56"/>
      <c r="S667" s="56"/>
      <c r="T667" s="56"/>
      <c r="U667" s="56"/>
    </row>
    <row r="668">
      <c r="D668" s="6"/>
    </row>
    <row r="669">
      <c r="C669" s="4" t="s">
        <v>270</v>
      </c>
      <c r="D669" s="82" t="s">
        <v>2</v>
      </c>
      <c r="E669" s="4" t="s">
        <v>226</v>
      </c>
      <c r="G669" s="4" t="s">
        <v>16</v>
      </c>
      <c r="H669" s="4" t="s">
        <v>276</v>
      </c>
      <c r="I669" s="4" t="s">
        <v>277</v>
      </c>
      <c r="J669" s="4" t="s">
        <v>93</v>
      </c>
      <c r="K669" s="4" t="s">
        <v>227</v>
      </c>
      <c r="L669" s="4" t="s">
        <v>89</v>
      </c>
      <c r="M669" s="4" t="s">
        <v>80</v>
      </c>
      <c r="N669" s="4" t="s">
        <v>81</v>
      </c>
      <c r="O669" s="4" t="s">
        <v>232</v>
      </c>
      <c r="P669" s="4" t="s">
        <v>265</v>
      </c>
      <c r="Q669" s="4" t="s">
        <v>264</v>
      </c>
      <c r="R669" s="127" t="s">
        <v>236</v>
      </c>
      <c r="S669" s="128" t="s">
        <v>233</v>
      </c>
      <c r="T669" s="128" t="s">
        <v>234</v>
      </c>
      <c r="U669" s="128" t="s">
        <v>238</v>
      </c>
      <c r="V669" s="128" t="s">
        <v>231</v>
      </c>
      <c r="W669" s="128" t="s">
        <v>239</v>
      </c>
      <c r="X669" s="128" t="s">
        <v>246</v>
      </c>
      <c r="Y669" s="128" t="s">
        <v>247</v>
      </c>
      <c r="Z669" s="128" t="s">
        <v>248</v>
      </c>
      <c r="AA669" s="128" t="s">
        <v>267</v>
      </c>
      <c r="AB669" s="130" t="s">
        <v>268</v>
      </c>
    </row>
    <row r="670">
      <c r="A670" s="11">
        <v>46145.0</v>
      </c>
      <c r="B670" s="114" t="s">
        <v>4</v>
      </c>
      <c r="C670" s="115">
        <v>35.0</v>
      </c>
      <c r="D670" s="82">
        <v>9.0</v>
      </c>
      <c r="G670" s="13">
        <f t="shared" ref="G670:G681" si="244">sum(I670:Q670)</f>
        <v>39</v>
      </c>
      <c r="H670" s="6">
        <f t="shared" ref="H670:H681" si="245">C670+D670-G670</f>
        <v>5</v>
      </c>
      <c r="J670" s="115">
        <v>4.0</v>
      </c>
      <c r="K670" s="115">
        <v>5.0</v>
      </c>
      <c r="L670" s="144">
        <v>7.0</v>
      </c>
      <c r="M670" s="115">
        <v>7.0</v>
      </c>
      <c r="N670" s="144">
        <v>7.0</v>
      </c>
      <c r="O670" s="115">
        <v>3.0</v>
      </c>
      <c r="Q670" s="4">
        <v>6.0</v>
      </c>
      <c r="R670" s="90" t="s">
        <v>4</v>
      </c>
      <c r="S670" s="67">
        <v>6.0</v>
      </c>
      <c r="T670" s="66">
        <f t="shared" ref="T670:T681" si="246">sum(U670:AB670)</f>
        <v>5</v>
      </c>
      <c r="V670" s="67">
        <v>4.0</v>
      </c>
      <c r="W670" s="4">
        <v>1.0</v>
      </c>
      <c r="AB670" s="138"/>
    </row>
    <row r="671">
      <c r="A671" s="11">
        <v>46145.0</v>
      </c>
      <c r="B671" s="13" t="s">
        <v>5</v>
      </c>
      <c r="C671" s="4">
        <v>25.0</v>
      </c>
      <c r="D671" s="6"/>
      <c r="G671" s="13">
        <f t="shared" si="244"/>
        <v>24</v>
      </c>
      <c r="H671" s="6">
        <f t="shared" si="245"/>
        <v>1</v>
      </c>
      <c r="J671" s="4">
        <v>3.0</v>
      </c>
      <c r="K671" s="4">
        <v>3.0</v>
      </c>
      <c r="L671" s="59">
        <v>4.0</v>
      </c>
      <c r="M671" s="4">
        <v>3.0</v>
      </c>
      <c r="N671" s="59">
        <v>5.0</v>
      </c>
      <c r="O671" s="4">
        <v>2.0</v>
      </c>
      <c r="P671" s="123"/>
      <c r="Q671" s="123">
        <v>4.0</v>
      </c>
      <c r="R671" s="90" t="s">
        <v>5</v>
      </c>
      <c r="S671" s="67"/>
      <c r="T671" s="66">
        <f t="shared" si="246"/>
        <v>8</v>
      </c>
      <c r="U671" s="4">
        <v>1.0</v>
      </c>
      <c r="V671" s="67">
        <v>2.0</v>
      </c>
      <c r="W671" s="4">
        <v>4.0</v>
      </c>
      <c r="Z671" s="4">
        <v>1.0</v>
      </c>
      <c r="AB671" s="140"/>
    </row>
    <row r="672">
      <c r="A672" s="11">
        <v>46145.0</v>
      </c>
      <c r="B672" s="114" t="s">
        <v>6</v>
      </c>
      <c r="C672" s="115">
        <v>20.0</v>
      </c>
      <c r="D672" s="6"/>
      <c r="G672" s="13">
        <f t="shared" si="244"/>
        <v>19</v>
      </c>
      <c r="H672" s="6">
        <f t="shared" si="245"/>
        <v>1</v>
      </c>
      <c r="J672" s="115">
        <v>2.0</v>
      </c>
      <c r="K672" s="115">
        <v>2.0</v>
      </c>
      <c r="L672" s="144">
        <v>4.0</v>
      </c>
      <c r="M672" s="115">
        <v>3.0</v>
      </c>
      <c r="N672" s="144">
        <v>4.0</v>
      </c>
      <c r="O672" s="115">
        <v>2.0</v>
      </c>
      <c r="P672" s="123"/>
      <c r="Q672" s="123">
        <v>2.0</v>
      </c>
      <c r="R672" s="90" t="s">
        <v>6</v>
      </c>
      <c r="S672" s="67">
        <v>1.0</v>
      </c>
      <c r="T672" s="66">
        <f t="shared" si="246"/>
        <v>4</v>
      </c>
      <c r="V672" s="67">
        <v>2.0</v>
      </c>
      <c r="W672" s="4">
        <v>1.0</v>
      </c>
      <c r="AB672" s="139">
        <v>1.0</v>
      </c>
    </row>
    <row r="673">
      <c r="A673" s="11">
        <v>46145.0</v>
      </c>
      <c r="B673" s="13" t="s">
        <v>7</v>
      </c>
      <c r="C673" s="4">
        <v>20.0</v>
      </c>
      <c r="D673" s="6"/>
      <c r="G673" s="13">
        <f t="shared" si="244"/>
        <v>20</v>
      </c>
      <c r="H673" s="6">
        <f t="shared" si="245"/>
        <v>0</v>
      </c>
      <c r="J673" s="4">
        <v>3.0</v>
      </c>
      <c r="K673" s="4">
        <v>2.0</v>
      </c>
      <c r="L673" s="59">
        <v>4.0</v>
      </c>
      <c r="M673" s="4">
        <v>3.0</v>
      </c>
      <c r="N673" s="59">
        <v>4.0</v>
      </c>
      <c r="O673" s="4">
        <v>2.0</v>
      </c>
      <c r="P673" s="123"/>
      <c r="Q673" s="123">
        <v>2.0</v>
      </c>
      <c r="R673" s="90" t="s">
        <v>7</v>
      </c>
      <c r="S673" s="67">
        <v>3.0</v>
      </c>
      <c r="T673" s="66">
        <f t="shared" si="246"/>
        <v>5</v>
      </c>
      <c r="V673" s="67"/>
      <c r="W673" s="4">
        <v>3.0</v>
      </c>
      <c r="Z673" s="4">
        <v>2.0</v>
      </c>
      <c r="AB673" s="140"/>
    </row>
    <row r="674">
      <c r="A674" s="11">
        <v>46145.0</v>
      </c>
      <c r="B674" s="114" t="s">
        <v>8</v>
      </c>
      <c r="C674" s="115">
        <v>30.0</v>
      </c>
      <c r="D674" s="6"/>
      <c r="G674" s="13">
        <f t="shared" si="244"/>
        <v>29</v>
      </c>
      <c r="H674" s="6">
        <f t="shared" si="245"/>
        <v>1</v>
      </c>
      <c r="J674" s="115">
        <v>4.0</v>
      </c>
      <c r="K674" s="115">
        <v>2.0</v>
      </c>
      <c r="L674" s="144">
        <v>5.0</v>
      </c>
      <c r="M674" s="115">
        <v>5.0</v>
      </c>
      <c r="N674" s="144">
        <v>7.0</v>
      </c>
      <c r="O674" s="115">
        <v>3.0</v>
      </c>
      <c r="P674" s="123"/>
      <c r="Q674" s="123">
        <v>3.0</v>
      </c>
      <c r="R674" s="90" t="s">
        <v>8</v>
      </c>
      <c r="S674" s="67">
        <v>3.0</v>
      </c>
      <c r="T674" s="66">
        <f t="shared" si="246"/>
        <v>7</v>
      </c>
      <c r="V674" s="67"/>
      <c r="W674" s="4">
        <v>4.0</v>
      </c>
      <c r="Z674" s="4">
        <v>3.0</v>
      </c>
      <c r="AB674" s="134"/>
    </row>
    <row r="675">
      <c r="A675" s="11">
        <v>46145.0</v>
      </c>
      <c r="B675" s="13" t="s">
        <v>9</v>
      </c>
      <c r="C675" s="4">
        <v>35.0</v>
      </c>
      <c r="D675" s="82">
        <v>9.0</v>
      </c>
      <c r="G675" s="13">
        <f t="shared" si="244"/>
        <v>34</v>
      </c>
      <c r="H675" s="6">
        <f t="shared" si="245"/>
        <v>10</v>
      </c>
      <c r="J675" s="4">
        <v>3.0</v>
      </c>
      <c r="K675" s="4">
        <v>4.0</v>
      </c>
      <c r="L675" s="59">
        <v>7.0</v>
      </c>
      <c r="M675" s="4">
        <v>5.0</v>
      </c>
      <c r="N675" s="59">
        <v>7.0</v>
      </c>
      <c r="O675" s="4">
        <v>3.0</v>
      </c>
      <c r="P675" s="123"/>
      <c r="Q675" s="123">
        <v>5.0</v>
      </c>
      <c r="R675" s="90" t="s">
        <v>9</v>
      </c>
      <c r="S675" s="67">
        <v>10.0</v>
      </c>
      <c r="T675" s="66">
        <f t="shared" si="246"/>
        <v>10</v>
      </c>
      <c r="U675" s="4">
        <v>1.0</v>
      </c>
      <c r="V675" s="67">
        <v>3.0</v>
      </c>
      <c r="W675" s="4">
        <v>6.0</v>
      </c>
      <c r="AB675" s="133"/>
    </row>
    <row r="676">
      <c r="A676" s="11">
        <v>46145.0</v>
      </c>
      <c r="B676" s="114" t="s">
        <v>10</v>
      </c>
      <c r="C676" s="115">
        <v>19.0</v>
      </c>
      <c r="D676" s="6"/>
      <c r="G676" s="13">
        <f t="shared" si="244"/>
        <v>19</v>
      </c>
      <c r="H676" s="6">
        <f t="shared" si="245"/>
        <v>0</v>
      </c>
      <c r="J676" s="115"/>
      <c r="K676" s="115"/>
      <c r="L676" s="144">
        <v>4.0</v>
      </c>
      <c r="M676" s="115">
        <v>5.0</v>
      </c>
      <c r="N676" s="144">
        <v>5.0</v>
      </c>
      <c r="O676" s="115">
        <v>2.0</v>
      </c>
      <c r="P676" s="123"/>
      <c r="Q676" s="123">
        <v>3.0</v>
      </c>
      <c r="R676" s="90" t="s">
        <v>10</v>
      </c>
      <c r="S676" s="67"/>
      <c r="T676" s="66">
        <f t="shared" si="246"/>
        <v>4</v>
      </c>
      <c r="V676" s="67"/>
      <c r="W676" s="4">
        <v>2.0</v>
      </c>
      <c r="AB676" s="139">
        <v>2.0</v>
      </c>
    </row>
    <row r="677">
      <c r="A677" s="11">
        <v>46145.0</v>
      </c>
      <c r="B677" s="13" t="s">
        <v>11</v>
      </c>
      <c r="C677" s="4">
        <v>20.0</v>
      </c>
      <c r="D677" s="6"/>
      <c r="G677" s="13">
        <f t="shared" si="244"/>
        <v>20</v>
      </c>
      <c r="H677" s="6">
        <f t="shared" si="245"/>
        <v>0</v>
      </c>
      <c r="J677" s="4">
        <v>2.0</v>
      </c>
      <c r="K677" s="4">
        <v>1.0</v>
      </c>
      <c r="L677" s="59">
        <v>4.0</v>
      </c>
      <c r="M677" s="4">
        <v>3.0</v>
      </c>
      <c r="N677" s="59">
        <v>5.0</v>
      </c>
      <c r="O677" s="4">
        <v>2.0</v>
      </c>
      <c r="P677" s="123"/>
      <c r="Q677" s="123">
        <v>3.0</v>
      </c>
      <c r="R677" s="90" t="s">
        <v>11</v>
      </c>
      <c r="S677" s="67"/>
      <c r="T677" s="66">
        <f t="shared" si="246"/>
        <v>6</v>
      </c>
      <c r="U677" s="4">
        <v>1.0</v>
      </c>
      <c r="V677" s="67"/>
      <c r="Z677" s="4">
        <v>2.0</v>
      </c>
      <c r="AB677" s="140">
        <v>3.0</v>
      </c>
    </row>
    <row r="678">
      <c r="A678" s="11">
        <v>46145.0</v>
      </c>
      <c r="B678" s="114" t="s">
        <v>12</v>
      </c>
      <c r="C678" s="115">
        <v>20.0</v>
      </c>
      <c r="D678" s="6"/>
      <c r="G678" s="13">
        <f t="shared" si="244"/>
        <v>19</v>
      </c>
      <c r="H678" s="6">
        <f t="shared" si="245"/>
        <v>1</v>
      </c>
      <c r="J678" s="115">
        <v>2.0</v>
      </c>
      <c r="K678" s="115"/>
      <c r="L678" s="144">
        <v>4.0</v>
      </c>
      <c r="M678" s="115">
        <v>3.0</v>
      </c>
      <c r="N678" s="144">
        <v>5.0</v>
      </c>
      <c r="O678" s="115">
        <v>2.0</v>
      </c>
      <c r="P678" s="123"/>
      <c r="Q678" s="123">
        <v>3.0</v>
      </c>
      <c r="R678" s="90" t="s">
        <v>12</v>
      </c>
      <c r="S678" s="67"/>
      <c r="T678" s="66">
        <f t="shared" si="246"/>
        <v>6</v>
      </c>
      <c r="U678" s="4">
        <v>1.0</v>
      </c>
      <c r="V678" s="67">
        <v>1.0</v>
      </c>
      <c r="W678" s="4">
        <v>4.0</v>
      </c>
      <c r="AB678" s="139"/>
    </row>
    <row r="679">
      <c r="A679" s="11">
        <v>46145.0</v>
      </c>
      <c r="B679" s="13" t="s">
        <v>13</v>
      </c>
      <c r="C679" s="4">
        <v>23.0</v>
      </c>
      <c r="D679" s="6"/>
      <c r="G679" s="13">
        <f t="shared" si="244"/>
        <v>23</v>
      </c>
      <c r="H679" s="6">
        <f t="shared" si="245"/>
        <v>0</v>
      </c>
      <c r="L679" s="59">
        <v>5.0</v>
      </c>
      <c r="M679" s="4">
        <v>5.0</v>
      </c>
      <c r="N679" s="59">
        <v>7.0</v>
      </c>
      <c r="O679" s="4">
        <v>3.0</v>
      </c>
      <c r="P679" s="123"/>
      <c r="Q679" s="123">
        <v>3.0</v>
      </c>
      <c r="R679" s="90" t="s">
        <v>13</v>
      </c>
      <c r="S679" s="67"/>
      <c r="T679" s="66">
        <f t="shared" si="246"/>
        <v>6</v>
      </c>
      <c r="V679" s="67">
        <v>2.0</v>
      </c>
      <c r="W679" s="4">
        <v>3.0</v>
      </c>
      <c r="Z679" s="4">
        <v>1.0</v>
      </c>
      <c r="AB679" s="140"/>
    </row>
    <row r="680">
      <c r="A680" s="11">
        <v>46145.0</v>
      </c>
      <c r="B680" s="114" t="s">
        <v>14</v>
      </c>
      <c r="C680" s="115">
        <v>15.0</v>
      </c>
      <c r="D680" s="6"/>
      <c r="G680" s="13">
        <f t="shared" si="244"/>
        <v>15</v>
      </c>
      <c r="H680" s="6">
        <f t="shared" si="245"/>
        <v>0</v>
      </c>
      <c r="J680" s="115"/>
      <c r="K680" s="115"/>
      <c r="L680" s="144">
        <v>4.0</v>
      </c>
      <c r="M680" s="115">
        <v>3.0</v>
      </c>
      <c r="N680" s="144">
        <v>5.0</v>
      </c>
      <c r="O680" s="115">
        <v>2.0</v>
      </c>
      <c r="P680" s="123"/>
      <c r="Q680" s="123">
        <v>1.0</v>
      </c>
      <c r="R680" s="90" t="s">
        <v>14</v>
      </c>
      <c r="S680" s="67"/>
      <c r="T680" s="66">
        <f t="shared" si="246"/>
        <v>2</v>
      </c>
      <c r="V680" s="67"/>
      <c r="W680" s="4">
        <v>1.0</v>
      </c>
      <c r="Z680" s="4">
        <v>1.0</v>
      </c>
      <c r="AB680" s="139"/>
    </row>
    <row r="681">
      <c r="A681" s="11">
        <v>46145.0</v>
      </c>
      <c r="B681" s="13" t="s">
        <v>15</v>
      </c>
      <c r="C681" s="4">
        <v>280.0</v>
      </c>
      <c r="D681" s="82"/>
      <c r="G681" s="13">
        <f t="shared" si="244"/>
        <v>224</v>
      </c>
      <c r="H681" s="6">
        <f t="shared" si="245"/>
        <v>56</v>
      </c>
      <c r="J681" s="4">
        <v>24.0</v>
      </c>
      <c r="K681" s="4">
        <v>17.0</v>
      </c>
      <c r="L681" s="59">
        <v>40.0</v>
      </c>
      <c r="M681" s="4">
        <v>35.0</v>
      </c>
      <c r="N681" s="59">
        <v>45.0</v>
      </c>
      <c r="O681" s="4">
        <v>25.0</v>
      </c>
      <c r="P681" s="123"/>
      <c r="Q681" s="123">
        <v>38.0</v>
      </c>
      <c r="R681" s="90" t="s">
        <v>15</v>
      </c>
      <c r="S681" s="67">
        <f>25+30</f>
        <v>55</v>
      </c>
      <c r="T681" s="66">
        <f t="shared" si="246"/>
        <v>66</v>
      </c>
      <c r="U681" s="4">
        <v>11.0</v>
      </c>
      <c r="V681" s="67">
        <v>13.0</v>
      </c>
      <c r="W681" s="4">
        <v>10.0</v>
      </c>
      <c r="Y681" s="4">
        <v>1.0</v>
      </c>
      <c r="Z681" s="4">
        <v>11.0</v>
      </c>
      <c r="AB681" s="140">
        <v>20.0</v>
      </c>
    </row>
    <row r="682">
      <c r="B682" s="4" t="s">
        <v>16</v>
      </c>
      <c r="C682" s="6">
        <f>sum(C670:C681)+sum(D670:D681)</f>
        <v>560</v>
      </c>
      <c r="D682" s="6"/>
      <c r="G682" s="13">
        <f>sum(G670:G681)</f>
        <v>485</v>
      </c>
      <c r="J682" s="97">
        <f t="shared" ref="J682:Q682" si="247">sum(J670:J681)</f>
        <v>47</v>
      </c>
      <c r="K682" s="97">
        <f t="shared" si="247"/>
        <v>36</v>
      </c>
      <c r="L682" s="97">
        <f t="shared" si="247"/>
        <v>92</v>
      </c>
      <c r="M682" s="97">
        <f t="shared" si="247"/>
        <v>80</v>
      </c>
      <c r="N682" s="97">
        <f t="shared" si="247"/>
        <v>106</v>
      </c>
      <c r="O682" s="97">
        <f t="shared" si="247"/>
        <v>51</v>
      </c>
      <c r="P682" s="97">
        <f t="shared" si="247"/>
        <v>0</v>
      </c>
      <c r="Q682" s="97">
        <f t="shared" si="247"/>
        <v>73</v>
      </c>
      <c r="R682" s="135"/>
      <c r="S682" s="136">
        <f t="shared" ref="S682:AB682" si="248">sum(S670:S681)</f>
        <v>78</v>
      </c>
      <c r="T682" s="136">
        <f t="shared" si="248"/>
        <v>129</v>
      </c>
      <c r="U682" s="135">
        <f t="shared" si="248"/>
        <v>15</v>
      </c>
      <c r="V682" s="136">
        <f t="shared" si="248"/>
        <v>27</v>
      </c>
      <c r="W682" s="135">
        <f t="shared" si="248"/>
        <v>39</v>
      </c>
      <c r="X682" s="135">
        <f t="shared" si="248"/>
        <v>0</v>
      </c>
      <c r="Y682" s="135">
        <f t="shared" si="248"/>
        <v>1</v>
      </c>
      <c r="Z682" s="135">
        <f t="shared" si="248"/>
        <v>21</v>
      </c>
      <c r="AA682" s="135">
        <f t="shared" si="248"/>
        <v>0</v>
      </c>
      <c r="AB682" s="135">
        <f t="shared" si="248"/>
        <v>26</v>
      </c>
    </row>
    <row r="683">
      <c r="D683" s="6"/>
      <c r="J683" s="13">
        <f t="shared" ref="J683:Q683" si="249">J682-U682</f>
        <v>32</v>
      </c>
      <c r="K683" s="66">
        <f t="shared" si="249"/>
        <v>9</v>
      </c>
      <c r="L683" s="13">
        <f t="shared" si="249"/>
        <v>53</v>
      </c>
      <c r="M683" s="13">
        <f t="shared" si="249"/>
        <v>80</v>
      </c>
      <c r="N683" s="13">
        <f t="shared" si="249"/>
        <v>105</v>
      </c>
      <c r="O683" s="13">
        <f t="shared" si="249"/>
        <v>30</v>
      </c>
      <c r="P683" s="13">
        <f t="shared" si="249"/>
        <v>0</v>
      </c>
      <c r="Q683" s="13">
        <f t="shared" si="249"/>
        <v>47</v>
      </c>
    </row>
    <row r="684">
      <c r="D684" s="6"/>
      <c r="H684" s="60"/>
      <c r="I684" s="113"/>
      <c r="J684" s="113"/>
      <c r="K684" s="113"/>
      <c r="L684" s="113"/>
      <c r="M684" s="113"/>
      <c r="N684" s="113"/>
      <c r="O684" s="113"/>
      <c r="P684" s="113"/>
      <c r="Q684" s="60"/>
    </row>
    <row r="685">
      <c r="D685" s="6"/>
      <c r="I685" s="149"/>
      <c r="J685" s="149" t="s">
        <v>114</v>
      </c>
      <c r="P685" s="149"/>
    </row>
    <row r="686">
      <c r="D686" s="6"/>
      <c r="H686" s="4" t="s">
        <v>251</v>
      </c>
      <c r="I686" s="75" t="s">
        <v>253</v>
      </c>
      <c r="J686" s="4" t="s">
        <v>93</v>
      </c>
      <c r="K686" s="4" t="s">
        <v>227</v>
      </c>
      <c r="L686" s="4" t="s">
        <v>89</v>
      </c>
      <c r="M686" s="4" t="s">
        <v>80</v>
      </c>
      <c r="N686" s="4" t="s">
        <v>81</v>
      </c>
      <c r="O686" s="4" t="s">
        <v>232</v>
      </c>
      <c r="P686" s="4" t="s">
        <v>265</v>
      </c>
      <c r="Q686" s="4" t="s">
        <v>264</v>
      </c>
      <c r="R686" s="127" t="s">
        <v>236</v>
      </c>
      <c r="S686" s="128" t="s">
        <v>233</v>
      </c>
      <c r="T686" s="128" t="s">
        <v>234</v>
      </c>
      <c r="U686" s="128" t="s">
        <v>238</v>
      </c>
      <c r="V686" s="128" t="s">
        <v>231</v>
      </c>
      <c r="W686" s="128" t="s">
        <v>239</v>
      </c>
      <c r="X686" s="128" t="s">
        <v>246</v>
      </c>
      <c r="Y686" s="128" t="s">
        <v>247</v>
      </c>
      <c r="Z686" s="128" t="s">
        <v>248</v>
      </c>
      <c r="AA686" s="128" t="s">
        <v>267</v>
      </c>
      <c r="AB686" s="130" t="s">
        <v>268</v>
      </c>
    </row>
    <row r="687">
      <c r="B687" s="114" t="s">
        <v>4</v>
      </c>
      <c r="D687" s="6"/>
      <c r="H687" s="66">
        <f t="shared" ref="H687:H698" si="250">S670+T670</f>
        <v>11</v>
      </c>
      <c r="I687" s="119">
        <f t="shared" ref="I687:I698" si="251">H687-sum(J687:Q687)</f>
        <v>0</v>
      </c>
      <c r="L687" s="4">
        <v>3.0</v>
      </c>
      <c r="M687" s="150">
        <v>2.0</v>
      </c>
      <c r="N687" s="67">
        <v>3.0</v>
      </c>
      <c r="P687" s="67"/>
      <c r="Q687" s="4">
        <v>3.0</v>
      </c>
      <c r="R687" s="90" t="s">
        <v>4</v>
      </c>
      <c r="S687" s="67"/>
      <c r="T687" s="66">
        <f t="shared" ref="T687:T693" si="252">sum(U687:AB687)</f>
        <v>0</v>
      </c>
      <c r="V687" s="67"/>
      <c r="AB687" s="138"/>
    </row>
    <row r="688">
      <c r="B688" s="13" t="s">
        <v>5</v>
      </c>
      <c r="D688" s="6"/>
      <c r="H688" s="66">
        <f t="shared" si="250"/>
        <v>8</v>
      </c>
      <c r="I688" s="119">
        <f t="shared" si="251"/>
        <v>0</v>
      </c>
      <c r="L688" s="4">
        <v>2.0</v>
      </c>
      <c r="M688" s="150">
        <v>2.0</v>
      </c>
      <c r="N688" s="67">
        <v>2.0</v>
      </c>
      <c r="Q688" s="4">
        <v>2.0</v>
      </c>
      <c r="R688" s="90" t="s">
        <v>5</v>
      </c>
      <c r="S688" s="67"/>
      <c r="T688" s="66">
        <f t="shared" si="252"/>
        <v>0</v>
      </c>
      <c r="V688" s="67"/>
      <c r="AB688" s="140"/>
    </row>
    <row r="689">
      <c r="B689" s="114" t="s">
        <v>6</v>
      </c>
      <c r="D689" s="6"/>
      <c r="H689" s="66">
        <f t="shared" si="250"/>
        <v>5</v>
      </c>
      <c r="I689" s="119">
        <f t="shared" si="251"/>
        <v>0</v>
      </c>
      <c r="L689" s="4">
        <v>1.0</v>
      </c>
      <c r="M689" s="150">
        <v>2.0</v>
      </c>
      <c r="N689" s="67">
        <v>1.0</v>
      </c>
      <c r="P689" s="67"/>
      <c r="Q689" s="4">
        <v>1.0</v>
      </c>
      <c r="R689" s="90" t="s">
        <v>6</v>
      </c>
      <c r="S689" s="67"/>
      <c r="T689" s="66">
        <f t="shared" si="252"/>
        <v>0</v>
      </c>
      <c r="V689" s="67"/>
      <c r="AB689" s="139"/>
    </row>
    <row r="690">
      <c r="B690" s="13" t="s">
        <v>7</v>
      </c>
      <c r="D690" s="6"/>
      <c r="H690" s="66">
        <f t="shared" si="250"/>
        <v>8</v>
      </c>
      <c r="I690" s="119">
        <f t="shared" si="251"/>
        <v>0</v>
      </c>
      <c r="L690" s="4">
        <v>2.0</v>
      </c>
      <c r="M690" s="150">
        <v>1.0</v>
      </c>
      <c r="N690" s="67">
        <v>2.0</v>
      </c>
      <c r="P690" s="67"/>
      <c r="Q690" s="4">
        <v>3.0</v>
      </c>
      <c r="R690" s="90" t="s">
        <v>7</v>
      </c>
      <c r="S690" s="67"/>
      <c r="T690" s="66">
        <f t="shared" si="252"/>
        <v>0</v>
      </c>
      <c r="V690" s="67"/>
      <c r="AB690" s="140"/>
    </row>
    <row r="691">
      <c r="B691" s="114" t="s">
        <v>8</v>
      </c>
      <c r="D691" s="6"/>
      <c r="H691" s="66">
        <f t="shared" si="250"/>
        <v>10</v>
      </c>
      <c r="I691" s="119">
        <f t="shared" si="251"/>
        <v>0</v>
      </c>
      <c r="L691" s="4">
        <v>3.0</v>
      </c>
      <c r="M691" s="151"/>
      <c r="N691" s="67">
        <v>3.0</v>
      </c>
      <c r="P691" s="67"/>
      <c r="Q691" s="4">
        <v>4.0</v>
      </c>
      <c r="R691" s="90" t="s">
        <v>8</v>
      </c>
      <c r="S691" s="67"/>
      <c r="T691" s="66">
        <f t="shared" si="252"/>
        <v>0</v>
      </c>
      <c r="V691" s="67"/>
      <c r="AB691" s="134"/>
    </row>
    <row r="692">
      <c r="B692" s="13" t="s">
        <v>9</v>
      </c>
      <c r="D692" s="6"/>
      <c r="H692" s="66">
        <f t="shared" si="250"/>
        <v>20</v>
      </c>
      <c r="I692" s="119">
        <f t="shared" si="251"/>
        <v>8</v>
      </c>
      <c r="L692" s="4">
        <v>3.0</v>
      </c>
      <c r="M692" s="150">
        <v>3.0</v>
      </c>
      <c r="N692" s="4">
        <v>3.0</v>
      </c>
      <c r="P692" s="67"/>
      <c r="Q692" s="4">
        <v>3.0</v>
      </c>
      <c r="R692" s="90" t="s">
        <v>9</v>
      </c>
      <c r="S692" s="67"/>
      <c r="T692" s="66">
        <f t="shared" si="252"/>
        <v>0</v>
      </c>
      <c r="V692" s="67"/>
      <c r="AB692" s="133"/>
    </row>
    <row r="693">
      <c r="B693" s="114" t="s">
        <v>10</v>
      </c>
      <c r="D693" s="6"/>
      <c r="H693" s="66">
        <f t="shared" si="250"/>
        <v>4</v>
      </c>
      <c r="I693" s="119">
        <f t="shared" si="251"/>
        <v>0</v>
      </c>
      <c r="M693" s="151"/>
      <c r="N693" s="67">
        <v>2.0</v>
      </c>
      <c r="P693" s="67"/>
      <c r="Q693" s="4">
        <v>2.0</v>
      </c>
      <c r="R693" s="90" t="s">
        <v>10</v>
      </c>
      <c r="S693" s="67"/>
      <c r="T693" s="66">
        <f t="shared" si="252"/>
        <v>0</v>
      </c>
      <c r="V693" s="67"/>
      <c r="AB693" s="134"/>
    </row>
    <row r="694">
      <c r="B694" s="13" t="s">
        <v>11</v>
      </c>
      <c r="D694" s="6"/>
      <c r="H694" s="66">
        <f t="shared" si="250"/>
        <v>6</v>
      </c>
      <c r="I694" s="119">
        <f t="shared" si="251"/>
        <v>0</v>
      </c>
      <c r="L694" s="4">
        <v>2.0</v>
      </c>
      <c r="M694" s="150">
        <v>2.0</v>
      </c>
      <c r="N694" s="67">
        <v>2.0</v>
      </c>
      <c r="P694" s="66"/>
      <c r="R694" s="90" t="s">
        <v>11</v>
      </c>
      <c r="S694" s="67"/>
      <c r="T694" s="66"/>
      <c r="V694" s="67"/>
      <c r="AB694" s="140"/>
    </row>
    <row r="695">
      <c r="B695" s="114" t="s">
        <v>12</v>
      </c>
      <c r="D695" s="6"/>
      <c r="H695" s="66">
        <f t="shared" si="250"/>
        <v>6</v>
      </c>
      <c r="I695" s="119">
        <f t="shared" si="251"/>
        <v>0</v>
      </c>
      <c r="L695" s="4">
        <v>2.0</v>
      </c>
      <c r="M695" s="152"/>
      <c r="N695" s="4">
        <v>2.0</v>
      </c>
      <c r="P695" s="67"/>
      <c r="Q695" s="4">
        <v>2.0</v>
      </c>
      <c r="R695" s="90" t="s">
        <v>12</v>
      </c>
      <c r="S695" s="67"/>
      <c r="T695" s="66">
        <f t="shared" ref="T695:T698" si="253">sum(U695:AB695)</f>
        <v>0</v>
      </c>
      <c r="V695" s="66"/>
      <c r="AB695" s="139"/>
    </row>
    <row r="696">
      <c r="B696" s="13" t="s">
        <v>13</v>
      </c>
      <c r="D696" s="6"/>
      <c r="H696" s="66">
        <f t="shared" si="250"/>
        <v>6</v>
      </c>
      <c r="I696" s="119">
        <f t="shared" si="251"/>
        <v>0</v>
      </c>
      <c r="L696" s="4">
        <v>2.0</v>
      </c>
      <c r="M696" s="151"/>
      <c r="N696" s="4">
        <v>2.0</v>
      </c>
      <c r="Q696" s="4">
        <v>2.0</v>
      </c>
      <c r="R696" s="90" t="s">
        <v>13</v>
      </c>
      <c r="S696" s="67"/>
      <c r="T696" s="66">
        <f t="shared" si="253"/>
        <v>0</v>
      </c>
      <c r="V696" s="67"/>
      <c r="AB696" s="140"/>
    </row>
    <row r="697">
      <c r="B697" s="114" t="s">
        <v>14</v>
      </c>
      <c r="H697" s="66">
        <f t="shared" si="250"/>
        <v>2</v>
      </c>
      <c r="I697" s="119">
        <f t="shared" si="251"/>
        <v>0</v>
      </c>
      <c r="L697" s="67">
        <v>2.0</v>
      </c>
      <c r="M697" s="152"/>
      <c r="P697" s="67"/>
      <c r="R697" s="90" t="s">
        <v>14</v>
      </c>
      <c r="S697" s="67"/>
      <c r="T697" s="66">
        <f t="shared" si="253"/>
        <v>0</v>
      </c>
      <c r="V697" s="67"/>
      <c r="AB697" s="134"/>
    </row>
    <row r="698">
      <c r="B698" s="13" t="s">
        <v>15</v>
      </c>
      <c r="H698" s="66">
        <f t="shared" si="250"/>
        <v>121</v>
      </c>
      <c r="I698" s="119">
        <f t="shared" si="251"/>
        <v>56</v>
      </c>
      <c r="L698" s="4">
        <v>15.0</v>
      </c>
      <c r="M698" s="150">
        <v>20.0</v>
      </c>
      <c r="N698" s="4">
        <v>15.0</v>
      </c>
      <c r="P698" s="67"/>
      <c r="Q698" s="4">
        <v>15.0</v>
      </c>
      <c r="R698" s="90" t="s">
        <v>15</v>
      </c>
      <c r="S698" s="67"/>
      <c r="T698" s="66">
        <f t="shared" si="253"/>
        <v>0</v>
      </c>
      <c r="V698" s="67"/>
      <c r="AB698" s="140"/>
    </row>
    <row r="699">
      <c r="I699" s="66">
        <f>sum(I687:I697)</f>
        <v>8</v>
      </c>
      <c r="J699" s="97">
        <f t="shared" ref="J699:Q699" si="254">sum(J687:J698)</f>
        <v>0</v>
      </c>
      <c r="K699" s="97">
        <f t="shared" si="254"/>
        <v>0</v>
      </c>
      <c r="L699" s="97">
        <f t="shared" si="254"/>
        <v>37</v>
      </c>
      <c r="M699" s="153">
        <f t="shared" si="254"/>
        <v>32</v>
      </c>
      <c r="N699" s="118">
        <f t="shared" si="254"/>
        <v>37</v>
      </c>
      <c r="O699" s="97">
        <f t="shared" si="254"/>
        <v>0</v>
      </c>
      <c r="P699" s="118">
        <f t="shared" si="254"/>
        <v>0</v>
      </c>
      <c r="Q699" s="97">
        <f t="shared" si="254"/>
        <v>37</v>
      </c>
      <c r="R699" s="135"/>
      <c r="S699" s="136">
        <f t="shared" ref="S699:V699" si="255">sum(S687:S698)</f>
        <v>0</v>
      </c>
      <c r="T699" s="136">
        <f t="shared" si="255"/>
        <v>0</v>
      </c>
      <c r="U699" s="135">
        <f t="shared" si="255"/>
        <v>0</v>
      </c>
      <c r="V699" s="136">
        <f t="shared" si="255"/>
        <v>0</v>
      </c>
      <c r="W699" s="137">
        <v>4.0</v>
      </c>
      <c r="X699" s="135">
        <f t="shared" ref="X699:AB699" si="256">sum(X687:X698)</f>
        <v>0</v>
      </c>
      <c r="Y699" s="135">
        <f t="shared" si="256"/>
        <v>0</v>
      </c>
      <c r="Z699" s="135">
        <f t="shared" si="256"/>
        <v>0</v>
      </c>
      <c r="AA699" s="135">
        <f t="shared" si="256"/>
        <v>0</v>
      </c>
      <c r="AB699" s="135">
        <f t="shared" si="256"/>
        <v>0</v>
      </c>
    </row>
    <row r="700">
      <c r="D700" s="6"/>
    </row>
    <row r="701">
      <c r="C701" s="4" t="s">
        <v>270</v>
      </c>
      <c r="D701" s="82" t="s">
        <v>2</v>
      </c>
      <c r="E701" s="4" t="s">
        <v>226</v>
      </c>
      <c r="G701" s="4" t="s">
        <v>16</v>
      </c>
      <c r="H701" s="4" t="s">
        <v>276</v>
      </c>
      <c r="I701" s="4" t="s">
        <v>277</v>
      </c>
      <c r="J701" s="4" t="s">
        <v>93</v>
      </c>
      <c r="K701" s="4" t="s">
        <v>227</v>
      </c>
      <c r="L701" s="4" t="s">
        <v>89</v>
      </c>
      <c r="M701" s="4" t="s">
        <v>80</v>
      </c>
      <c r="N701" s="4" t="s">
        <v>81</v>
      </c>
      <c r="O701" s="4" t="s">
        <v>232</v>
      </c>
      <c r="P701" s="4" t="s">
        <v>265</v>
      </c>
      <c r="Q701" s="4" t="s">
        <v>264</v>
      </c>
      <c r="R701" s="127" t="s">
        <v>236</v>
      </c>
      <c r="S701" s="128" t="s">
        <v>233</v>
      </c>
      <c r="T701" s="128" t="s">
        <v>234</v>
      </c>
      <c r="U701" s="128" t="s">
        <v>238</v>
      </c>
      <c r="V701" s="128" t="s">
        <v>231</v>
      </c>
      <c r="W701" s="128" t="s">
        <v>239</v>
      </c>
      <c r="X701" s="128" t="s">
        <v>246</v>
      </c>
      <c r="Y701" s="128" t="s">
        <v>247</v>
      </c>
      <c r="Z701" s="128" t="s">
        <v>248</v>
      </c>
      <c r="AA701" s="128" t="s">
        <v>267</v>
      </c>
      <c r="AB701" s="130" t="s">
        <v>268</v>
      </c>
    </row>
    <row r="702">
      <c r="A702" s="11">
        <v>46146.0</v>
      </c>
      <c r="B702" s="114" t="s">
        <v>4</v>
      </c>
      <c r="C702" s="115">
        <v>35.0</v>
      </c>
      <c r="D702" s="82">
        <v>9.0</v>
      </c>
      <c r="G702" s="13">
        <f t="shared" ref="G702:G713" si="257">sum(I702:Q702)</f>
        <v>47</v>
      </c>
      <c r="H702" s="6">
        <f t="shared" ref="H702:H713" si="258">C702+D702-G702</f>
        <v>-3</v>
      </c>
      <c r="J702" s="115">
        <v>5.0</v>
      </c>
      <c r="K702" s="115">
        <v>3.0</v>
      </c>
      <c r="L702" s="144">
        <v>7.0</v>
      </c>
      <c r="M702" s="115">
        <v>7.0</v>
      </c>
      <c r="N702" s="144">
        <v>7.0</v>
      </c>
      <c r="O702" s="115">
        <v>5.0</v>
      </c>
      <c r="P702" s="115">
        <v>3.0</v>
      </c>
      <c r="Q702" s="4">
        <v>10.0</v>
      </c>
      <c r="R702" s="90" t="s">
        <v>4</v>
      </c>
      <c r="S702" s="67">
        <v>2.0</v>
      </c>
      <c r="T702" s="66">
        <f t="shared" ref="T702:T713" si="259">sum(U702:AB702)</f>
        <v>9</v>
      </c>
      <c r="U702" s="4">
        <v>1.0</v>
      </c>
      <c r="V702" s="67">
        <v>2.0</v>
      </c>
      <c r="W702" s="4">
        <v>1.0</v>
      </c>
      <c r="AA702" s="4">
        <v>1.0</v>
      </c>
      <c r="AB702" s="138">
        <v>4.0</v>
      </c>
    </row>
    <row r="703">
      <c r="A703" s="11">
        <v>46146.0</v>
      </c>
      <c r="B703" s="13" t="s">
        <v>5</v>
      </c>
      <c r="C703" s="4">
        <v>30.0</v>
      </c>
      <c r="D703" s="6"/>
      <c r="G703" s="13">
        <f t="shared" si="257"/>
        <v>27</v>
      </c>
      <c r="H703" s="6">
        <f t="shared" si="258"/>
        <v>3</v>
      </c>
      <c r="J703" s="4">
        <v>3.0</v>
      </c>
      <c r="K703" s="4">
        <v>2.0</v>
      </c>
      <c r="L703" s="59">
        <v>4.0</v>
      </c>
      <c r="M703" s="4">
        <v>4.0</v>
      </c>
      <c r="N703" s="59">
        <v>5.0</v>
      </c>
      <c r="O703" s="4">
        <v>3.0</v>
      </c>
      <c r="P703" s="4">
        <v>2.0</v>
      </c>
      <c r="Q703" s="123">
        <v>4.0</v>
      </c>
      <c r="R703" s="90" t="s">
        <v>5</v>
      </c>
      <c r="S703" s="67">
        <v>2.0</v>
      </c>
      <c r="T703" s="66">
        <f t="shared" si="259"/>
        <v>9</v>
      </c>
      <c r="U703" s="4">
        <v>1.0</v>
      </c>
      <c r="V703" s="67">
        <v>2.0</v>
      </c>
      <c r="W703" s="4">
        <v>1.0</v>
      </c>
      <c r="Z703" s="4">
        <v>2.0</v>
      </c>
      <c r="AA703" s="4">
        <v>2.0</v>
      </c>
      <c r="AB703" s="140">
        <v>1.0</v>
      </c>
    </row>
    <row r="704">
      <c r="A704" s="11">
        <v>46146.0</v>
      </c>
      <c r="B704" s="114" t="s">
        <v>6</v>
      </c>
      <c r="C704" s="115">
        <v>25.0</v>
      </c>
      <c r="D704" s="6"/>
      <c r="G704" s="13">
        <f t="shared" si="257"/>
        <v>25</v>
      </c>
      <c r="H704" s="6">
        <f t="shared" si="258"/>
        <v>0</v>
      </c>
      <c r="J704" s="115">
        <v>2.0</v>
      </c>
      <c r="K704" s="115">
        <v>2.0</v>
      </c>
      <c r="L704" s="144">
        <v>4.0</v>
      </c>
      <c r="M704" s="115">
        <v>4.0</v>
      </c>
      <c r="N704" s="144">
        <v>5.0</v>
      </c>
      <c r="O704" s="115">
        <v>3.0</v>
      </c>
      <c r="P704" s="115">
        <v>2.0</v>
      </c>
      <c r="Q704" s="123">
        <v>3.0</v>
      </c>
      <c r="R704" s="90" t="s">
        <v>6</v>
      </c>
      <c r="S704" s="67">
        <v>2.0</v>
      </c>
      <c r="T704" s="66">
        <f t="shared" si="259"/>
        <v>6</v>
      </c>
      <c r="U704" s="4">
        <v>2.0</v>
      </c>
      <c r="V704" s="67"/>
      <c r="Z704" s="4">
        <v>2.0</v>
      </c>
      <c r="AA704" s="4">
        <v>2.0</v>
      </c>
      <c r="AB704" s="139"/>
    </row>
    <row r="705">
      <c r="A705" s="11">
        <v>46146.0</v>
      </c>
      <c r="B705" s="13" t="s">
        <v>7</v>
      </c>
      <c r="C705" s="4">
        <v>25.0</v>
      </c>
      <c r="D705" s="6"/>
      <c r="G705" s="13">
        <f t="shared" si="257"/>
        <v>25</v>
      </c>
      <c r="H705" s="6">
        <f t="shared" si="258"/>
        <v>0</v>
      </c>
      <c r="J705" s="4">
        <v>3.0</v>
      </c>
      <c r="K705" s="4">
        <v>1.0</v>
      </c>
      <c r="L705" s="59">
        <v>4.0</v>
      </c>
      <c r="M705" s="4">
        <v>4.0</v>
      </c>
      <c r="N705" s="59">
        <v>5.0</v>
      </c>
      <c r="O705" s="4">
        <v>3.0</v>
      </c>
      <c r="P705" s="4">
        <v>1.0</v>
      </c>
      <c r="Q705" s="123">
        <v>4.0</v>
      </c>
      <c r="R705" s="90" t="s">
        <v>7</v>
      </c>
      <c r="S705" s="67"/>
      <c r="T705" s="66">
        <f t="shared" si="259"/>
        <v>7</v>
      </c>
      <c r="U705" s="4">
        <v>2.0</v>
      </c>
      <c r="V705" s="67">
        <v>1.0</v>
      </c>
      <c r="W705" s="4">
        <v>1.0</v>
      </c>
      <c r="Z705" s="4">
        <v>2.0</v>
      </c>
      <c r="AA705" s="4">
        <v>1.0</v>
      </c>
      <c r="AB705" s="140"/>
    </row>
    <row r="706">
      <c r="A706" s="11">
        <v>46146.0</v>
      </c>
      <c r="B706" s="114" t="s">
        <v>8</v>
      </c>
      <c r="C706" s="115">
        <v>35.0</v>
      </c>
      <c r="D706" s="82">
        <v>2.0</v>
      </c>
      <c r="G706" s="13">
        <f t="shared" si="257"/>
        <v>36</v>
      </c>
      <c r="H706" s="6">
        <f t="shared" si="258"/>
        <v>1</v>
      </c>
      <c r="J706" s="115">
        <v>4.0</v>
      </c>
      <c r="K706" s="115">
        <v>2.0</v>
      </c>
      <c r="L706" s="144">
        <v>5.0</v>
      </c>
      <c r="M706" s="115">
        <v>5.0</v>
      </c>
      <c r="N706" s="144">
        <v>7.0</v>
      </c>
      <c r="O706" s="115">
        <v>4.0</v>
      </c>
      <c r="P706" s="115">
        <v>2.0</v>
      </c>
      <c r="Q706" s="123">
        <v>7.0</v>
      </c>
      <c r="R706" s="90" t="s">
        <v>8</v>
      </c>
      <c r="S706" s="67">
        <v>1.0</v>
      </c>
      <c r="T706" s="66">
        <f t="shared" si="259"/>
        <v>5</v>
      </c>
      <c r="U706" s="4">
        <v>1.0</v>
      </c>
      <c r="V706" s="67">
        <v>1.0</v>
      </c>
      <c r="Z706" s="4">
        <v>3.0</v>
      </c>
      <c r="AB706" s="134"/>
    </row>
    <row r="707">
      <c r="A707" s="11">
        <v>46146.0</v>
      </c>
      <c r="B707" s="13" t="s">
        <v>9</v>
      </c>
      <c r="C707" s="4">
        <v>35.0</v>
      </c>
      <c r="D707" s="82">
        <v>9.0</v>
      </c>
      <c r="G707" s="13">
        <f t="shared" si="257"/>
        <v>38</v>
      </c>
      <c r="H707" s="6">
        <f t="shared" si="258"/>
        <v>6</v>
      </c>
      <c r="J707" s="4">
        <v>3.0</v>
      </c>
      <c r="K707" s="4">
        <v>3.0</v>
      </c>
      <c r="L707" s="59">
        <v>7.0</v>
      </c>
      <c r="M707" s="4">
        <v>5.0</v>
      </c>
      <c r="N707" s="59">
        <v>7.0</v>
      </c>
      <c r="O707" s="4">
        <v>5.0</v>
      </c>
      <c r="P707" s="4">
        <v>3.0</v>
      </c>
      <c r="Q707" s="123">
        <v>5.0</v>
      </c>
      <c r="R707" s="90" t="s">
        <v>9</v>
      </c>
      <c r="S707" s="67">
        <v>15.0</v>
      </c>
      <c r="T707" s="66">
        <f t="shared" si="259"/>
        <v>10</v>
      </c>
      <c r="U707" s="4">
        <v>1.0</v>
      </c>
      <c r="V707" s="67">
        <v>2.0</v>
      </c>
      <c r="W707" s="4">
        <v>1.0</v>
      </c>
      <c r="Z707" s="4">
        <v>2.0</v>
      </c>
      <c r="AA707" s="4">
        <v>4.0</v>
      </c>
      <c r="AB707" s="133"/>
    </row>
    <row r="708">
      <c r="A708" s="11">
        <v>46146.0</v>
      </c>
      <c r="B708" s="114" t="s">
        <v>10</v>
      </c>
      <c r="C708" s="115">
        <v>25.0</v>
      </c>
      <c r="D708" s="6"/>
      <c r="G708" s="13">
        <f t="shared" si="257"/>
        <v>25</v>
      </c>
      <c r="H708" s="6">
        <f t="shared" si="258"/>
        <v>0</v>
      </c>
      <c r="J708" s="115">
        <v>2.0</v>
      </c>
      <c r="K708" s="115">
        <v>1.0</v>
      </c>
      <c r="L708" s="144">
        <v>4.0</v>
      </c>
      <c r="M708" s="115">
        <v>5.0</v>
      </c>
      <c r="N708" s="144">
        <v>5.0</v>
      </c>
      <c r="O708" s="115">
        <v>4.0</v>
      </c>
      <c r="P708" s="115">
        <v>1.0</v>
      </c>
      <c r="Q708" s="123">
        <v>3.0</v>
      </c>
      <c r="R708" s="90" t="s">
        <v>10</v>
      </c>
      <c r="S708" s="67">
        <v>2.0</v>
      </c>
      <c r="T708" s="66">
        <f t="shared" si="259"/>
        <v>5</v>
      </c>
      <c r="U708" s="4">
        <v>2.0</v>
      </c>
      <c r="V708" s="67">
        <v>1.0</v>
      </c>
      <c r="Z708" s="4">
        <v>1.0</v>
      </c>
      <c r="AA708" s="4">
        <v>1.0</v>
      </c>
      <c r="AB708" s="139"/>
    </row>
    <row r="709">
      <c r="A709" s="11">
        <v>46146.0</v>
      </c>
      <c r="B709" s="13" t="s">
        <v>11</v>
      </c>
      <c r="C709" s="4">
        <v>25.0</v>
      </c>
      <c r="D709" s="82">
        <v>3.0</v>
      </c>
      <c r="G709" s="13">
        <f t="shared" si="257"/>
        <v>24</v>
      </c>
      <c r="H709" s="6">
        <f t="shared" si="258"/>
        <v>4</v>
      </c>
      <c r="J709" s="4">
        <v>2.0</v>
      </c>
      <c r="K709" s="4">
        <v>1.0</v>
      </c>
      <c r="L709" s="59">
        <v>5.0</v>
      </c>
      <c r="M709" s="4">
        <v>4.0</v>
      </c>
      <c r="N709" s="59">
        <v>5.0</v>
      </c>
      <c r="O709" s="4">
        <v>3.0</v>
      </c>
      <c r="P709" s="4">
        <v>1.0</v>
      </c>
      <c r="Q709" s="123">
        <v>3.0</v>
      </c>
      <c r="R709" s="90" t="s">
        <v>11</v>
      </c>
      <c r="S709" s="67">
        <v>5.0</v>
      </c>
      <c r="T709" s="66">
        <f t="shared" si="259"/>
        <v>1</v>
      </c>
      <c r="V709" s="67">
        <v>1.0</v>
      </c>
      <c r="AB709" s="140"/>
    </row>
    <row r="710">
      <c r="A710" s="11">
        <v>46146.0</v>
      </c>
      <c r="B710" s="114" t="s">
        <v>12</v>
      </c>
      <c r="C710" s="115">
        <v>25.0</v>
      </c>
      <c r="D710" s="6"/>
      <c r="G710" s="13">
        <f t="shared" si="257"/>
        <v>22</v>
      </c>
      <c r="H710" s="6">
        <f t="shared" si="258"/>
        <v>3</v>
      </c>
      <c r="J710" s="115">
        <v>2.0</v>
      </c>
      <c r="K710" s="115">
        <v>1.0</v>
      </c>
      <c r="L710" s="144">
        <v>4.0</v>
      </c>
      <c r="M710" s="115">
        <v>3.0</v>
      </c>
      <c r="N710" s="144">
        <v>5.0</v>
      </c>
      <c r="O710" s="115">
        <v>3.0</v>
      </c>
      <c r="P710" s="115">
        <v>1.0</v>
      </c>
      <c r="Q710" s="123">
        <v>3.0</v>
      </c>
      <c r="R710" s="90" t="s">
        <v>12</v>
      </c>
      <c r="S710" s="67">
        <v>4.0</v>
      </c>
      <c r="T710" s="66">
        <f t="shared" si="259"/>
        <v>5</v>
      </c>
      <c r="V710" s="67">
        <v>1.0</v>
      </c>
      <c r="Z710" s="4">
        <v>3.0</v>
      </c>
      <c r="AA710" s="4">
        <v>1.0</v>
      </c>
      <c r="AB710" s="139"/>
    </row>
    <row r="711">
      <c r="A711" s="11">
        <v>46146.0</v>
      </c>
      <c r="B711" s="13" t="s">
        <v>13</v>
      </c>
      <c r="C711" s="4">
        <v>35.0</v>
      </c>
      <c r="D711" s="6"/>
      <c r="G711" s="13">
        <f t="shared" si="257"/>
        <v>33</v>
      </c>
      <c r="H711" s="6">
        <f t="shared" si="258"/>
        <v>2</v>
      </c>
      <c r="J711" s="4">
        <v>3.0</v>
      </c>
      <c r="K711" s="4">
        <v>2.0</v>
      </c>
      <c r="L711" s="59">
        <v>5.0</v>
      </c>
      <c r="M711" s="4">
        <v>5.0</v>
      </c>
      <c r="N711" s="59">
        <v>7.0</v>
      </c>
      <c r="O711" s="4">
        <v>5.0</v>
      </c>
      <c r="P711" s="4">
        <v>2.0</v>
      </c>
      <c r="Q711" s="123">
        <v>4.0</v>
      </c>
      <c r="R711" s="90" t="s">
        <v>13</v>
      </c>
      <c r="S711" s="67">
        <v>1.0</v>
      </c>
      <c r="T711" s="66">
        <f t="shared" si="259"/>
        <v>11</v>
      </c>
      <c r="U711" s="4">
        <v>2.0</v>
      </c>
      <c r="V711" s="67">
        <v>1.0</v>
      </c>
      <c r="W711" s="4">
        <v>1.0</v>
      </c>
      <c r="Z711" s="4">
        <v>4.0</v>
      </c>
      <c r="AA711" s="4">
        <v>2.0</v>
      </c>
      <c r="AB711" s="140">
        <v>1.0</v>
      </c>
    </row>
    <row r="712">
      <c r="A712" s="11">
        <v>46146.0</v>
      </c>
      <c r="B712" s="114" t="s">
        <v>14</v>
      </c>
      <c r="C712" s="115">
        <v>25.0</v>
      </c>
      <c r="D712" s="6"/>
      <c r="G712" s="13">
        <f t="shared" si="257"/>
        <v>24</v>
      </c>
      <c r="H712" s="6">
        <f t="shared" si="258"/>
        <v>1</v>
      </c>
      <c r="J712" s="115">
        <v>2.0</v>
      </c>
      <c r="K712" s="115">
        <v>2.0</v>
      </c>
      <c r="L712" s="144">
        <v>4.0</v>
      </c>
      <c r="M712" s="115">
        <v>3.0</v>
      </c>
      <c r="N712" s="144">
        <v>5.0</v>
      </c>
      <c r="O712" s="115">
        <v>3.0</v>
      </c>
      <c r="P712" s="115">
        <v>2.0</v>
      </c>
      <c r="Q712" s="123">
        <v>3.0</v>
      </c>
      <c r="R712" s="90" t="s">
        <v>14</v>
      </c>
      <c r="S712" s="67"/>
      <c r="T712" s="66">
        <f t="shared" si="259"/>
        <v>6</v>
      </c>
      <c r="V712" s="67">
        <v>2.0</v>
      </c>
      <c r="W712" s="4">
        <v>1.0</v>
      </c>
      <c r="Z712" s="4">
        <v>3.0</v>
      </c>
      <c r="AB712" s="139"/>
    </row>
    <row r="713">
      <c r="A713" s="11">
        <v>46146.0</v>
      </c>
      <c r="B713" s="13" t="s">
        <v>15</v>
      </c>
      <c r="C713" s="4">
        <v>280.0</v>
      </c>
      <c r="D713" s="82"/>
      <c r="G713" s="13">
        <f t="shared" si="257"/>
        <v>224</v>
      </c>
      <c r="H713" s="6">
        <f t="shared" si="258"/>
        <v>56</v>
      </c>
      <c r="J713" s="4">
        <v>20.0</v>
      </c>
      <c r="K713" s="4">
        <v>15.0</v>
      </c>
      <c r="L713" s="59">
        <v>40.0</v>
      </c>
      <c r="M713" s="4">
        <v>39.0</v>
      </c>
      <c r="N713" s="59">
        <v>45.0</v>
      </c>
      <c r="O713" s="4">
        <v>20.0</v>
      </c>
      <c r="P713" s="4">
        <v>15.0</v>
      </c>
      <c r="Q713" s="123">
        <v>30.0</v>
      </c>
      <c r="R713" s="90" t="s">
        <v>15</v>
      </c>
      <c r="S713" s="67">
        <v>132.0</v>
      </c>
      <c r="T713" s="66">
        <f t="shared" si="259"/>
        <v>50</v>
      </c>
      <c r="V713" s="67">
        <v>10.0</v>
      </c>
      <c r="W713" s="4">
        <v>9.0</v>
      </c>
      <c r="Z713" s="4">
        <v>5.0</v>
      </c>
      <c r="AA713" s="4">
        <v>15.0</v>
      </c>
      <c r="AB713" s="140">
        <v>11.0</v>
      </c>
    </row>
    <row r="714">
      <c r="B714" s="4" t="s">
        <v>16</v>
      </c>
      <c r="C714" s="13">
        <f>sum(C702:C713)</f>
        <v>600</v>
      </c>
      <c r="D714" s="6">
        <f>sum(C702:C713)+sum(D702:D713)</f>
        <v>623</v>
      </c>
      <c r="G714" s="13">
        <f>sum(G702:G713)</f>
        <v>550</v>
      </c>
      <c r="J714" s="97">
        <f t="shared" ref="J714:Q714" si="260">sum(J702:J713)</f>
        <v>51</v>
      </c>
      <c r="K714" s="97">
        <f t="shared" si="260"/>
        <v>35</v>
      </c>
      <c r="L714" s="97">
        <f t="shared" si="260"/>
        <v>93</v>
      </c>
      <c r="M714" s="97">
        <f t="shared" si="260"/>
        <v>88</v>
      </c>
      <c r="N714" s="97">
        <f t="shared" si="260"/>
        <v>108</v>
      </c>
      <c r="O714" s="97">
        <f t="shared" si="260"/>
        <v>61</v>
      </c>
      <c r="P714" s="97">
        <f t="shared" si="260"/>
        <v>35</v>
      </c>
      <c r="Q714" s="97">
        <f t="shared" si="260"/>
        <v>79</v>
      </c>
      <c r="R714" s="135"/>
      <c r="S714" s="136">
        <f t="shared" ref="S714:AB714" si="261">sum(S702:S713)</f>
        <v>166</v>
      </c>
      <c r="T714" s="136">
        <f t="shared" si="261"/>
        <v>124</v>
      </c>
      <c r="U714" s="135">
        <f t="shared" si="261"/>
        <v>12</v>
      </c>
      <c r="V714" s="136">
        <f t="shared" si="261"/>
        <v>24</v>
      </c>
      <c r="W714" s="135">
        <f t="shared" si="261"/>
        <v>15</v>
      </c>
      <c r="X714" s="135">
        <f t="shared" si="261"/>
        <v>0</v>
      </c>
      <c r="Y714" s="135">
        <f t="shared" si="261"/>
        <v>0</v>
      </c>
      <c r="Z714" s="135">
        <f t="shared" si="261"/>
        <v>27</v>
      </c>
      <c r="AA714" s="135">
        <f t="shared" si="261"/>
        <v>29</v>
      </c>
      <c r="AB714" s="135">
        <f t="shared" si="261"/>
        <v>17</v>
      </c>
    </row>
    <row r="715">
      <c r="D715" s="6"/>
      <c r="J715" s="13">
        <f t="shared" ref="J715:Q715" si="262">J714-U714</f>
        <v>39</v>
      </c>
      <c r="K715" s="66">
        <f t="shared" si="262"/>
        <v>11</v>
      </c>
      <c r="L715" s="13">
        <f t="shared" si="262"/>
        <v>78</v>
      </c>
      <c r="M715" s="13">
        <f t="shared" si="262"/>
        <v>88</v>
      </c>
      <c r="N715" s="13">
        <f t="shared" si="262"/>
        <v>108</v>
      </c>
      <c r="O715" s="13">
        <f t="shared" si="262"/>
        <v>34</v>
      </c>
      <c r="P715" s="13">
        <f t="shared" si="262"/>
        <v>6</v>
      </c>
      <c r="Q715" s="13">
        <f t="shared" si="262"/>
        <v>62</v>
      </c>
    </row>
    <row r="716">
      <c r="D716" s="6"/>
    </row>
    <row r="717">
      <c r="D717" s="6"/>
      <c r="I717" s="149"/>
      <c r="J717" s="149" t="s">
        <v>114</v>
      </c>
      <c r="P717" s="149"/>
    </row>
    <row r="718">
      <c r="D718" s="6"/>
      <c r="H718" s="4" t="s">
        <v>251</v>
      </c>
      <c r="I718" s="75" t="s">
        <v>253</v>
      </c>
      <c r="J718" s="4" t="s">
        <v>93</v>
      </c>
      <c r="K718" s="4" t="s">
        <v>227</v>
      </c>
      <c r="L718" s="4" t="s">
        <v>89</v>
      </c>
      <c r="M718" s="4" t="s">
        <v>80</v>
      </c>
      <c r="N718" s="4" t="s">
        <v>81</v>
      </c>
      <c r="O718" s="4" t="s">
        <v>232</v>
      </c>
      <c r="P718" s="4" t="s">
        <v>265</v>
      </c>
      <c r="Q718" s="4" t="s">
        <v>264</v>
      </c>
      <c r="R718" s="127" t="s">
        <v>236</v>
      </c>
      <c r="S718" s="128" t="s">
        <v>233</v>
      </c>
      <c r="T718" s="128" t="s">
        <v>234</v>
      </c>
      <c r="U718" s="128" t="s">
        <v>238</v>
      </c>
      <c r="V718" s="128" t="s">
        <v>231</v>
      </c>
      <c r="W718" s="128" t="s">
        <v>239</v>
      </c>
      <c r="X718" s="128" t="s">
        <v>246</v>
      </c>
      <c r="Y718" s="128" t="s">
        <v>247</v>
      </c>
      <c r="Z718" s="128" t="s">
        <v>248</v>
      </c>
      <c r="AA718" s="128" t="s">
        <v>267</v>
      </c>
      <c r="AB718" s="130" t="s">
        <v>268</v>
      </c>
    </row>
    <row r="719">
      <c r="B719" s="114" t="s">
        <v>4</v>
      </c>
      <c r="D719" s="6"/>
      <c r="H719" s="66">
        <f t="shared" ref="H719:H730" si="263">S702+T702</f>
        <v>11</v>
      </c>
      <c r="I719" s="119">
        <f t="shared" ref="I719:I730" si="264">H719-sum(J719:Q719)</f>
        <v>0</v>
      </c>
      <c r="L719" s="4">
        <v>3.0</v>
      </c>
      <c r="M719" s="150">
        <v>2.0</v>
      </c>
      <c r="N719" s="67">
        <v>3.0</v>
      </c>
      <c r="P719" s="67"/>
      <c r="Q719" s="4">
        <v>3.0</v>
      </c>
      <c r="R719" s="90" t="s">
        <v>4</v>
      </c>
      <c r="S719" s="67"/>
      <c r="T719" s="66">
        <f t="shared" ref="T719:T725" si="265">sum(U719:AB719)</f>
        <v>0</v>
      </c>
      <c r="V719" s="67"/>
      <c r="AB719" s="138"/>
    </row>
    <row r="720">
      <c r="B720" s="13" t="s">
        <v>5</v>
      </c>
      <c r="D720" s="6"/>
      <c r="H720" s="66">
        <f t="shared" si="263"/>
        <v>11</v>
      </c>
      <c r="I720" s="119">
        <f t="shared" si="264"/>
        <v>3</v>
      </c>
      <c r="L720" s="4">
        <v>2.0</v>
      </c>
      <c r="M720" s="150">
        <v>2.0</v>
      </c>
      <c r="N720" s="67">
        <v>2.0</v>
      </c>
      <c r="Q720" s="4">
        <v>2.0</v>
      </c>
      <c r="R720" s="90" t="s">
        <v>5</v>
      </c>
      <c r="S720" s="67"/>
      <c r="T720" s="66">
        <f t="shared" si="265"/>
        <v>0</v>
      </c>
      <c r="V720" s="67"/>
      <c r="AB720" s="140"/>
    </row>
    <row r="721">
      <c r="B721" s="114" t="s">
        <v>6</v>
      </c>
      <c r="D721" s="6"/>
      <c r="H721" s="66">
        <f t="shared" si="263"/>
        <v>8</v>
      </c>
      <c r="I721" s="119">
        <f t="shared" si="264"/>
        <v>3</v>
      </c>
      <c r="L721" s="4">
        <v>1.0</v>
      </c>
      <c r="M721" s="150">
        <v>2.0</v>
      </c>
      <c r="N721" s="67">
        <v>1.0</v>
      </c>
      <c r="P721" s="67"/>
      <c r="Q721" s="4">
        <v>1.0</v>
      </c>
      <c r="R721" s="90" t="s">
        <v>6</v>
      </c>
      <c r="S721" s="67"/>
      <c r="T721" s="66">
        <f t="shared" si="265"/>
        <v>0</v>
      </c>
      <c r="V721" s="67"/>
      <c r="AB721" s="139"/>
    </row>
    <row r="722">
      <c r="B722" s="13" t="s">
        <v>7</v>
      </c>
      <c r="D722" s="6"/>
      <c r="H722" s="66">
        <f t="shared" si="263"/>
        <v>7</v>
      </c>
      <c r="I722" s="119">
        <f t="shared" si="264"/>
        <v>-1</v>
      </c>
      <c r="L722" s="4">
        <v>2.0</v>
      </c>
      <c r="M722" s="150">
        <v>1.0</v>
      </c>
      <c r="N722" s="67">
        <v>2.0</v>
      </c>
      <c r="P722" s="67"/>
      <c r="Q722" s="4">
        <v>3.0</v>
      </c>
      <c r="R722" s="90" t="s">
        <v>7</v>
      </c>
      <c r="S722" s="67"/>
      <c r="T722" s="66">
        <f t="shared" si="265"/>
        <v>0</v>
      </c>
      <c r="V722" s="67"/>
      <c r="AB722" s="140"/>
    </row>
    <row r="723">
      <c r="B723" s="114" t="s">
        <v>8</v>
      </c>
      <c r="D723" s="6"/>
      <c r="H723" s="66">
        <f t="shared" si="263"/>
        <v>6</v>
      </c>
      <c r="I723" s="119">
        <f t="shared" si="264"/>
        <v>-2</v>
      </c>
      <c r="L723" s="4">
        <v>2.0</v>
      </c>
      <c r="M723" s="151"/>
      <c r="N723" s="67">
        <v>3.0</v>
      </c>
      <c r="P723" s="67"/>
      <c r="Q723" s="4">
        <v>3.0</v>
      </c>
      <c r="R723" s="90" t="s">
        <v>8</v>
      </c>
      <c r="S723" s="67"/>
      <c r="T723" s="66">
        <f t="shared" si="265"/>
        <v>0</v>
      </c>
      <c r="V723" s="67"/>
      <c r="AB723" s="134"/>
    </row>
    <row r="724">
      <c r="B724" s="13" t="s">
        <v>9</v>
      </c>
      <c r="D724" s="6"/>
      <c r="H724" s="66">
        <f t="shared" si="263"/>
        <v>25</v>
      </c>
      <c r="I724" s="119">
        <f t="shared" si="264"/>
        <v>13</v>
      </c>
      <c r="L724" s="4">
        <v>3.0</v>
      </c>
      <c r="M724" s="150">
        <v>3.0</v>
      </c>
      <c r="N724" s="4">
        <v>3.0</v>
      </c>
      <c r="P724" s="67"/>
      <c r="Q724" s="4">
        <v>3.0</v>
      </c>
      <c r="R724" s="90" t="s">
        <v>9</v>
      </c>
      <c r="S724" s="67"/>
      <c r="T724" s="66">
        <f t="shared" si="265"/>
        <v>0</v>
      </c>
      <c r="V724" s="67"/>
      <c r="AB724" s="133"/>
    </row>
    <row r="725">
      <c r="B725" s="114" t="s">
        <v>10</v>
      </c>
      <c r="D725" s="6"/>
      <c r="H725" s="66">
        <f t="shared" si="263"/>
        <v>7</v>
      </c>
      <c r="I725" s="119">
        <f t="shared" si="264"/>
        <v>0</v>
      </c>
      <c r="L725" s="4">
        <v>1.0</v>
      </c>
      <c r="M725" s="150">
        <v>2.0</v>
      </c>
      <c r="N725" s="67">
        <v>2.0</v>
      </c>
      <c r="P725" s="67"/>
      <c r="Q725" s="4">
        <v>2.0</v>
      </c>
      <c r="R725" s="90" t="s">
        <v>10</v>
      </c>
      <c r="S725" s="67"/>
      <c r="T725" s="66">
        <f t="shared" si="265"/>
        <v>0</v>
      </c>
      <c r="V725" s="67"/>
      <c r="AB725" s="134"/>
    </row>
    <row r="726">
      <c r="B726" s="13" t="s">
        <v>11</v>
      </c>
      <c r="D726" s="6"/>
      <c r="H726" s="66">
        <f t="shared" si="263"/>
        <v>6</v>
      </c>
      <c r="I726" s="119">
        <f t="shared" si="264"/>
        <v>0</v>
      </c>
      <c r="L726" s="4">
        <v>2.0</v>
      </c>
      <c r="M726" s="150">
        <v>2.0</v>
      </c>
      <c r="N726" s="67">
        <v>2.0</v>
      </c>
      <c r="P726" s="66"/>
      <c r="R726" s="90" t="s">
        <v>11</v>
      </c>
      <c r="S726" s="67"/>
      <c r="T726" s="66"/>
      <c r="V726" s="67"/>
      <c r="AB726" s="140"/>
    </row>
    <row r="727">
      <c r="B727" s="114" t="s">
        <v>12</v>
      </c>
      <c r="D727" s="6"/>
      <c r="H727" s="66">
        <f t="shared" si="263"/>
        <v>9</v>
      </c>
      <c r="I727" s="119">
        <f t="shared" si="264"/>
        <v>1</v>
      </c>
      <c r="L727" s="4">
        <v>2.0</v>
      </c>
      <c r="M727" s="152">
        <v>2.0</v>
      </c>
      <c r="N727" s="4">
        <v>2.0</v>
      </c>
      <c r="P727" s="67"/>
      <c r="Q727" s="4">
        <v>2.0</v>
      </c>
      <c r="R727" s="90" t="s">
        <v>12</v>
      </c>
      <c r="S727" s="67"/>
      <c r="T727" s="66">
        <f t="shared" ref="T727:T730" si="266">sum(U727:AB727)</f>
        <v>0</v>
      </c>
      <c r="V727" s="66"/>
      <c r="AB727" s="139"/>
    </row>
    <row r="728">
      <c r="B728" s="13" t="s">
        <v>13</v>
      </c>
      <c r="D728" s="6"/>
      <c r="H728" s="66">
        <f t="shared" si="263"/>
        <v>12</v>
      </c>
      <c r="I728" s="119">
        <f t="shared" si="264"/>
        <v>4</v>
      </c>
      <c r="L728" s="4">
        <v>2.0</v>
      </c>
      <c r="M728" s="150">
        <v>2.0</v>
      </c>
      <c r="N728" s="4">
        <v>2.0</v>
      </c>
      <c r="Q728" s="4">
        <v>2.0</v>
      </c>
      <c r="R728" s="90" t="s">
        <v>13</v>
      </c>
      <c r="S728" s="67"/>
      <c r="T728" s="66">
        <f t="shared" si="266"/>
        <v>0</v>
      </c>
      <c r="V728" s="67"/>
      <c r="AB728" s="140"/>
    </row>
    <row r="729">
      <c r="B729" s="114" t="s">
        <v>14</v>
      </c>
      <c r="H729" s="66">
        <f t="shared" si="263"/>
        <v>6</v>
      </c>
      <c r="I729" s="119">
        <f t="shared" si="264"/>
        <v>0</v>
      </c>
      <c r="L729" s="67">
        <v>2.0</v>
      </c>
      <c r="M729" s="152">
        <v>2.0</v>
      </c>
      <c r="N729" s="4">
        <v>2.0</v>
      </c>
      <c r="P729" s="67"/>
      <c r="R729" s="90" t="s">
        <v>14</v>
      </c>
      <c r="S729" s="67"/>
      <c r="T729" s="66">
        <f t="shared" si="266"/>
        <v>0</v>
      </c>
      <c r="V729" s="67"/>
      <c r="AB729" s="134"/>
    </row>
    <row r="730">
      <c r="B730" s="13" t="s">
        <v>15</v>
      </c>
      <c r="H730" s="66">
        <f t="shared" si="263"/>
        <v>182</v>
      </c>
      <c r="I730" s="119">
        <f t="shared" si="264"/>
        <v>122</v>
      </c>
      <c r="L730" s="4">
        <v>15.0</v>
      </c>
      <c r="M730" s="150">
        <v>15.0</v>
      </c>
      <c r="N730" s="4">
        <v>15.0</v>
      </c>
      <c r="P730" s="67"/>
      <c r="Q730" s="4">
        <v>15.0</v>
      </c>
      <c r="R730" s="90" t="s">
        <v>15</v>
      </c>
      <c r="S730" s="67"/>
      <c r="T730" s="66">
        <f t="shared" si="266"/>
        <v>0</v>
      </c>
      <c r="V730" s="67"/>
      <c r="AB730" s="140"/>
    </row>
    <row r="731">
      <c r="H731" s="66">
        <f t="shared" ref="H731:Q731" si="267">sum(H719:H730)</f>
        <v>290</v>
      </c>
      <c r="I731" s="66">
        <f t="shared" si="267"/>
        <v>143</v>
      </c>
      <c r="J731" s="97">
        <f t="shared" si="267"/>
        <v>0</v>
      </c>
      <c r="K731" s="97">
        <f t="shared" si="267"/>
        <v>0</v>
      </c>
      <c r="L731" s="97">
        <f t="shared" si="267"/>
        <v>37</v>
      </c>
      <c r="M731" s="153">
        <f t="shared" si="267"/>
        <v>35</v>
      </c>
      <c r="N731" s="118">
        <f t="shared" si="267"/>
        <v>39</v>
      </c>
      <c r="O731" s="97">
        <f t="shared" si="267"/>
        <v>0</v>
      </c>
      <c r="P731" s="118">
        <f t="shared" si="267"/>
        <v>0</v>
      </c>
      <c r="Q731" s="97">
        <f t="shared" si="267"/>
        <v>36</v>
      </c>
      <c r="R731" s="135"/>
      <c r="S731" s="136">
        <f t="shared" ref="S731:V731" si="268">sum(S719:S730)</f>
        <v>0</v>
      </c>
      <c r="T731" s="136">
        <f t="shared" si="268"/>
        <v>0</v>
      </c>
      <c r="U731" s="135">
        <f t="shared" si="268"/>
        <v>0</v>
      </c>
      <c r="V731" s="136">
        <f t="shared" si="268"/>
        <v>0</v>
      </c>
      <c r="W731" s="137">
        <v>4.0</v>
      </c>
      <c r="X731" s="135">
        <f t="shared" ref="X731:AB731" si="269">sum(X719:X730)</f>
        <v>0</v>
      </c>
      <c r="Y731" s="135">
        <f t="shared" si="269"/>
        <v>0</v>
      </c>
      <c r="Z731" s="135">
        <f t="shared" si="269"/>
        <v>0</v>
      </c>
      <c r="AA731" s="135">
        <f t="shared" si="269"/>
        <v>0</v>
      </c>
      <c r="AB731" s="135">
        <f t="shared" si="269"/>
        <v>0</v>
      </c>
    </row>
    <row r="732">
      <c r="D732" s="6"/>
    </row>
    <row r="733">
      <c r="C733" s="4" t="s">
        <v>270</v>
      </c>
      <c r="D733" s="82" t="s">
        <v>2</v>
      </c>
      <c r="E733" s="4" t="s">
        <v>226</v>
      </c>
      <c r="G733" s="4" t="s">
        <v>16</v>
      </c>
      <c r="H733" s="4" t="s">
        <v>276</v>
      </c>
      <c r="I733" s="4" t="s">
        <v>277</v>
      </c>
      <c r="J733" s="4" t="s">
        <v>93</v>
      </c>
      <c r="K733" s="4" t="s">
        <v>227</v>
      </c>
      <c r="L733" s="4" t="s">
        <v>89</v>
      </c>
      <c r="M733" s="4" t="s">
        <v>80</v>
      </c>
      <c r="N733" s="4" t="s">
        <v>81</v>
      </c>
      <c r="O733" s="4" t="s">
        <v>232</v>
      </c>
      <c r="P733" s="4" t="s">
        <v>265</v>
      </c>
      <c r="Q733" s="4" t="s">
        <v>264</v>
      </c>
      <c r="R733" s="127" t="s">
        <v>236</v>
      </c>
      <c r="S733" s="128" t="s">
        <v>233</v>
      </c>
      <c r="T733" s="128" t="s">
        <v>234</v>
      </c>
      <c r="U733" s="128" t="s">
        <v>238</v>
      </c>
      <c r="V733" s="128" t="s">
        <v>231</v>
      </c>
      <c r="W733" s="128" t="s">
        <v>239</v>
      </c>
      <c r="X733" s="128" t="s">
        <v>246</v>
      </c>
      <c r="Y733" s="128" t="s">
        <v>247</v>
      </c>
      <c r="Z733" s="128" t="s">
        <v>248</v>
      </c>
      <c r="AA733" s="128" t="s">
        <v>267</v>
      </c>
      <c r="AB733" s="130" t="s">
        <v>268</v>
      </c>
    </row>
    <row r="734">
      <c r="A734" s="11">
        <v>46147.0</v>
      </c>
      <c r="B734" s="114" t="s">
        <v>4</v>
      </c>
      <c r="C734" s="115">
        <v>35.0</v>
      </c>
      <c r="D734" s="82"/>
      <c r="G734" s="13">
        <f t="shared" ref="G734:G745" si="270">sum(I734:Q734)</f>
        <v>39</v>
      </c>
      <c r="H734" s="6">
        <f t="shared" ref="H734:H745" si="271">C734+D734-G734</f>
        <v>-4</v>
      </c>
      <c r="J734" s="115">
        <v>5.0</v>
      </c>
      <c r="K734" s="115">
        <v>3.0</v>
      </c>
      <c r="L734" s="144">
        <v>7.0</v>
      </c>
      <c r="M734" s="115">
        <v>7.0</v>
      </c>
      <c r="N734" s="144">
        <v>7.0</v>
      </c>
      <c r="O734" s="115">
        <v>5.0</v>
      </c>
      <c r="P734" s="115"/>
      <c r="Q734" s="4">
        <v>5.0</v>
      </c>
      <c r="R734" s="90" t="s">
        <v>4</v>
      </c>
      <c r="S734" s="67">
        <v>3.0</v>
      </c>
      <c r="T734" s="66">
        <f t="shared" ref="T734:T745" si="272">sum(U734:AB734)</f>
        <v>5</v>
      </c>
      <c r="U734" s="4">
        <v>1.0</v>
      </c>
      <c r="V734" s="67">
        <v>3.0</v>
      </c>
      <c r="Z734" s="4">
        <v>1.0</v>
      </c>
      <c r="AB734" s="138"/>
    </row>
    <row r="735">
      <c r="A735" s="11">
        <v>46147.0</v>
      </c>
      <c r="B735" s="13" t="s">
        <v>5</v>
      </c>
      <c r="C735" s="4">
        <v>25.0</v>
      </c>
      <c r="D735" s="6"/>
      <c r="G735" s="13">
        <f t="shared" si="270"/>
        <v>25</v>
      </c>
      <c r="H735" s="6">
        <f t="shared" si="271"/>
        <v>0</v>
      </c>
      <c r="J735" s="4">
        <v>3.0</v>
      </c>
      <c r="K735" s="4">
        <v>2.0</v>
      </c>
      <c r="L735" s="59">
        <v>4.0</v>
      </c>
      <c r="M735" s="4">
        <v>4.0</v>
      </c>
      <c r="N735" s="59">
        <v>5.0</v>
      </c>
      <c r="O735" s="4">
        <v>3.0</v>
      </c>
      <c r="Q735" s="123">
        <v>4.0</v>
      </c>
      <c r="R735" s="90" t="s">
        <v>5</v>
      </c>
      <c r="S735" s="67">
        <v>8.0</v>
      </c>
      <c r="T735" s="66">
        <f t="shared" si="272"/>
        <v>5</v>
      </c>
      <c r="U735" s="4">
        <v>2.0</v>
      </c>
      <c r="V735" s="67">
        <v>2.0</v>
      </c>
      <c r="AB735" s="140">
        <v>1.0</v>
      </c>
    </row>
    <row r="736">
      <c r="A736" s="11">
        <v>46147.0</v>
      </c>
      <c r="B736" s="114" t="s">
        <v>6</v>
      </c>
      <c r="C736" s="115">
        <v>25.0</v>
      </c>
      <c r="D736" s="6"/>
      <c r="G736" s="13">
        <f t="shared" si="270"/>
        <v>23</v>
      </c>
      <c r="H736" s="6">
        <f t="shared" si="271"/>
        <v>2</v>
      </c>
      <c r="J736" s="115">
        <v>2.0</v>
      </c>
      <c r="K736" s="115">
        <v>2.0</v>
      </c>
      <c r="L736" s="144">
        <v>4.0</v>
      </c>
      <c r="M736" s="115">
        <v>4.0</v>
      </c>
      <c r="N736" s="144">
        <v>5.0</v>
      </c>
      <c r="O736" s="115">
        <v>3.0</v>
      </c>
      <c r="P736" s="115"/>
      <c r="Q736" s="123">
        <v>3.0</v>
      </c>
      <c r="R736" s="90" t="s">
        <v>6</v>
      </c>
      <c r="S736" s="67">
        <v>8.0</v>
      </c>
      <c r="T736" s="66">
        <f t="shared" si="272"/>
        <v>3</v>
      </c>
      <c r="U736" s="4">
        <v>1.0</v>
      </c>
      <c r="V736" s="67">
        <v>2.0</v>
      </c>
      <c r="AB736" s="139"/>
    </row>
    <row r="737">
      <c r="A737" s="11">
        <v>46147.0</v>
      </c>
      <c r="B737" s="13" t="s">
        <v>7</v>
      </c>
      <c r="C737" s="4">
        <v>25.0</v>
      </c>
      <c r="D737" s="6"/>
      <c r="G737" s="13">
        <f t="shared" si="270"/>
        <v>25</v>
      </c>
      <c r="H737" s="6">
        <f t="shared" si="271"/>
        <v>0</v>
      </c>
      <c r="J737" s="4">
        <v>3.0</v>
      </c>
      <c r="K737" s="4">
        <v>1.0</v>
      </c>
      <c r="L737" s="59">
        <v>4.0</v>
      </c>
      <c r="M737" s="4">
        <v>4.0</v>
      </c>
      <c r="N737" s="59">
        <v>5.0</v>
      </c>
      <c r="O737" s="4">
        <v>3.0</v>
      </c>
      <c r="Q737" s="123">
        <v>5.0</v>
      </c>
      <c r="R737" s="90" t="s">
        <v>7</v>
      </c>
      <c r="S737" s="67">
        <v>1.0</v>
      </c>
      <c r="T737" s="66">
        <f t="shared" si="272"/>
        <v>2</v>
      </c>
      <c r="U737" s="4">
        <v>1.0</v>
      </c>
      <c r="V737" s="67"/>
      <c r="Z737" s="4">
        <v>1.0</v>
      </c>
      <c r="AB737" s="140"/>
    </row>
    <row r="738">
      <c r="A738" s="11">
        <v>46147.0</v>
      </c>
      <c r="B738" s="114" t="s">
        <v>8</v>
      </c>
      <c r="C738" s="115">
        <v>35.0</v>
      </c>
      <c r="D738" s="82"/>
      <c r="G738" s="13">
        <f t="shared" si="270"/>
        <v>36</v>
      </c>
      <c r="H738" s="6">
        <f t="shared" si="271"/>
        <v>-1</v>
      </c>
      <c r="J738" s="115">
        <v>4.0</v>
      </c>
      <c r="K738" s="115">
        <v>2.0</v>
      </c>
      <c r="L738" s="144">
        <v>5.0</v>
      </c>
      <c r="M738" s="115">
        <v>5.0</v>
      </c>
      <c r="N738" s="144">
        <v>7.0</v>
      </c>
      <c r="O738" s="115">
        <v>4.0</v>
      </c>
      <c r="P738" s="115"/>
      <c r="Q738" s="123">
        <v>9.0</v>
      </c>
      <c r="R738" s="90" t="s">
        <v>8</v>
      </c>
      <c r="S738" s="67"/>
      <c r="T738" s="66">
        <f t="shared" si="272"/>
        <v>0</v>
      </c>
      <c r="V738" s="67"/>
      <c r="AB738" s="134"/>
    </row>
    <row r="739">
      <c r="A739" s="11">
        <v>46147.0</v>
      </c>
      <c r="B739" s="13" t="s">
        <v>9</v>
      </c>
      <c r="C739" s="4">
        <v>35.0</v>
      </c>
      <c r="D739" s="82"/>
      <c r="G739" s="13">
        <f t="shared" si="270"/>
        <v>35</v>
      </c>
      <c r="H739" s="6">
        <f t="shared" si="271"/>
        <v>0</v>
      </c>
      <c r="J739" s="4">
        <v>3.0</v>
      </c>
      <c r="K739" s="4">
        <v>3.0</v>
      </c>
      <c r="L739" s="59">
        <v>7.0</v>
      </c>
      <c r="M739" s="4">
        <v>5.0</v>
      </c>
      <c r="N739" s="59">
        <v>7.0</v>
      </c>
      <c r="O739" s="4">
        <v>5.0</v>
      </c>
      <c r="Q739" s="123">
        <v>5.0</v>
      </c>
      <c r="R739" s="90" t="s">
        <v>9</v>
      </c>
      <c r="S739" s="67">
        <v>13.0</v>
      </c>
      <c r="T739" s="66">
        <f t="shared" si="272"/>
        <v>0</v>
      </c>
      <c r="V739" s="67"/>
      <c r="AB739" s="133"/>
    </row>
    <row r="740">
      <c r="A740" s="11">
        <v>46147.0</v>
      </c>
      <c r="B740" s="114" t="s">
        <v>10</v>
      </c>
      <c r="C740" s="115">
        <v>25.0</v>
      </c>
      <c r="D740" s="6"/>
      <c r="G740" s="13">
        <f t="shared" si="270"/>
        <v>25</v>
      </c>
      <c r="H740" s="6">
        <f t="shared" si="271"/>
        <v>0</v>
      </c>
      <c r="J740" s="115">
        <v>2.0</v>
      </c>
      <c r="K740" s="115">
        <v>1.0</v>
      </c>
      <c r="L740" s="144">
        <v>4.0</v>
      </c>
      <c r="M740" s="115">
        <v>5.0</v>
      </c>
      <c r="N740" s="144">
        <v>5.0</v>
      </c>
      <c r="O740" s="115">
        <v>4.0</v>
      </c>
      <c r="P740" s="115"/>
      <c r="Q740" s="123">
        <v>4.0</v>
      </c>
      <c r="R740" s="90" t="s">
        <v>10</v>
      </c>
      <c r="S740" s="67">
        <v>6.0</v>
      </c>
      <c r="T740" s="66">
        <f t="shared" si="272"/>
        <v>4</v>
      </c>
      <c r="U740" s="4">
        <v>2.0</v>
      </c>
      <c r="V740" s="67"/>
      <c r="Z740" s="4">
        <v>1.0</v>
      </c>
      <c r="AB740" s="139">
        <v>1.0</v>
      </c>
    </row>
    <row r="741">
      <c r="A741" s="11">
        <v>46147.0</v>
      </c>
      <c r="B741" s="13" t="s">
        <v>11</v>
      </c>
      <c r="C741" s="4">
        <v>20.0</v>
      </c>
      <c r="D741" s="82"/>
      <c r="G741" s="13">
        <f t="shared" si="270"/>
        <v>23</v>
      </c>
      <c r="H741" s="6">
        <f t="shared" si="271"/>
        <v>-3</v>
      </c>
      <c r="J741" s="4">
        <v>2.0</v>
      </c>
      <c r="K741" s="4">
        <v>1.0</v>
      </c>
      <c r="L741" s="59">
        <v>5.0</v>
      </c>
      <c r="M741" s="4">
        <v>4.0</v>
      </c>
      <c r="N741" s="59">
        <v>5.0</v>
      </c>
      <c r="O741" s="4">
        <v>3.0</v>
      </c>
      <c r="Q741" s="123">
        <v>3.0</v>
      </c>
      <c r="R741" s="90" t="s">
        <v>11</v>
      </c>
      <c r="S741" s="67"/>
      <c r="T741" s="66">
        <f t="shared" si="272"/>
        <v>2</v>
      </c>
      <c r="U741" s="4">
        <v>2.0</v>
      </c>
      <c r="V741" s="67"/>
      <c r="AB741" s="140"/>
    </row>
    <row r="742">
      <c r="A742" s="11">
        <v>46147.0</v>
      </c>
      <c r="B742" s="114" t="s">
        <v>12</v>
      </c>
      <c r="C742" s="115">
        <v>20.0</v>
      </c>
      <c r="D742" s="6"/>
      <c r="G742" s="13">
        <f t="shared" si="270"/>
        <v>21</v>
      </c>
      <c r="H742" s="6">
        <f t="shared" si="271"/>
        <v>-1</v>
      </c>
      <c r="J742" s="115">
        <v>2.0</v>
      </c>
      <c r="K742" s="115">
        <v>1.0</v>
      </c>
      <c r="L742" s="144">
        <v>4.0</v>
      </c>
      <c r="M742" s="115">
        <v>3.0</v>
      </c>
      <c r="N742" s="144">
        <v>5.0</v>
      </c>
      <c r="O742" s="115">
        <v>3.0</v>
      </c>
      <c r="P742" s="115"/>
      <c r="Q742" s="123">
        <v>3.0</v>
      </c>
      <c r="R742" s="90" t="s">
        <v>12</v>
      </c>
      <c r="S742" s="67">
        <v>2.0</v>
      </c>
      <c r="T742" s="66">
        <f t="shared" si="272"/>
        <v>1</v>
      </c>
      <c r="U742" s="4">
        <v>1.0</v>
      </c>
      <c r="V742" s="67"/>
      <c r="AB742" s="139"/>
    </row>
    <row r="743">
      <c r="A743" s="11">
        <v>46147.0</v>
      </c>
      <c r="B743" s="13" t="s">
        <v>13</v>
      </c>
      <c r="C743" s="4">
        <v>30.0</v>
      </c>
      <c r="D743" s="6"/>
      <c r="G743" s="13">
        <f t="shared" si="270"/>
        <v>32</v>
      </c>
      <c r="H743" s="6">
        <f t="shared" si="271"/>
        <v>-2</v>
      </c>
      <c r="J743" s="4">
        <v>3.0</v>
      </c>
      <c r="K743" s="4">
        <v>2.0</v>
      </c>
      <c r="L743" s="59">
        <v>5.0</v>
      </c>
      <c r="M743" s="4">
        <v>5.0</v>
      </c>
      <c r="N743" s="59">
        <v>7.0</v>
      </c>
      <c r="O743" s="4">
        <v>5.0</v>
      </c>
      <c r="Q743" s="123">
        <v>5.0</v>
      </c>
      <c r="R743" s="90" t="s">
        <v>13</v>
      </c>
      <c r="S743" s="67">
        <v>7.0</v>
      </c>
      <c r="T743" s="66">
        <f t="shared" si="272"/>
        <v>3</v>
      </c>
      <c r="U743" s="4">
        <v>1.0</v>
      </c>
      <c r="V743" s="67">
        <v>1.0</v>
      </c>
      <c r="AB743" s="140">
        <v>1.0</v>
      </c>
    </row>
    <row r="744">
      <c r="A744" s="11">
        <v>46147.0</v>
      </c>
      <c r="B744" s="114" t="s">
        <v>14</v>
      </c>
      <c r="C744" s="115">
        <v>20.0</v>
      </c>
      <c r="D744" s="6"/>
      <c r="G744" s="13">
        <f t="shared" si="270"/>
        <v>21</v>
      </c>
      <c r="H744" s="6">
        <f t="shared" si="271"/>
        <v>-1</v>
      </c>
      <c r="J744" s="115">
        <v>2.0</v>
      </c>
      <c r="K744" s="115">
        <v>1.0</v>
      </c>
      <c r="L744" s="144">
        <v>4.0</v>
      </c>
      <c r="M744" s="115">
        <v>3.0</v>
      </c>
      <c r="N744" s="144">
        <v>5.0</v>
      </c>
      <c r="O744" s="115">
        <v>3.0</v>
      </c>
      <c r="P744" s="115"/>
      <c r="Q744" s="123">
        <v>3.0</v>
      </c>
      <c r="R744" s="90" t="s">
        <v>14</v>
      </c>
      <c r="S744" s="67"/>
      <c r="T744" s="66">
        <f t="shared" si="272"/>
        <v>1</v>
      </c>
      <c r="V744" s="67">
        <v>1.0</v>
      </c>
      <c r="AB744" s="139"/>
    </row>
    <row r="745">
      <c r="A745" s="11">
        <v>46147.0</v>
      </c>
      <c r="B745" s="13" t="s">
        <v>15</v>
      </c>
      <c r="C745" s="4">
        <v>205.0</v>
      </c>
      <c r="D745" s="82"/>
      <c r="G745" s="13">
        <f t="shared" si="270"/>
        <v>206</v>
      </c>
      <c r="H745" s="6">
        <f t="shared" si="271"/>
        <v>-1</v>
      </c>
      <c r="J745" s="4">
        <v>20.0</v>
      </c>
      <c r="K745" s="4">
        <v>15.0</v>
      </c>
      <c r="L745" s="59">
        <v>40.0</v>
      </c>
      <c r="M745" s="4">
        <v>40.0</v>
      </c>
      <c r="N745" s="59">
        <v>45.0</v>
      </c>
      <c r="O745" s="4">
        <v>20.0</v>
      </c>
      <c r="Q745" s="123">
        <v>26.0</v>
      </c>
      <c r="R745" s="90" t="s">
        <v>15</v>
      </c>
      <c r="S745" s="67">
        <f>30+30+15+66</f>
        <v>141</v>
      </c>
      <c r="T745" s="66">
        <f t="shared" si="272"/>
        <v>9</v>
      </c>
      <c r="V745" s="67">
        <v>5.0</v>
      </c>
      <c r="W745" s="4">
        <v>1.0</v>
      </c>
      <c r="AB745" s="140">
        <v>3.0</v>
      </c>
    </row>
    <row r="746">
      <c r="B746" s="4" t="s">
        <v>16</v>
      </c>
      <c r="C746" s="13">
        <f>sum(C734:C745)</f>
        <v>500</v>
      </c>
      <c r="D746" s="6">
        <f>sum(C734:C745)+sum(D734:D745)</f>
        <v>500</v>
      </c>
      <c r="G746" s="13">
        <f>sum(G734:G745)</f>
        <v>511</v>
      </c>
      <c r="J746" s="97">
        <f t="shared" ref="J746:Q746" si="273">sum(J734:J745)</f>
        <v>51</v>
      </c>
      <c r="K746" s="97">
        <f t="shared" si="273"/>
        <v>34</v>
      </c>
      <c r="L746" s="97">
        <f t="shared" si="273"/>
        <v>93</v>
      </c>
      <c r="M746" s="97">
        <f t="shared" si="273"/>
        <v>89</v>
      </c>
      <c r="N746" s="97">
        <f t="shared" si="273"/>
        <v>108</v>
      </c>
      <c r="O746" s="97">
        <f t="shared" si="273"/>
        <v>61</v>
      </c>
      <c r="P746" s="97">
        <f t="shared" si="273"/>
        <v>0</v>
      </c>
      <c r="Q746" s="97">
        <f t="shared" si="273"/>
        <v>75</v>
      </c>
      <c r="R746" s="135"/>
      <c r="S746" s="136">
        <f t="shared" ref="S746:AB746" si="274">sum(S734:S745)</f>
        <v>189</v>
      </c>
      <c r="T746" s="136">
        <f t="shared" si="274"/>
        <v>35</v>
      </c>
      <c r="U746" s="135">
        <f t="shared" si="274"/>
        <v>11</v>
      </c>
      <c r="V746" s="136">
        <f t="shared" si="274"/>
        <v>14</v>
      </c>
      <c r="W746" s="135">
        <f t="shared" si="274"/>
        <v>1</v>
      </c>
      <c r="X746" s="135">
        <f t="shared" si="274"/>
        <v>0</v>
      </c>
      <c r="Y746" s="135">
        <f t="shared" si="274"/>
        <v>0</v>
      </c>
      <c r="Z746" s="135">
        <f t="shared" si="274"/>
        <v>3</v>
      </c>
      <c r="AA746" s="135">
        <f t="shared" si="274"/>
        <v>0</v>
      </c>
      <c r="AB746" s="135">
        <f t="shared" si="274"/>
        <v>6</v>
      </c>
    </row>
    <row r="747">
      <c r="D747" s="6"/>
      <c r="J747" s="13">
        <f t="shared" ref="J747:Q747" si="275">J746-U746</f>
        <v>40</v>
      </c>
      <c r="K747" s="66">
        <f t="shared" si="275"/>
        <v>20</v>
      </c>
      <c r="L747" s="13">
        <f t="shared" si="275"/>
        <v>92</v>
      </c>
      <c r="M747" s="13">
        <f t="shared" si="275"/>
        <v>89</v>
      </c>
      <c r="N747" s="13">
        <f t="shared" si="275"/>
        <v>108</v>
      </c>
      <c r="O747" s="13">
        <f t="shared" si="275"/>
        <v>58</v>
      </c>
      <c r="P747" s="13">
        <f t="shared" si="275"/>
        <v>0</v>
      </c>
      <c r="Q747" s="13">
        <f t="shared" si="275"/>
        <v>69</v>
      </c>
      <c r="W747" s="70" t="s">
        <v>278</v>
      </c>
    </row>
    <row r="748">
      <c r="D748" s="6"/>
      <c r="K748" s="4" t="s">
        <v>279</v>
      </c>
    </row>
    <row r="749">
      <c r="D749" s="6"/>
      <c r="H749" s="149"/>
      <c r="I749" s="149" t="s">
        <v>114</v>
      </c>
      <c r="O749" s="149"/>
    </row>
    <row r="750">
      <c r="D750" s="6"/>
      <c r="G750" s="4" t="s">
        <v>251</v>
      </c>
      <c r="H750" s="75" t="s">
        <v>253</v>
      </c>
      <c r="I750" s="4" t="s">
        <v>93</v>
      </c>
      <c r="J750" s="4" t="s">
        <v>227</v>
      </c>
      <c r="K750" s="4" t="s">
        <v>89</v>
      </c>
      <c r="L750" s="4" t="s">
        <v>80</v>
      </c>
      <c r="M750" s="4" t="s">
        <v>81</v>
      </c>
      <c r="N750" s="4" t="s">
        <v>232</v>
      </c>
      <c r="O750" s="4" t="s">
        <v>265</v>
      </c>
      <c r="P750" s="4" t="s">
        <v>264</v>
      </c>
      <c r="Q750" s="4" t="s">
        <v>280</v>
      </c>
      <c r="R750" s="127" t="s">
        <v>236</v>
      </c>
      <c r="S750" s="128" t="s">
        <v>233</v>
      </c>
      <c r="T750" s="128" t="s">
        <v>234</v>
      </c>
      <c r="U750" s="128" t="s">
        <v>238</v>
      </c>
      <c r="V750" s="128" t="s">
        <v>231</v>
      </c>
      <c r="W750" s="128" t="s">
        <v>239</v>
      </c>
      <c r="X750" s="128" t="s">
        <v>246</v>
      </c>
      <c r="Y750" s="128" t="s">
        <v>247</v>
      </c>
      <c r="Z750" s="128" t="s">
        <v>248</v>
      </c>
      <c r="AA750" s="128" t="s">
        <v>267</v>
      </c>
      <c r="AB750" s="130" t="s">
        <v>268</v>
      </c>
      <c r="AC750" s="130" t="s">
        <v>169</v>
      </c>
    </row>
    <row r="751">
      <c r="B751" s="114" t="s">
        <v>4</v>
      </c>
      <c r="D751" s="6"/>
      <c r="G751" s="66">
        <f t="shared" ref="G751:G762" si="276">S734+T734</f>
        <v>8</v>
      </c>
      <c r="H751" s="119">
        <f t="shared" ref="H751:H762" si="277">G751-sum(I751:Q751)</f>
        <v>2</v>
      </c>
      <c r="K751" s="4">
        <v>2.0</v>
      </c>
      <c r="L751" s="150"/>
      <c r="M751" s="67">
        <v>2.0</v>
      </c>
      <c r="O751" s="67"/>
      <c r="Q751" s="4">
        <v>2.0</v>
      </c>
      <c r="R751" s="154" t="s">
        <v>4</v>
      </c>
      <c r="S751" s="67"/>
      <c r="T751" s="66">
        <f>sum(U751:AB751)</f>
        <v>0</v>
      </c>
      <c r="V751" s="67"/>
      <c r="AB751" s="138"/>
      <c r="AC751" s="138"/>
    </row>
    <row r="752">
      <c r="B752" s="13" t="s">
        <v>5</v>
      </c>
      <c r="D752" s="6"/>
      <c r="G752" s="66">
        <f t="shared" si="276"/>
        <v>13</v>
      </c>
      <c r="H752" s="119">
        <f t="shared" si="277"/>
        <v>4</v>
      </c>
      <c r="K752" s="4">
        <v>3.0</v>
      </c>
      <c r="L752" s="150"/>
      <c r="M752" s="67">
        <v>3.0</v>
      </c>
      <c r="Q752" s="4">
        <v>3.0</v>
      </c>
      <c r="R752" s="154" t="s">
        <v>5</v>
      </c>
      <c r="S752" s="67">
        <v>6.0</v>
      </c>
      <c r="T752" s="67">
        <v>1.0</v>
      </c>
      <c r="V752" s="67"/>
      <c r="AB752" s="140"/>
      <c r="AC752" s="140"/>
    </row>
    <row r="753">
      <c r="B753" s="114" t="s">
        <v>6</v>
      </c>
      <c r="D753" s="6"/>
      <c r="G753" s="66">
        <f t="shared" si="276"/>
        <v>11</v>
      </c>
      <c r="H753" s="119">
        <f t="shared" si="277"/>
        <v>3</v>
      </c>
      <c r="K753" s="4">
        <v>3.0</v>
      </c>
      <c r="L753" s="150"/>
      <c r="M753" s="67">
        <v>3.0</v>
      </c>
      <c r="O753" s="67"/>
      <c r="Q753" s="4">
        <v>2.0</v>
      </c>
      <c r="R753" s="154" t="s">
        <v>6</v>
      </c>
      <c r="S753" s="67">
        <v>7.0</v>
      </c>
      <c r="T753" s="66">
        <f t="shared" ref="T753:T755" si="278">sum(U753:AB753)</f>
        <v>0</v>
      </c>
      <c r="V753" s="67"/>
      <c r="AB753" s="139"/>
      <c r="AC753" s="139"/>
    </row>
    <row r="754">
      <c r="B754" s="13" t="s">
        <v>7</v>
      </c>
      <c r="D754" s="6"/>
      <c r="G754" s="66">
        <f t="shared" si="276"/>
        <v>3</v>
      </c>
      <c r="H754" s="119">
        <f t="shared" si="277"/>
        <v>0</v>
      </c>
      <c r="K754" s="4">
        <v>1.0</v>
      </c>
      <c r="L754" s="150"/>
      <c r="M754" s="67">
        <v>1.0</v>
      </c>
      <c r="O754" s="67"/>
      <c r="Q754" s="4">
        <v>1.0</v>
      </c>
      <c r="R754" s="154" t="s">
        <v>7</v>
      </c>
      <c r="S754" s="67"/>
      <c r="T754" s="66">
        <f t="shared" si="278"/>
        <v>0</v>
      </c>
      <c r="V754" s="67"/>
      <c r="AB754" s="140"/>
      <c r="AC754" s="140"/>
    </row>
    <row r="755">
      <c r="B755" s="114" t="s">
        <v>8</v>
      </c>
      <c r="D755" s="6"/>
      <c r="G755" s="66">
        <f t="shared" si="276"/>
        <v>0</v>
      </c>
      <c r="H755" s="119">
        <f t="shared" si="277"/>
        <v>0</v>
      </c>
      <c r="L755" s="151"/>
      <c r="M755" s="67"/>
      <c r="O755" s="67"/>
      <c r="R755" s="154" t="s">
        <v>8</v>
      </c>
      <c r="S755" s="67"/>
      <c r="T755" s="66">
        <f t="shared" si="278"/>
        <v>0</v>
      </c>
      <c r="V755" s="67"/>
      <c r="AB755" s="134"/>
      <c r="AC755" s="134"/>
    </row>
    <row r="756">
      <c r="B756" s="13" t="s">
        <v>9</v>
      </c>
      <c r="D756" s="6"/>
      <c r="G756" s="66">
        <f t="shared" si="276"/>
        <v>13</v>
      </c>
      <c r="H756" s="119">
        <f t="shared" si="277"/>
        <v>3</v>
      </c>
      <c r="K756" s="4">
        <v>3.0</v>
      </c>
      <c r="L756" s="150"/>
      <c r="M756" s="4">
        <v>3.0</v>
      </c>
      <c r="O756" s="67"/>
      <c r="Q756" s="4">
        <v>4.0</v>
      </c>
      <c r="R756" s="154" t="s">
        <v>9</v>
      </c>
      <c r="S756" s="67">
        <v>5.0</v>
      </c>
      <c r="T756" s="67">
        <v>1.0</v>
      </c>
      <c r="V756" s="67"/>
      <c r="AB756" s="133"/>
      <c r="AC756" s="133"/>
    </row>
    <row r="757">
      <c r="B757" s="114" t="s">
        <v>10</v>
      </c>
      <c r="D757" s="6"/>
      <c r="G757" s="66">
        <f t="shared" si="276"/>
        <v>10</v>
      </c>
      <c r="H757" s="119">
        <f t="shared" si="277"/>
        <v>3</v>
      </c>
      <c r="K757" s="4">
        <v>2.0</v>
      </c>
      <c r="L757" s="150"/>
      <c r="M757" s="67">
        <v>2.0</v>
      </c>
      <c r="O757" s="67"/>
      <c r="Q757" s="4">
        <v>3.0</v>
      </c>
      <c r="R757" s="154" t="s">
        <v>10</v>
      </c>
      <c r="S757" s="67">
        <v>2.0</v>
      </c>
      <c r="T757" s="67">
        <v>1.0</v>
      </c>
      <c r="V757" s="67"/>
      <c r="AB757" s="134"/>
      <c r="AC757" s="134"/>
    </row>
    <row r="758">
      <c r="B758" s="13" t="s">
        <v>11</v>
      </c>
      <c r="D758" s="6"/>
      <c r="G758" s="66">
        <f t="shared" si="276"/>
        <v>2</v>
      </c>
      <c r="H758" s="119">
        <f t="shared" si="277"/>
        <v>0</v>
      </c>
      <c r="K758" s="4">
        <v>1.0</v>
      </c>
      <c r="L758" s="150"/>
      <c r="M758" s="67">
        <v>1.0</v>
      </c>
      <c r="O758" s="66"/>
      <c r="R758" s="154" t="s">
        <v>11</v>
      </c>
      <c r="S758" s="67"/>
      <c r="T758" s="66"/>
      <c r="V758" s="67"/>
      <c r="AB758" s="140"/>
      <c r="AC758" s="140"/>
    </row>
    <row r="759">
      <c r="B759" s="114" t="s">
        <v>12</v>
      </c>
      <c r="D759" s="6"/>
      <c r="G759" s="66">
        <f t="shared" si="276"/>
        <v>3</v>
      </c>
      <c r="H759" s="119">
        <f t="shared" si="277"/>
        <v>0</v>
      </c>
      <c r="K759" s="4">
        <v>1.0</v>
      </c>
      <c r="L759" s="152"/>
      <c r="M759" s="4">
        <v>1.0</v>
      </c>
      <c r="O759" s="67"/>
      <c r="Q759" s="4">
        <v>1.0</v>
      </c>
      <c r="R759" s="154" t="s">
        <v>12</v>
      </c>
      <c r="S759" s="67"/>
      <c r="T759" s="66">
        <f>sum(U759:AB759)</f>
        <v>0</v>
      </c>
      <c r="V759" s="66"/>
      <c r="AB759" s="139"/>
      <c r="AC759" s="139"/>
    </row>
    <row r="760">
      <c r="B760" s="13" t="s">
        <v>13</v>
      </c>
      <c r="D760" s="6"/>
      <c r="G760" s="66">
        <f t="shared" si="276"/>
        <v>10</v>
      </c>
      <c r="H760" s="119">
        <f t="shared" si="277"/>
        <v>2</v>
      </c>
      <c r="K760" s="4">
        <v>3.0</v>
      </c>
      <c r="L760" s="150"/>
      <c r="M760" s="4">
        <v>3.0</v>
      </c>
      <c r="Q760" s="4">
        <v>2.0</v>
      </c>
      <c r="R760" s="154" t="s">
        <v>13</v>
      </c>
      <c r="S760" s="67">
        <v>4.0</v>
      </c>
      <c r="T760" s="67">
        <v>1.0</v>
      </c>
      <c r="V760" s="67"/>
      <c r="AB760" s="140"/>
      <c r="AC760" s="140"/>
    </row>
    <row r="761">
      <c r="B761" s="114" t="s">
        <v>14</v>
      </c>
      <c r="G761" s="66">
        <f t="shared" si="276"/>
        <v>1</v>
      </c>
      <c r="H761" s="119">
        <f t="shared" si="277"/>
        <v>0</v>
      </c>
      <c r="K761" s="67">
        <v>1.0</v>
      </c>
      <c r="L761" s="152"/>
      <c r="O761" s="67"/>
      <c r="R761" s="154" t="s">
        <v>14</v>
      </c>
      <c r="S761" s="67"/>
      <c r="T761" s="66">
        <f>sum(U761:AB761)</f>
        <v>0</v>
      </c>
      <c r="V761" s="67"/>
      <c r="AB761" s="134"/>
      <c r="AC761" s="134"/>
    </row>
    <row r="762">
      <c r="B762" s="13" t="s">
        <v>15</v>
      </c>
      <c r="G762" s="66">
        <f t="shared" si="276"/>
        <v>150</v>
      </c>
      <c r="H762" s="119">
        <f t="shared" si="277"/>
        <v>105</v>
      </c>
      <c r="K762" s="4">
        <v>15.0</v>
      </c>
      <c r="L762" s="150"/>
      <c r="M762" s="4">
        <v>15.0</v>
      </c>
      <c r="O762" s="67"/>
      <c r="Q762" s="4">
        <v>15.0</v>
      </c>
      <c r="R762" s="154" t="s">
        <v>15</v>
      </c>
      <c r="S762" s="67">
        <f>35+12*3+3</f>
        <v>74</v>
      </c>
      <c r="T762" s="67">
        <v>9.0</v>
      </c>
      <c r="V762" s="67"/>
      <c r="AB762" s="140"/>
      <c r="AC762" s="140"/>
    </row>
    <row r="763">
      <c r="G763" s="66">
        <f t="shared" ref="G763:Q763" si="279">sum(G751:G762)</f>
        <v>224</v>
      </c>
      <c r="H763" s="66">
        <f t="shared" si="279"/>
        <v>122</v>
      </c>
      <c r="I763" s="118">
        <f t="shared" si="279"/>
        <v>0</v>
      </c>
      <c r="J763" s="97">
        <f t="shared" si="279"/>
        <v>0</v>
      </c>
      <c r="K763" s="97">
        <f t="shared" si="279"/>
        <v>35</v>
      </c>
      <c r="L763" s="153">
        <f t="shared" si="279"/>
        <v>0</v>
      </c>
      <c r="M763" s="118">
        <f t="shared" si="279"/>
        <v>34</v>
      </c>
      <c r="N763" s="97">
        <f t="shared" si="279"/>
        <v>0</v>
      </c>
      <c r="O763" s="118">
        <f t="shared" si="279"/>
        <v>0</v>
      </c>
      <c r="P763" s="97">
        <f t="shared" si="279"/>
        <v>0</v>
      </c>
      <c r="Q763" s="97">
        <f t="shared" si="279"/>
        <v>33</v>
      </c>
      <c r="R763" s="135"/>
      <c r="S763" s="136">
        <f t="shared" ref="S763:V763" si="280">sum(S751:S762)</f>
        <v>98</v>
      </c>
      <c r="T763" s="136">
        <f t="shared" si="280"/>
        <v>13</v>
      </c>
      <c r="U763" s="135">
        <f t="shared" si="280"/>
        <v>0</v>
      </c>
      <c r="V763" s="136">
        <f t="shared" si="280"/>
        <v>0</v>
      </c>
      <c r="W763" s="137">
        <v>4.0</v>
      </c>
      <c r="X763" s="135">
        <f t="shared" ref="X763:AC763" si="281">sum(X751:X762)</f>
        <v>0</v>
      </c>
      <c r="Y763" s="135">
        <f t="shared" si="281"/>
        <v>0</v>
      </c>
      <c r="Z763" s="135">
        <f t="shared" si="281"/>
        <v>0</v>
      </c>
      <c r="AA763" s="135">
        <f t="shared" si="281"/>
        <v>0</v>
      </c>
      <c r="AB763" s="135">
        <f t="shared" si="281"/>
        <v>0</v>
      </c>
      <c r="AC763" s="135">
        <f t="shared" si="281"/>
        <v>0</v>
      </c>
    </row>
    <row r="764">
      <c r="D764" s="6"/>
    </row>
    <row r="765">
      <c r="C765" s="4" t="s">
        <v>270</v>
      </c>
      <c r="D765" s="82" t="s">
        <v>2</v>
      </c>
      <c r="E765" s="4" t="s">
        <v>272</v>
      </c>
      <c r="F765" s="4" t="s">
        <v>16</v>
      </c>
      <c r="G765" s="4" t="s">
        <v>276</v>
      </c>
      <c r="H765" s="4" t="s">
        <v>277</v>
      </c>
      <c r="I765" s="4" t="s">
        <v>93</v>
      </c>
      <c r="J765" s="4" t="s">
        <v>227</v>
      </c>
      <c r="K765" s="4" t="s">
        <v>89</v>
      </c>
      <c r="L765" s="4" t="s">
        <v>80</v>
      </c>
      <c r="M765" s="4" t="s">
        <v>81</v>
      </c>
      <c r="N765" s="4" t="s">
        <v>232</v>
      </c>
      <c r="O765" s="4" t="s">
        <v>265</v>
      </c>
      <c r="P765" s="4" t="s">
        <v>264</v>
      </c>
      <c r="Q765" s="4" t="s">
        <v>169</v>
      </c>
      <c r="R765" s="127" t="s">
        <v>236</v>
      </c>
      <c r="S765" s="128" t="s">
        <v>233</v>
      </c>
      <c r="T765" s="128" t="s">
        <v>234</v>
      </c>
      <c r="U765" s="128" t="s">
        <v>238</v>
      </c>
      <c r="V765" s="128" t="s">
        <v>231</v>
      </c>
      <c r="W765" s="128" t="s">
        <v>239</v>
      </c>
      <c r="X765" s="128" t="s">
        <v>246</v>
      </c>
      <c r="Y765" s="128" t="s">
        <v>247</v>
      </c>
      <c r="Z765" s="128" t="s">
        <v>248</v>
      </c>
      <c r="AA765" s="128" t="s">
        <v>267</v>
      </c>
      <c r="AB765" s="130" t="s">
        <v>268</v>
      </c>
      <c r="AC765" s="130" t="s">
        <v>169</v>
      </c>
    </row>
    <row r="766">
      <c r="A766" s="11">
        <v>46148.0</v>
      </c>
      <c r="B766" s="114" t="s">
        <v>4</v>
      </c>
      <c r="C766" s="115">
        <v>45.0</v>
      </c>
      <c r="D766" s="82">
        <v>10.0</v>
      </c>
      <c r="E766" s="66">
        <f t="shared" ref="E766:E777" si="282">S751+T751</f>
        <v>0</v>
      </c>
      <c r="F766" s="13">
        <f t="shared" ref="F766:F777" si="283">sum(H766:P766)+Q766</f>
        <v>43</v>
      </c>
      <c r="G766" s="6">
        <f t="shared" ref="G766:G777" si="284">C766+D766-F766+E766</f>
        <v>12</v>
      </c>
      <c r="I766" s="115">
        <v>5.0</v>
      </c>
      <c r="J766" s="115"/>
      <c r="K766" s="144">
        <v>7.0</v>
      </c>
      <c r="L766" s="115">
        <v>7.0</v>
      </c>
      <c r="M766" s="144">
        <v>7.0</v>
      </c>
      <c r="N766" s="115">
        <v>5.0</v>
      </c>
      <c r="O766" s="115"/>
      <c r="P766" s="4">
        <v>5.0</v>
      </c>
      <c r="Q766" s="4">
        <v>7.0</v>
      </c>
      <c r="R766" s="90" t="s">
        <v>4</v>
      </c>
      <c r="S766" s="67">
        <v>12.0</v>
      </c>
      <c r="T766" s="66">
        <f t="shared" ref="T766:T777" si="285">sum(U766:AC766)</f>
        <v>6</v>
      </c>
      <c r="U766" s="4">
        <v>2.0</v>
      </c>
      <c r="V766" s="67"/>
      <c r="AB766" s="138"/>
      <c r="AC766" s="138">
        <v>4.0</v>
      </c>
    </row>
    <row r="767">
      <c r="A767" s="11">
        <v>46148.0</v>
      </c>
      <c r="B767" s="13" t="s">
        <v>5</v>
      </c>
      <c r="C767" s="4">
        <v>30.0</v>
      </c>
      <c r="D767" s="6"/>
      <c r="E767" s="66">
        <f t="shared" si="282"/>
        <v>7</v>
      </c>
      <c r="F767" s="13">
        <f t="shared" si="283"/>
        <v>29</v>
      </c>
      <c r="G767" s="6">
        <f t="shared" si="284"/>
        <v>8</v>
      </c>
      <c r="I767" s="4">
        <v>3.0</v>
      </c>
      <c r="K767" s="59">
        <v>5.0</v>
      </c>
      <c r="L767" s="4">
        <v>5.0</v>
      </c>
      <c r="M767" s="59">
        <v>5.0</v>
      </c>
      <c r="N767" s="4">
        <v>3.0</v>
      </c>
      <c r="P767" s="123">
        <v>4.0</v>
      </c>
      <c r="Q767" s="4">
        <v>4.0</v>
      </c>
      <c r="R767" s="90" t="s">
        <v>5</v>
      </c>
      <c r="S767" s="67">
        <f>8+6</f>
        <v>14</v>
      </c>
      <c r="T767" s="66">
        <f t="shared" si="285"/>
        <v>3</v>
      </c>
      <c r="U767" s="4">
        <v>2.0</v>
      </c>
      <c r="V767" s="67"/>
      <c r="AB767" s="140">
        <v>1.0</v>
      </c>
      <c r="AC767" s="140"/>
    </row>
    <row r="768">
      <c r="A768" s="11">
        <v>46148.0</v>
      </c>
      <c r="B768" s="114" t="s">
        <v>6</v>
      </c>
      <c r="C768" s="115">
        <v>25.0</v>
      </c>
      <c r="D768" s="6"/>
      <c r="E768" s="66">
        <f t="shared" si="282"/>
        <v>7</v>
      </c>
      <c r="F768" s="13">
        <f t="shared" si="283"/>
        <v>27</v>
      </c>
      <c r="G768" s="6">
        <f t="shared" si="284"/>
        <v>5</v>
      </c>
      <c r="I768" s="115">
        <v>2.0</v>
      </c>
      <c r="J768" s="115"/>
      <c r="K768" s="144">
        <v>5.0</v>
      </c>
      <c r="L768" s="115">
        <v>5.0</v>
      </c>
      <c r="M768" s="144">
        <v>5.0</v>
      </c>
      <c r="N768" s="115">
        <v>3.0</v>
      </c>
      <c r="O768" s="115"/>
      <c r="P768" s="123">
        <v>3.0</v>
      </c>
      <c r="Q768" s="4">
        <v>4.0</v>
      </c>
      <c r="R768" s="90" t="s">
        <v>6</v>
      </c>
      <c r="S768" s="67">
        <f>3+2</f>
        <v>5</v>
      </c>
      <c r="T768" s="66">
        <f t="shared" si="285"/>
        <v>1</v>
      </c>
      <c r="V768" s="67"/>
      <c r="AB768" s="139">
        <v>1.0</v>
      </c>
      <c r="AC768" s="139"/>
    </row>
    <row r="769">
      <c r="A769" s="11">
        <v>46148.0</v>
      </c>
      <c r="B769" s="13" t="s">
        <v>7</v>
      </c>
      <c r="C769" s="4">
        <v>30.0</v>
      </c>
      <c r="D769" s="6"/>
      <c r="E769" s="66">
        <f t="shared" si="282"/>
        <v>0</v>
      </c>
      <c r="F769" s="13">
        <f t="shared" si="283"/>
        <v>28</v>
      </c>
      <c r="G769" s="6">
        <f t="shared" si="284"/>
        <v>2</v>
      </c>
      <c r="I769" s="4">
        <v>3.0</v>
      </c>
      <c r="K769" s="59">
        <v>4.0</v>
      </c>
      <c r="L769" s="4">
        <v>4.0</v>
      </c>
      <c r="M769" s="59">
        <v>5.0</v>
      </c>
      <c r="N769" s="4">
        <v>3.0</v>
      </c>
      <c r="P769" s="123">
        <v>5.0</v>
      </c>
      <c r="Q769" s="4">
        <v>4.0</v>
      </c>
      <c r="R769" s="90" t="s">
        <v>7</v>
      </c>
      <c r="S769" s="67">
        <v>1.0</v>
      </c>
      <c r="T769" s="66">
        <f t="shared" si="285"/>
        <v>5</v>
      </c>
      <c r="U769" s="4">
        <v>2.0</v>
      </c>
      <c r="V769" s="67"/>
      <c r="X769" s="4">
        <v>1.0</v>
      </c>
      <c r="AB769" s="140"/>
      <c r="AC769" s="140">
        <v>2.0</v>
      </c>
    </row>
    <row r="770">
      <c r="A770" s="11">
        <v>46148.0</v>
      </c>
      <c r="B770" s="114" t="s">
        <v>8</v>
      </c>
      <c r="C770" s="115">
        <v>45.0</v>
      </c>
      <c r="D770" s="82">
        <v>11.0</v>
      </c>
      <c r="E770" s="66">
        <f t="shared" si="282"/>
        <v>0</v>
      </c>
      <c r="F770" s="13">
        <f t="shared" si="283"/>
        <v>41</v>
      </c>
      <c r="G770" s="6">
        <f t="shared" si="284"/>
        <v>15</v>
      </c>
      <c r="I770" s="115">
        <v>4.0</v>
      </c>
      <c r="J770" s="115"/>
      <c r="K770" s="144">
        <v>5.0</v>
      </c>
      <c r="L770" s="115">
        <v>5.0</v>
      </c>
      <c r="M770" s="144">
        <v>7.0</v>
      </c>
      <c r="N770" s="115">
        <v>4.0</v>
      </c>
      <c r="O770" s="115"/>
      <c r="P770" s="123">
        <v>9.0</v>
      </c>
      <c r="Q770" s="4">
        <v>7.0</v>
      </c>
      <c r="R770" s="90" t="s">
        <v>8</v>
      </c>
      <c r="S770" s="67">
        <v>15.0</v>
      </c>
      <c r="T770" s="66">
        <f t="shared" si="285"/>
        <v>3</v>
      </c>
      <c r="V770" s="67"/>
      <c r="Z770" s="4">
        <v>1.0</v>
      </c>
      <c r="AB770" s="139">
        <v>1.0</v>
      </c>
      <c r="AC770" s="139">
        <v>1.0</v>
      </c>
    </row>
    <row r="771">
      <c r="A771" s="11">
        <v>46148.0</v>
      </c>
      <c r="B771" s="13" t="s">
        <v>9</v>
      </c>
      <c r="C771" s="4">
        <v>40.0</v>
      </c>
      <c r="D771" s="6"/>
      <c r="E771" s="66">
        <f t="shared" si="282"/>
        <v>6</v>
      </c>
      <c r="F771" s="13">
        <f t="shared" si="283"/>
        <v>41</v>
      </c>
      <c r="G771" s="6">
        <f t="shared" si="284"/>
        <v>5</v>
      </c>
      <c r="I771" s="4">
        <v>3.0</v>
      </c>
      <c r="K771" s="59">
        <v>7.0</v>
      </c>
      <c r="L771" s="4">
        <v>7.0</v>
      </c>
      <c r="M771" s="59">
        <v>7.0</v>
      </c>
      <c r="N771" s="4">
        <v>5.0</v>
      </c>
      <c r="P771" s="123">
        <v>5.0</v>
      </c>
      <c r="Q771" s="4">
        <v>7.0</v>
      </c>
      <c r="R771" s="90" t="s">
        <v>9</v>
      </c>
      <c r="S771" s="67">
        <v>5.0</v>
      </c>
      <c r="T771" s="66">
        <f t="shared" si="285"/>
        <v>2</v>
      </c>
      <c r="U771" s="4">
        <v>1.0</v>
      </c>
      <c r="V771" s="67"/>
      <c r="AB771" s="140"/>
      <c r="AC771" s="140">
        <v>1.0</v>
      </c>
    </row>
    <row r="772">
      <c r="A772" s="11">
        <v>46148.0</v>
      </c>
      <c r="B772" s="114" t="s">
        <v>10</v>
      </c>
      <c r="C772" s="115">
        <v>30.0</v>
      </c>
      <c r="D772" s="6"/>
      <c r="E772" s="66">
        <f t="shared" si="282"/>
        <v>3</v>
      </c>
      <c r="F772" s="6">
        <f t="shared" si="283"/>
        <v>28</v>
      </c>
      <c r="G772" s="6">
        <f t="shared" si="284"/>
        <v>5</v>
      </c>
      <c r="I772" s="115">
        <v>2.0</v>
      </c>
      <c r="J772" s="115"/>
      <c r="K772" s="144">
        <v>4.0</v>
      </c>
      <c r="L772" s="115">
        <v>5.0</v>
      </c>
      <c r="M772" s="144">
        <v>5.0</v>
      </c>
      <c r="N772" s="115">
        <v>4.0</v>
      </c>
      <c r="O772" s="115"/>
      <c r="P772" s="123">
        <v>4.0</v>
      </c>
      <c r="Q772" s="4">
        <v>4.0</v>
      </c>
      <c r="R772" s="90" t="s">
        <v>10</v>
      </c>
      <c r="S772" s="67">
        <v>7.0</v>
      </c>
      <c r="T772" s="66">
        <f t="shared" si="285"/>
        <v>6</v>
      </c>
      <c r="U772" s="4">
        <v>2.0</v>
      </c>
      <c r="V772" s="67"/>
      <c r="Z772" s="4">
        <v>3.0</v>
      </c>
      <c r="AB772" s="139">
        <v>1.0</v>
      </c>
      <c r="AC772" s="139"/>
    </row>
    <row r="773">
      <c r="A773" s="11">
        <v>46148.0</v>
      </c>
      <c r="B773" s="13" t="s">
        <v>11</v>
      </c>
      <c r="C773" s="4">
        <v>30.0</v>
      </c>
      <c r="D773" s="6"/>
      <c r="E773" s="66">
        <f t="shared" si="282"/>
        <v>0</v>
      </c>
      <c r="F773" s="6">
        <f t="shared" si="283"/>
        <v>25</v>
      </c>
      <c r="G773" s="6">
        <f t="shared" si="284"/>
        <v>5</v>
      </c>
      <c r="I773" s="4">
        <v>2.0</v>
      </c>
      <c r="K773" s="59">
        <v>5.0</v>
      </c>
      <c r="L773" s="4">
        <v>4.0</v>
      </c>
      <c r="M773" s="59">
        <v>5.0</v>
      </c>
      <c r="N773" s="4">
        <v>3.0</v>
      </c>
      <c r="P773" s="123">
        <v>3.0</v>
      </c>
      <c r="Q773" s="4">
        <v>3.0</v>
      </c>
      <c r="R773" s="90" t="s">
        <v>11</v>
      </c>
      <c r="S773" s="67">
        <v>5.0</v>
      </c>
      <c r="T773" s="66">
        <f t="shared" si="285"/>
        <v>9</v>
      </c>
      <c r="U773" s="4">
        <v>2.0</v>
      </c>
      <c r="V773" s="67"/>
      <c r="Z773" s="4">
        <v>3.0</v>
      </c>
      <c r="AB773" s="140">
        <v>1.0</v>
      </c>
      <c r="AC773" s="140">
        <v>3.0</v>
      </c>
    </row>
    <row r="774">
      <c r="A774" s="11">
        <v>46148.0</v>
      </c>
      <c r="B774" s="114" t="s">
        <v>12</v>
      </c>
      <c r="C774" s="115">
        <v>30.0</v>
      </c>
      <c r="D774" s="6"/>
      <c r="E774" s="66">
        <f t="shared" si="282"/>
        <v>0</v>
      </c>
      <c r="F774" s="13">
        <f t="shared" si="283"/>
        <v>24</v>
      </c>
      <c r="G774" s="6">
        <f t="shared" si="284"/>
        <v>6</v>
      </c>
      <c r="I774" s="115">
        <v>2.0</v>
      </c>
      <c r="J774" s="115"/>
      <c r="K774" s="144">
        <v>4.0</v>
      </c>
      <c r="L774" s="115">
        <v>4.0</v>
      </c>
      <c r="M774" s="144">
        <v>5.0</v>
      </c>
      <c r="N774" s="115">
        <v>3.0</v>
      </c>
      <c r="O774" s="115"/>
      <c r="P774" s="123">
        <v>3.0</v>
      </c>
      <c r="Q774" s="4">
        <v>3.0</v>
      </c>
      <c r="R774" s="90" t="s">
        <v>12</v>
      </c>
      <c r="S774" s="67">
        <v>5.0</v>
      </c>
      <c r="T774" s="66">
        <f t="shared" si="285"/>
        <v>2</v>
      </c>
      <c r="V774" s="67"/>
      <c r="AB774" s="139"/>
      <c r="AC774" s="139">
        <v>2.0</v>
      </c>
    </row>
    <row r="775">
      <c r="A775" s="11">
        <v>46148.0</v>
      </c>
      <c r="B775" s="13" t="s">
        <v>13</v>
      </c>
      <c r="C775" s="4">
        <v>35.0</v>
      </c>
      <c r="D775" s="6"/>
      <c r="E775" s="66">
        <f t="shared" si="282"/>
        <v>5</v>
      </c>
      <c r="F775" s="6">
        <f t="shared" si="283"/>
        <v>35</v>
      </c>
      <c r="G775" s="6">
        <f t="shared" si="284"/>
        <v>5</v>
      </c>
      <c r="I775" s="4">
        <v>3.0</v>
      </c>
      <c r="K775" s="59">
        <v>5.0</v>
      </c>
      <c r="L775" s="4">
        <v>5.0</v>
      </c>
      <c r="M775" s="59">
        <v>7.0</v>
      </c>
      <c r="N775" s="4">
        <v>5.0</v>
      </c>
      <c r="P775" s="123">
        <v>5.0</v>
      </c>
      <c r="Q775" s="4">
        <v>5.0</v>
      </c>
      <c r="R775" s="90" t="s">
        <v>13</v>
      </c>
      <c r="S775" s="67"/>
      <c r="T775" s="66">
        <f t="shared" si="285"/>
        <v>5</v>
      </c>
      <c r="V775" s="67"/>
      <c r="AB775" s="140">
        <v>2.0</v>
      </c>
      <c r="AC775" s="140">
        <v>3.0</v>
      </c>
    </row>
    <row r="776">
      <c r="A776" s="11">
        <v>46148.0</v>
      </c>
      <c r="B776" s="114" t="s">
        <v>14</v>
      </c>
      <c r="C776" s="115">
        <v>30.0</v>
      </c>
      <c r="D776" s="6"/>
      <c r="E776" s="66">
        <f t="shared" si="282"/>
        <v>0</v>
      </c>
      <c r="F776" s="13">
        <f t="shared" si="283"/>
        <v>26</v>
      </c>
      <c r="G776" s="6">
        <f t="shared" si="284"/>
        <v>4</v>
      </c>
      <c r="I776" s="115">
        <v>2.0</v>
      </c>
      <c r="J776" s="115"/>
      <c r="K776" s="144">
        <v>4.0</v>
      </c>
      <c r="L776" s="115">
        <v>4.0</v>
      </c>
      <c r="M776" s="144">
        <v>5.0</v>
      </c>
      <c r="N776" s="115">
        <v>3.0</v>
      </c>
      <c r="O776" s="115"/>
      <c r="P776" s="123">
        <v>3.0</v>
      </c>
      <c r="Q776" s="4">
        <v>5.0</v>
      </c>
      <c r="R776" s="90" t="s">
        <v>14</v>
      </c>
      <c r="S776" s="67">
        <v>8.0</v>
      </c>
      <c r="T776" s="66">
        <f t="shared" si="285"/>
        <v>5</v>
      </c>
      <c r="V776" s="67"/>
      <c r="AB776" s="139"/>
      <c r="AC776" s="139">
        <v>5.0</v>
      </c>
    </row>
    <row r="777">
      <c r="A777" s="11">
        <v>46148.0</v>
      </c>
      <c r="B777" s="13" t="s">
        <v>15</v>
      </c>
      <c r="C777" s="4">
        <v>260.0</v>
      </c>
      <c r="D777" s="6"/>
      <c r="E777" s="66">
        <f t="shared" si="282"/>
        <v>83</v>
      </c>
      <c r="F777" s="6">
        <f t="shared" si="283"/>
        <v>221</v>
      </c>
      <c r="G777" s="6">
        <f t="shared" si="284"/>
        <v>122</v>
      </c>
      <c r="I777" s="4">
        <v>20.0</v>
      </c>
      <c r="K777" s="59">
        <v>40.0</v>
      </c>
      <c r="L777" s="4">
        <v>40.0</v>
      </c>
      <c r="M777" s="59">
        <v>45.0</v>
      </c>
      <c r="N777" s="4">
        <v>20.0</v>
      </c>
      <c r="P777" s="123">
        <v>26.0</v>
      </c>
      <c r="Q777" s="4">
        <v>30.0</v>
      </c>
      <c r="R777" s="90" t="s">
        <v>15</v>
      </c>
      <c r="S777" s="67">
        <f>120+10+3</f>
        <v>133</v>
      </c>
      <c r="T777" s="66">
        <f t="shared" si="285"/>
        <v>20</v>
      </c>
      <c r="U777" s="4">
        <v>1.0</v>
      </c>
      <c r="V777" s="67"/>
      <c r="Z777" s="4">
        <v>6.0</v>
      </c>
      <c r="AB777" s="140">
        <v>7.0</v>
      </c>
      <c r="AC777" s="140">
        <v>6.0</v>
      </c>
    </row>
    <row r="778">
      <c r="B778" s="4" t="s">
        <v>16</v>
      </c>
      <c r="C778" s="13">
        <f>sum(C766:C777)</f>
        <v>630</v>
      </c>
      <c r="D778" s="6"/>
      <c r="F778" s="13">
        <f t="shared" ref="F778:G778" si="286">sum(F766:F777)</f>
        <v>568</v>
      </c>
      <c r="G778" s="6">
        <f t="shared" si="286"/>
        <v>194</v>
      </c>
      <c r="I778" s="97">
        <f t="shared" ref="I778:Q778" si="287">sum(I766:I777)</f>
        <v>51</v>
      </c>
      <c r="J778" s="97">
        <f t="shared" si="287"/>
        <v>0</v>
      </c>
      <c r="K778" s="97">
        <f t="shared" si="287"/>
        <v>95</v>
      </c>
      <c r="L778" s="97">
        <f t="shared" si="287"/>
        <v>95</v>
      </c>
      <c r="M778" s="97">
        <f t="shared" si="287"/>
        <v>108</v>
      </c>
      <c r="N778" s="97">
        <f t="shared" si="287"/>
        <v>61</v>
      </c>
      <c r="O778" s="97">
        <f t="shared" si="287"/>
        <v>0</v>
      </c>
      <c r="P778" s="97">
        <f t="shared" si="287"/>
        <v>75</v>
      </c>
      <c r="Q778" s="97">
        <f t="shared" si="287"/>
        <v>83</v>
      </c>
      <c r="R778" s="135"/>
      <c r="S778" s="136">
        <f t="shared" ref="S778:AC778" si="288">sum(S766:S777)</f>
        <v>210</v>
      </c>
      <c r="T778" s="136">
        <f t="shared" si="288"/>
        <v>67</v>
      </c>
      <c r="U778" s="135">
        <f t="shared" si="288"/>
        <v>12</v>
      </c>
      <c r="V778" s="136">
        <f t="shared" si="288"/>
        <v>0</v>
      </c>
      <c r="W778" s="135">
        <f t="shared" si="288"/>
        <v>0</v>
      </c>
      <c r="X778" s="135">
        <f t="shared" si="288"/>
        <v>1</v>
      </c>
      <c r="Y778" s="135">
        <f t="shared" si="288"/>
        <v>0</v>
      </c>
      <c r="Z778" s="135">
        <f t="shared" si="288"/>
        <v>13</v>
      </c>
      <c r="AA778" s="135">
        <f t="shared" si="288"/>
        <v>0</v>
      </c>
      <c r="AB778" s="135">
        <f t="shared" si="288"/>
        <v>14</v>
      </c>
      <c r="AC778" s="135">
        <f t="shared" si="288"/>
        <v>27</v>
      </c>
    </row>
    <row r="779">
      <c r="D779" s="6"/>
      <c r="I779" s="13">
        <f t="shared" ref="I779:L779" si="289">I778-U778</f>
        <v>39</v>
      </c>
      <c r="J779" s="66">
        <f t="shared" si="289"/>
        <v>0</v>
      </c>
      <c r="K779" s="13">
        <f t="shared" si="289"/>
        <v>95</v>
      </c>
      <c r="L779" s="13">
        <f t="shared" si="289"/>
        <v>94</v>
      </c>
      <c r="M779" s="13">
        <f>M778-Y77</f>
        <v>108</v>
      </c>
      <c r="N779" s="13">
        <f t="shared" ref="N779:Q779" si="290">N778-Z778</f>
        <v>48</v>
      </c>
      <c r="O779" s="13">
        <f t="shared" si="290"/>
        <v>0</v>
      </c>
      <c r="P779" s="13">
        <f t="shared" si="290"/>
        <v>61</v>
      </c>
      <c r="Q779" s="13">
        <f t="shared" si="290"/>
        <v>56</v>
      </c>
    </row>
    <row r="780">
      <c r="D780" s="6"/>
      <c r="H780" s="149"/>
      <c r="I780" s="149" t="s">
        <v>114</v>
      </c>
      <c r="O780" s="149"/>
    </row>
    <row r="781">
      <c r="D781" s="6"/>
      <c r="G781" s="4" t="s">
        <v>251</v>
      </c>
      <c r="H781" s="75" t="s">
        <v>253</v>
      </c>
      <c r="I781" s="4" t="s">
        <v>93</v>
      </c>
      <c r="J781" s="4" t="s">
        <v>227</v>
      </c>
      <c r="K781" s="4" t="s">
        <v>89</v>
      </c>
      <c r="L781" s="4" t="s">
        <v>80</v>
      </c>
      <c r="M781" s="4" t="s">
        <v>81</v>
      </c>
      <c r="N781" s="4" t="s">
        <v>232</v>
      </c>
      <c r="O781" s="4" t="s">
        <v>265</v>
      </c>
      <c r="P781" s="4" t="s">
        <v>264</v>
      </c>
      <c r="Q781" s="4" t="s">
        <v>280</v>
      </c>
      <c r="R781" s="127" t="s">
        <v>236</v>
      </c>
      <c r="S781" s="128" t="s">
        <v>233</v>
      </c>
      <c r="T781" s="128" t="s">
        <v>234</v>
      </c>
      <c r="U781" s="128" t="s">
        <v>238</v>
      </c>
      <c r="V781" s="128" t="s">
        <v>231</v>
      </c>
      <c r="W781" s="128" t="s">
        <v>239</v>
      </c>
      <c r="X781" s="128" t="s">
        <v>246</v>
      </c>
      <c r="Y781" s="128" t="s">
        <v>247</v>
      </c>
      <c r="Z781" s="128" t="s">
        <v>248</v>
      </c>
      <c r="AA781" s="128" t="s">
        <v>267</v>
      </c>
      <c r="AB781" s="130" t="s">
        <v>268</v>
      </c>
      <c r="AC781" s="130" t="s">
        <v>169</v>
      </c>
      <c r="AD781" s="4" t="s">
        <v>281</v>
      </c>
    </row>
    <row r="782">
      <c r="B782" s="114" t="s">
        <v>4</v>
      </c>
      <c r="D782" s="6"/>
      <c r="G782" s="66">
        <f t="shared" ref="G782:G793" si="291">S766+T766</f>
        <v>18</v>
      </c>
      <c r="H782" s="119">
        <f t="shared" ref="H782:H793" si="292">G782-sum(I782:Q782)</f>
        <v>5</v>
      </c>
      <c r="K782" s="4">
        <v>3.0</v>
      </c>
      <c r="L782" s="150">
        <v>2.0</v>
      </c>
      <c r="M782" s="67">
        <v>3.0</v>
      </c>
      <c r="O782" s="67"/>
      <c r="P782" s="4">
        <v>3.0</v>
      </c>
      <c r="Q782" s="4">
        <v>2.0</v>
      </c>
      <c r="R782" s="154" t="s">
        <v>4</v>
      </c>
      <c r="S782" s="67"/>
      <c r="T782" s="66"/>
      <c r="V782" s="67"/>
      <c r="AB782" s="138"/>
      <c r="AC782" s="138"/>
      <c r="AD782" s="4">
        <v>1.0</v>
      </c>
    </row>
    <row r="783">
      <c r="B783" s="13" t="s">
        <v>5</v>
      </c>
      <c r="D783" s="6"/>
      <c r="G783" s="66">
        <f t="shared" si="291"/>
        <v>17</v>
      </c>
      <c r="H783" s="119">
        <f t="shared" si="292"/>
        <v>6</v>
      </c>
      <c r="K783" s="4">
        <v>2.0</v>
      </c>
      <c r="L783" s="150">
        <v>2.0</v>
      </c>
      <c r="M783" s="67">
        <v>3.0</v>
      </c>
      <c r="P783" s="4">
        <v>2.0</v>
      </c>
      <c r="Q783" s="4">
        <v>2.0</v>
      </c>
      <c r="R783" s="154" t="s">
        <v>5</v>
      </c>
      <c r="S783" s="67"/>
      <c r="T783" s="67">
        <v>3.0</v>
      </c>
      <c r="V783" s="67"/>
      <c r="AB783" s="140"/>
      <c r="AC783" s="140"/>
      <c r="AD783" s="4">
        <v>4.0</v>
      </c>
    </row>
    <row r="784">
      <c r="B784" s="114" t="s">
        <v>6</v>
      </c>
      <c r="D784" s="6"/>
      <c r="G784" s="66">
        <f t="shared" si="291"/>
        <v>6</v>
      </c>
      <c r="H784" s="119">
        <f t="shared" si="292"/>
        <v>0</v>
      </c>
      <c r="K784" s="4">
        <v>1.0</v>
      </c>
      <c r="L784" s="150">
        <v>1.0</v>
      </c>
      <c r="M784" s="67">
        <v>2.0</v>
      </c>
      <c r="O784" s="67"/>
      <c r="P784" s="4">
        <v>1.0</v>
      </c>
      <c r="Q784" s="4">
        <v>1.0</v>
      </c>
      <c r="R784" s="154" t="s">
        <v>6</v>
      </c>
      <c r="S784" s="67"/>
      <c r="T784" s="67">
        <v>1.0</v>
      </c>
      <c r="V784" s="67"/>
      <c r="AB784" s="139"/>
      <c r="AC784" s="139"/>
    </row>
    <row r="785">
      <c r="B785" s="13" t="s">
        <v>7</v>
      </c>
      <c r="D785" s="6"/>
      <c r="G785" s="66">
        <f t="shared" si="291"/>
        <v>6</v>
      </c>
      <c r="H785" s="119">
        <f t="shared" si="292"/>
        <v>0</v>
      </c>
      <c r="K785" s="4">
        <v>1.0</v>
      </c>
      <c r="L785" s="150">
        <v>1.0</v>
      </c>
      <c r="M785" s="67">
        <v>1.0</v>
      </c>
      <c r="O785" s="67"/>
      <c r="P785" s="4">
        <v>2.0</v>
      </c>
      <c r="Q785" s="4">
        <v>1.0</v>
      </c>
      <c r="R785" s="154" t="s">
        <v>7</v>
      </c>
      <c r="S785" s="67"/>
      <c r="T785" s="66"/>
      <c r="V785" s="67"/>
      <c r="AB785" s="140"/>
      <c r="AC785" s="140"/>
      <c r="AD785" s="4">
        <v>3.0</v>
      </c>
    </row>
    <row r="786">
      <c r="B786" s="114" t="s">
        <v>8</v>
      </c>
      <c r="D786" s="6"/>
      <c r="G786" s="66">
        <f t="shared" si="291"/>
        <v>18</v>
      </c>
      <c r="H786" s="119">
        <f t="shared" si="292"/>
        <v>3</v>
      </c>
      <c r="K786" s="4">
        <v>3.0</v>
      </c>
      <c r="L786" s="150">
        <v>3.0</v>
      </c>
      <c r="M786" s="67">
        <v>3.0</v>
      </c>
      <c r="O786" s="67"/>
      <c r="P786" s="4">
        <v>3.0</v>
      </c>
      <c r="Q786" s="4">
        <v>3.0</v>
      </c>
      <c r="R786" s="154" t="s">
        <v>8</v>
      </c>
      <c r="S786" s="67"/>
      <c r="T786" s="67">
        <v>1.0</v>
      </c>
      <c r="V786" s="67"/>
      <c r="AB786" s="134"/>
      <c r="AC786" s="134"/>
      <c r="AD786" s="4">
        <v>1.0</v>
      </c>
      <c r="AE786" s="4">
        <v>1.0</v>
      </c>
    </row>
    <row r="787">
      <c r="B787" s="13" t="s">
        <v>9</v>
      </c>
      <c r="D787" s="6"/>
      <c r="G787" s="66">
        <f t="shared" si="291"/>
        <v>7</v>
      </c>
      <c r="H787" s="119">
        <f t="shared" si="292"/>
        <v>0</v>
      </c>
      <c r="K787" s="4">
        <v>1.0</v>
      </c>
      <c r="L787" s="150">
        <v>1.0</v>
      </c>
      <c r="M787" s="4">
        <v>2.0</v>
      </c>
      <c r="O787" s="67"/>
      <c r="P787" s="4">
        <v>1.0</v>
      </c>
      <c r="Q787" s="4">
        <v>2.0</v>
      </c>
      <c r="R787" s="154" t="s">
        <v>9</v>
      </c>
      <c r="S787" s="67"/>
      <c r="T787" s="67">
        <v>2.0</v>
      </c>
      <c r="V787" s="67"/>
      <c r="AB787" s="133"/>
      <c r="AC787" s="133"/>
    </row>
    <row r="788">
      <c r="B788" s="114" t="s">
        <v>10</v>
      </c>
      <c r="D788" s="6"/>
      <c r="G788" s="66">
        <f t="shared" si="291"/>
        <v>13</v>
      </c>
      <c r="H788" s="119">
        <f t="shared" si="292"/>
        <v>3</v>
      </c>
      <c r="K788" s="4">
        <v>2.0</v>
      </c>
      <c r="L788" s="150">
        <v>2.0</v>
      </c>
      <c r="M788" s="67">
        <v>2.0</v>
      </c>
      <c r="O788" s="67"/>
      <c r="P788" s="4">
        <v>2.0</v>
      </c>
      <c r="Q788" s="4">
        <v>2.0</v>
      </c>
      <c r="R788" s="154" t="s">
        <v>10</v>
      </c>
      <c r="S788" s="67"/>
      <c r="T788" s="67">
        <v>2.0</v>
      </c>
      <c r="V788" s="67"/>
      <c r="AB788" s="134"/>
      <c r="AC788" s="134"/>
      <c r="AD788" s="4">
        <v>1.0</v>
      </c>
      <c r="AE788" s="4">
        <v>3.0</v>
      </c>
    </row>
    <row r="789">
      <c r="B789" s="13" t="s">
        <v>11</v>
      </c>
      <c r="D789" s="6"/>
      <c r="G789" s="66">
        <f t="shared" si="291"/>
        <v>14</v>
      </c>
      <c r="H789" s="119">
        <f t="shared" si="292"/>
        <v>4</v>
      </c>
      <c r="K789" s="4">
        <v>3.0</v>
      </c>
      <c r="L789" s="150">
        <v>3.0</v>
      </c>
      <c r="M789" s="67">
        <v>3.0</v>
      </c>
      <c r="O789" s="66"/>
      <c r="Q789" s="4">
        <v>1.0</v>
      </c>
      <c r="R789" s="154" t="s">
        <v>11</v>
      </c>
      <c r="S789" s="67"/>
      <c r="T789" s="67">
        <v>2.0</v>
      </c>
      <c r="V789" s="67"/>
      <c r="AB789" s="140"/>
      <c r="AC789" s="140"/>
      <c r="AD789" s="4">
        <v>2.0</v>
      </c>
      <c r="AE789" s="4">
        <v>3.0</v>
      </c>
    </row>
    <row r="790">
      <c r="B790" s="114" t="s">
        <v>12</v>
      </c>
      <c r="D790" s="6"/>
      <c r="G790" s="66">
        <f t="shared" si="291"/>
        <v>7</v>
      </c>
      <c r="H790" s="119">
        <f t="shared" si="292"/>
        <v>0</v>
      </c>
      <c r="K790" s="4">
        <v>1.0</v>
      </c>
      <c r="L790" s="152">
        <v>2.0</v>
      </c>
      <c r="M790" s="4">
        <v>2.0</v>
      </c>
      <c r="O790" s="67"/>
      <c r="P790" s="4">
        <v>1.0</v>
      </c>
      <c r="Q790" s="4">
        <v>1.0</v>
      </c>
      <c r="R790" s="154" t="s">
        <v>12</v>
      </c>
      <c r="S790" s="67"/>
      <c r="T790" s="67">
        <v>3.0</v>
      </c>
      <c r="V790" s="66"/>
      <c r="AB790" s="139"/>
      <c r="AC790" s="139"/>
      <c r="AD790" s="4">
        <v>1.0</v>
      </c>
    </row>
    <row r="791">
      <c r="B791" s="13" t="s">
        <v>13</v>
      </c>
      <c r="D791" s="6"/>
      <c r="G791" s="66">
        <f t="shared" si="291"/>
        <v>5</v>
      </c>
      <c r="H791" s="119">
        <f t="shared" si="292"/>
        <v>0</v>
      </c>
      <c r="K791" s="4">
        <v>1.0</v>
      </c>
      <c r="L791" s="150">
        <v>1.0</v>
      </c>
      <c r="M791" s="4">
        <v>1.0</v>
      </c>
      <c r="P791" s="4">
        <v>1.0</v>
      </c>
      <c r="Q791" s="4">
        <v>1.0</v>
      </c>
      <c r="R791" s="154" t="s">
        <v>13</v>
      </c>
      <c r="S791" s="67"/>
      <c r="T791" s="67">
        <v>1.0</v>
      </c>
      <c r="V791" s="67"/>
      <c r="AB791" s="140"/>
      <c r="AC791" s="140"/>
    </row>
    <row r="792">
      <c r="B792" s="114" t="s">
        <v>14</v>
      </c>
      <c r="G792" s="66">
        <f t="shared" si="291"/>
        <v>13</v>
      </c>
      <c r="H792" s="119">
        <f t="shared" si="292"/>
        <v>3</v>
      </c>
      <c r="K792" s="67">
        <v>3.0</v>
      </c>
      <c r="L792" s="152">
        <v>2.0</v>
      </c>
      <c r="M792" s="4">
        <v>3.0</v>
      </c>
      <c r="O792" s="67"/>
      <c r="P792" s="4">
        <v>1.0</v>
      </c>
      <c r="Q792" s="4">
        <v>1.0</v>
      </c>
      <c r="R792" s="154" t="s">
        <v>14</v>
      </c>
      <c r="S792" s="67"/>
      <c r="T792" s="67">
        <v>4.0</v>
      </c>
      <c r="V792" s="67"/>
      <c r="AB792" s="134"/>
      <c r="AC792" s="134"/>
      <c r="AD792" s="4">
        <v>3.0</v>
      </c>
    </row>
    <row r="793">
      <c r="B793" s="13" t="s">
        <v>15</v>
      </c>
      <c r="G793" s="66">
        <f t="shared" si="291"/>
        <v>153</v>
      </c>
      <c r="H793" s="119">
        <f t="shared" si="292"/>
        <v>58</v>
      </c>
      <c r="K793" s="4">
        <v>20.0</v>
      </c>
      <c r="L793" s="150">
        <v>20.0</v>
      </c>
      <c r="M793" s="4">
        <v>20.0</v>
      </c>
      <c r="O793" s="67"/>
      <c r="P793" s="4">
        <v>15.0</v>
      </c>
      <c r="Q793" s="4">
        <v>20.0</v>
      </c>
      <c r="R793" s="154" t="s">
        <v>15</v>
      </c>
      <c r="S793" s="67">
        <v>37.0</v>
      </c>
      <c r="T793" s="67">
        <v>36.0</v>
      </c>
      <c r="V793" s="67"/>
      <c r="AB793" s="140"/>
      <c r="AC793" s="140"/>
      <c r="AD793" s="4">
        <v>18.0</v>
      </c>
      <c r="AE793" s="4">
        <v>6.0</v>
      </c>
    </row>
    <row r="794">
      <c r="G794" s="66">
        <f t="shared" ref="G794:Q794" si="293">sum(G782:G793)</f>
        <v>277</v>
      </c>
      <c r="H794" s="66">
        <f t="shared" si="293"/>
        <v>82</v>
      </c>
      <c r="I794" s="97">
        <f t="shared" si="293"/>
        <v>0</v>
      </c>
      <c r="J794" s="97">
        <f t="shared" si="293"/>
        <v>0</v>
      </c>
      <c r="K794" s="97">
        <f t="shared" si="293"/>
        <v>41</v>
      </c>
      <c r="L794" s="153">
        <f t="shared" si="293"/>
        <v>40</v>
      </c>
      <c r="M794" s="118">
        <f t="shared" si="293"/>
        <v>45</v>
      </c>
      <c r="N794" s="97">
        <f t="shared" si="293"/>
        <v>0</v>
      </c>
      <c r="O794" s="118">
        <f t="shared" si="293"/>
        <v>0</v>
      </c>
      <c r="P794" s="97">
        <f t="shared" si="293"/>
        <v>32</v>
      </c>
      <c r="Q794" s="97">
        <f t="shared" si="293"/>
        <v>37</v>
      </c>
      <c r="R794" s="135"/>
      <c r="S794" s="136">
        <f t="shared" ref="S794:V794" si="294">sum(S782:S793)</f>
        <v>37</v>
      </c>
      <c r="T794" s="136">
        <f t="shared" si="294"/>
        <v>55</v>
      </c>
      <c r="U794" s="135">
        <f t="shared" si="294"/>
        <v>0</v>
      </c>
      <c r="V794" s="136">
        <f t="shared" si="294"/>
        <v>0</v>
      </c>
      <c r="W794" s="137">
        <v>4.0</v>
      </c>
      <c r="X794" s="135">
        <f t="shared" ref="X794:AD794" si="295">sum(X782:X793)</f>
        <v>0</v>
      </c>
      <c r="Y794" s="135">
        <f t="shared" si="295"/>
        <v>0</v>
      </c>
      <c r="Z794" s="135">
        <f t="shared" si="295"/>
        <v>0</v>
      </c>
      <c r="AA794" s="135">
        <f t="shared" si="295"/>
        <v>0</v>
      </c>
      <c r="AB794" s="135">
        <f t="shared" si="295"/>
        <v>0</v>
      </c>
      <c r="AC794" s="135">
        <f t="shared" si="295"/>
        <v>0</v>
      </c>
      <c r="AD794" s="135">
        <f t="shared" si="295"/>
        <v>34</v>
      </c>
    </row>
    <row r="795">
      <c r="A795" s="11"/>
      <c r="B795" s="114"/>
      <c r="C795" s="115"/>
      <c r="D795" s="6"/>
    </row>
    <row r="796">
      <c r="A796" s="11"/>
      <c r="D796" s="6"/>
    </row>
    <row r="797">
      <c r="C797" s="4" t="s">
        <v>270</v>
      </c>
      <c r="D797" s="82" t="s">
        <v>2</v>
      </c>
      <c r="E797" s="4" t="s">
        <v>272</v>
      </c>
      <c r="F797" s="4" t="s">
        <v>16</v>
      </c>
      <c r="G797" s="4" t="s">
        <v>276</v>
      </c>
      <c r="H797" s="4" t="s">
        <v>277</v>
      </c>
      <c r="I797" s="4" t="s">
        <v>93</v>
      </c>
      <c r="J797" s="4" t="s">
        <v>227</v>
      </c>
      <c r="K797" s="4" t="s">
        <v>89</v>
      </c>
      <c r="L797" s="4" t="s">
        <v>80</v>
      </c>
      <c r="M797" s="4" t="s">
        <v>81</v>
      </c>
      <c r="N797" s="4" t="s">
        <v>232</v>
      </c>
      <c r="O797" s="4" t="s">
        <v>265</v>
      </c>
      <c r="P797" s="4" t="s">
        <v>264</v>
      </c>
      <c r="Q797" s="4" t="s">
        <v>169</v>
      </c>
      <c r="R797" s="127" t="s">
        <v>236</v>
      </c>
      <c r="S797" s="128" t="s">
        <v>233</v>
      </c>
      <c r="T797" s="128" t="s">
        <v>234</v>
      </c>
      <c r="U797" s="128" t="s">
        <v>238</v>
      </c>
      <c r="V797" s="128" t="s">
        <v>231</v>
      </c>
      <c r="W797" s="128" t="s">
        <v>239</v>
      </c>
      <c r="X797" s="128" t="s">
        <v>246</v>
      </c>
      <c r="Y797" s="128" t="s">
        <v>247</v>
      </c>
      <c r="Z797" s="128" t="s">
        <v>248</v>
      </c>
      <c r="AA797" s="128" t="s">
        <v>267</v>
      </c>
      <c r="AB797" s="130" t="s">
        <v>268</v>
      </c>
      <c r="AC797" s="130" t="s">
        <v>169</v>
      </c>
    </row>
    <row r="798">
      <c r="A798" s="11">
        <v>46149.0</v>
      </c>
      <c r="B798" s="114" t="s">
        <v>4</v>
      </c>
      <c r="C798" s="115">
        <v>30.0</v>
      </c>
      <c r="D798" s="82"/>
      <c r="E798" s="66">
        <f t="shared" ref="E798:E809" si="296">S782+T782+AD782+AE782</f>
        <v>1</v>
      </c>
      <c r="F798" s="13">
        <f t="shared" ref="F798:F809" si="297">sum(H798:P798)+Q798</f>
        <v>31</v>
      </c>
      <c r="G798" s="6">
        <f t="shared" ref="G798:G809" si="298">C798+D798-F798+E798</f>
        <v>0</v>
      </c>
      <c r="I798" s="115">
        <v>2.0</v>
      </c>
      <c r="J798" s="115"/>
      <c r="K798" s="144">
        <v>5.0</v>
      </c>
      <c r="L798" s="144">
        <v>5.0</v>
      </c>
      <c r="M798" s="144">
        <v>7.0</v>
      </c>
      <c r="N798" s="115">
        <v>2.0</v>
      </c>
      <c r="O798" s="115"/>
      <c r="P798" s="4">
        <v>5.0</v>
      </c>
      <c r="Q798" s="4">
        <v>5.0</v>
      </c>
      <c r="R798" s="90" t="s">
        <v>4</v>
      </c>
      <c r="S798" s="67">
        <v>3.0</v>
      </c>
      <c r="T798" s="66">
        <f t="shared" ref="T798:T809" si="299">sum(U798:AC798)</f>
        <v>0</v>
      </c>
      <c r="V798" s="67"/>
      <c r="AB798" s="138"/>
      <c r="AC798" s="138"/>
    </row>
    <row r="799">
      <c r="A799" s="11">
        <v>46149.0</v>
      </c>
      <c r="B799" s="13" t="s">
        <v>5</v>
      </c>
      <c r="C799" s="4">
        <v>25.0</v>
      </c>
      <c r="D799" s="6"/>
      <c r="E799" s="66">
        <f t="shared" si="296"/>
        <v>7</v>
      </c>
      <c r="F799" s="13">
        <f t="shared" si="297"/>
        <v>27</v>
      </c>
      <c r="G799" s="6">
        <f t="shared" si="298"/>
        <v>5</v>
      </c>
      <c r="I799" s="4">
        <v>2.0</v>
      </c>
      <c r="K799" s="59">
        <v>5.0</v>
      </c>
      <c r="L799" s="59">
        <v>5.0</v>
      </c>
      <c r="M799" s="59">
        <v>5.0</v>
      </c>
      <c r="N799" s="4">
        <v>3.0</v>
      </c>
      <c r="P799" s="123">
        <v>4.0</v>
      </c>
      <c r="Q799" s="4">
        <v>3.0</v>
      </c>
      <c r="R799" s="90" t="s">
        <v>5</v>
      </c>
      <c r="S799" s="67">
        <v>23.0</v>
      </c>
      <c r="T799" s="66">
        <f t="shared" si="299"/>
        <v>2</v>
      </c>
      <c r="V799" s="67"/>
      <c r="Z799" s="4">
        <v>2.0</v>
      </c>
      <c r="AB799" s="140"/>
      <c r="AC799" s="140"/>
    </row>
    <row r="800">
      <c r="A800" s="11">
        <v>46149.0</v>
      </c>
      <c r="B800" s="114" t="s">
        <v>6</v>
      </c>
      <c r="C800" s="115">
        <v>20.0</v>
      </c>
      <c r="D800" s="6"/>
      <c r="E800" s="66">
        <f t="shared" si="296"/>
        <v>1</v>
      </c>
      <c r="F800" s="13">
        <f t="shared" si="297"/>
        <v>21</v>
      </c>
      <c r="G800" s="6">
        <f t="shared" si="298"/>
        <v>0</v>
      </c>
      <c r="I800" s="115">
        <v>1.0</v>
      </c>
      <c r="J800" s="115"/>
      <c r="K800" s="144">
        <v>4.0</v>
      </c>
      <c r="L800" s="144">
        <v>4.0</v>
      </c>
      <c r="M800" s="144">
        <v>5.0</v>
      </c>
      <c r="N800" s="115">
        <v>2.0</v>
      </c>
      <c r="O800" s="115"/>
      <c r="P800" s="123">
        <v>2.0</v>
      </c>
      <c r="Q800" s="4">
        <v>3.0</v>
      </c>
      <c r="R800" s="90" t="s">
        <v>6</v>
      </c>
      <c r="S800" s="67"/>
      <c r="T800" s="66">
        <f t="shared" si="299"/>
        <v>0</v>
      </c>
      <c r="V800" s="67"/>
      <c r="AB800" s="139"/>
      <c r="AC800" s="139"/>
    </row>
    <row r="801">
      <c r="A801" s="11">
        <v>46149.0</v>
      </c>
      <c r="B801" s="13" t="s">
        <v>7</v>
      </c>
      <c r="C801" s="4">
        <v>23.0</v>
      </c>
      <c r="D801" s="6"/>
      <c r="E801" s="66">
        <f t="shared" si="296"/>
        <v>3</v>
      </c>
      <c r="F801" s="13">
        <f t="shared" si="297"/>
        <v>25</v>
      </c>
      <c r="G801" s="6">
        <f t="shared" si="298"/>
        <v>1</v>
      </c>
      <c r="I801" s="4">
        <v>2.0</v>
      </c>
      <c r="K801" s="59">
        <v>4.0</v>
      </c>
      <c r="L801" s="59">
        <v>4.0</v>
      </c>
      <c r="M801" s="59">
        <v>5.0</v>
      </c>
      <c r="N801" s="4">
        <v>3.0</v>
      </c>
      <c r="P801" s="123">
        <v>4.0</v>
      </c>
      <c r="Q801" s="4">
        <v>3.0</v>
      </c>
      <c r="R801" s="90" t="s">
        <v>7</v>
      </c>
      <c r="S801" s="67"/>
      <c r="T801" s="66">
        <f t="shared" si="299"/>
        <v>1</v>
      </c>
      <c r="V801" s="67"/>
      <c r="Z801" s="4">
        <v>1.0</v>
      </c>
      <c r="AB801" s="140"/>
      <c r="AC801" s="140"/>
    </row>
    <row r="802">
      <c r="A802" s="11">
        <v>46149.0</v>
      </c>
      <c r="B802" s="114" t="s">
        <v>8</v>
      </c>
      <c r="C802" s="115">
        <v>30.0</v>
      </c>
      <c r="D802" s="82"/>
      <c r="E802" s="66">
        <f t="shared" si="296"/>
        <v>3</v>
      </c>
      <c r="F802" s="13">
        <f t="shared" si="297"/>
        <v>33</v>
      </c>
      <c r="G802" s="6">
        <f t="shared" si="298"/>
        <v>0</v>
      </c>
      <c r="I802" s="115">
        <v>2.0</v>
      </c>
      <c r="J802" s="115"/>
      <c r="K802" s="144">
        <v>4.0</v>
      </c>
      <c r="L802" s="144">
        <v>5.0</v>
      </c>
      <c r="M802" s="144">
        <v>7.0</v>
      </c>
      <c r="N802" s="115">
        <v>3.0</v>
      </c>
      <c r="O802" s="115"/>
      <c r="P802" s="123">
        <v>7.0</v>
      </c>
      <c r="Q802" s="4">
        <v>5.0</v>
      </c>
      <c r="R802" s="90" t="s">
        <v>8</v>
      </c>
      <c r="S802" s="67"/>
      <c r="T802" s="66">
        <f t="shared" si="299"/>
        <v>0</v>
      </c>
      <c r="V802" s="67"/>
      <c r="AB802" s="139"/>
      <c r="AC802" s="139"/>
    </row>
    <row r="803">
      <c r="A803" s="11">
        <v>46149.0</v>
      </c>
      <c r="B803" s="13" t="s">
        <v>9</v>
      </c>
      <c r="C803" s="4">
        <v>30.0</v>
      </c>
      <c r="D803" s="6"/>
      <c r="E803" s="66">
        <f t="shared" si="296"/>
        <v>2</v>
      </c>
      <c r="F803" s="13">
        <f t="shared" si="297"/>
        <v>32</v>
      </c>
      <c r="G803" s="6">
        <f t="shared" si="298"/>
        <v>0</v>
      </c>
      <c r="I803" s="4">
        <v>2.0</v>
      </c>
      <c r="K803" s="59">
        <v>5.0</v>
      </c>
      <c r="L803" s="59">
        <v>6.0</v>
      </c>
      <c r="M803" s="59">
        <v>6.0</v>
      </c>
      <c r="N803" s="4">
        <v>5.0</v>
      </c>
      <c r="P803" s="123">
        <v>4.0</v>
      </c>
      <c r="Q803" s="4">
        <v>4.0</v>
      </c>
      <c r="R803" s="90" t="s">
        <v>9</v>
      </c>
      <c r="S803" s="67"/>
      <c r="T803" s="66">
        <f t="shared" si="299"/>
        <v>2</v>
      </c>
      <c r="V803" s="67"/>
      <c r="Z803" s="4">
        <v>2.0</v>
      </c>
      <c r="AB803" s="140"/>
      <c r="AC803" s="140"/>
    </row>
    <row r="804">
      <c r="A804" s="11">
        <v>46149.0</v>
      </c>
      <c r="B804" s="114" t="s">
        <v>10</v>
      </c>
      <c r="C804" s="115">
        <v>25.0</v>
      </c>
      <c r="D804" s="6"/>
      <c r="E804" s="66">
        <f t="shared" si="296"/>
        <v>6</v>
      </c>
      <c r="F804" s="13">
        <f t="shared" si="297"/>
        <v>27</v>
      </c>
      <c r="G804" s="6">
        <f t="shared" si="298"/>
        <v>4</v>
      </c>
      <c r="I804" s="115">
        <v>2.0</v>
      </c>
      <c r="J804" s="115"/>
      <c r="K804" s="144">
        <v>4.0</v>
      </c>
      <c r="L804" s="144">
        <v>5.0</v>
      </c>
      <c r="M804" s="144">
        <v>5.0</v>
      </c>
      <c r="N804" s="115">
        <v>4.0</v>
      </c>
      <c r="O804" s="115"/>
      <c r="P804" s="123">
        <v>3.0</v>
      </c>
      <c r="Q804" s="4">
        <v>4.0</v>
      </c>
      <c r="R804" s="90" t="s">
        <v>10</v>
      </c>
      <c r="S804" s="67">
        <v>3.0</v>
      </c>
      <c r="T804" s="66">
        <f t="shared" si="299"/>
        <v>3</v>
      </c>
      <c r="V804" s="67"/>
      <c r="Z804" s="4">
        <v>3.0</v>
      </c>
      <c r="AB804" s="139"/>
      <c r="AC804" s="139"/>
    </row>
    <row r="805">
      <c r="A805" s="11">
        <v>46149.0</v>
      </c>
      <c r="B805" s="13" t="s">
        <v>11</v>
      </c>
      <c r="C805" s="4">
        <v>20.0</v>
      </c>
      <c r="D805" s="6"/>
      <c r="E805" s="66">
        <f t="shared" si="296"/>
        <v>7</v>
      </c>
      <c r="F805" s="13">
        <f t="shared" si="297"/>
        <v>23</v>
      </c>
      <c r="G805" s="6">
        <f t="shared" si="298"/>
        <v>4</v>
      </c>
      <c r="I805" s="4">
        <v>2.0</v>
      </c>
      <c r="K805" s="59">
        <v>4.0</v>
      </c>
      <c r="L805" s="59">
        <v>4.0</v>
      </c>
      <c r="M805" s="59">
        <v>5.0</v>
      </c>
      <c r="N805" s="4">
        <v>3.0</v>
      </c>
      <c r="P805" s="123">
        <v>3.0</v>
      </c>
      <c r="Q805" s="4">
        <v>2.0</v>
      </c>
      <c r="R805" s="90" t="s">
        <v>11</v>
      </c>
      <c r="S805" s="67">
        <v>1.0</v>
      </c>
      <c r="T805" s="66">
        <f t="shared" si="299"/>
        <v>1</v>
      </c>
      <c r="V805" s="67"/>
      <c r="Z805" s="4">
        <v>1.0</v>
      </c>
      <c r="AB805" s="140"/>
      <c r="AC805" s="140"/>
    </row>
    <row r="806">
      <c r="A806" s="11">
        <v>46149.0</v>
      </c>
      <c r="B806" s="114" t="s">
        <v>12</v>
      </c>
      <c r="C806" s="115">
        <v>20.0</v>
      </c>
      <c r="D806" s="6"/>
      <c r="E806" s="66">
        <f t="shared" si="296"/>
        <v>4</v>
      </c>
      <c r="F806" s="13">
        <f t="shared" si="297"/>
        <v>23</v>
      </c>
      <c r="G806" s="6">
        <f t="shared" si="298"/>
        <v>1</v>
      </c>
      <c r="I806" s="115">
        <v>2.0</v>
      </c>
      <c r="J806" s="115"/>
      <c r="K806" s="144">
        <v>4.0</v>
      </c>
      <c r="L806" s="144">
        <v>4.0</v>
      </c>
      <c r="M806" s="144">
        <v>5.0</v>
      </c>
      <c r="N806" s="115">
        <v>3.0</v>
      </c>
      <c r="O806" s="115"/>
      <c r="P806" s="123">
        <v>3.0</v>
      </c>
      <c r="Q806" s="4">
        <v>2.0</v>
      </c>
      <c r="R806" s="90" t="s">
        <v>12</v>
      </c>
      <c r="S806" s="67"/>
      <c r="T806" s="66">
        <f t="shared" si="299"/>
        <v>0</v>
      </c>
      <c r="V806" s="67"/>
      <c r="AB806" s="139"/>
      <c r="AC806" s="139"/>
    </row>
    <row r="807">
      <c r="A807" s="11">
        <v>46149.0</v>
      </c>
      <c r="B807" s="13" t="s">
        <v>13</v>
      </c>
      <c r="C807" s="4">
        <v>30.0</v>
      </c>
      <c r="D807" s="6"/>
      <c r="E807" s="66">
        <f t="shared" si="296"/>
        <v>1</v>
      </c>
      <c r="F807" s="13">
        <f t="shared" si="297"/>
        <v>31</v>
      </c>
      <c r="G807" s="6">
        <f t="shared" si="298"/>
        <v>0</v>
      </c>
      <c r="I807" s="4">
        <v>3.0</v>
      </c>
      <c r="K807" s="59">
        <v>5.0</v>
      </c>
      <c r="L807" s="59">
        <v>5.0</v>
      </c>
      <c r="M807" s="59">
        <v>7.0</v>
      </c>
      <c r="N807" s="4">
        <v>4.0</v>
      </c>
      <c r="P807" s="123">
        <v>5.0</v>
      </c>
      <c r="Q807" s="4">
        <v>2.0</v>
      </c>
      <c r="R807" s="90" t="s">
        <v>13</v>
      </c>
      <c r="S807" s="67"/>
      <c r="T807" s="66">
        <f t="shared" si="299"/>
        <v>2</v>
      </c>
      <c r="V807" s="67"/>
      <c r="Z807" s="4">
        <v>2.0</v>
      </c>
      <c r="AB807" s="140"/>
      <c r="AC807" s="140"/>
    </row>
    <row r="808">
      <c r="A808" s="11">
        <v>46149.0</v>
      </c>
      <c r="B808" s="114" t="s">
        <v>14</v>
      </c>
      <c r="C808" s="115">
        <v>22.0</v>
      </c>
      <c r="D808" s="6"/>
      <c r="E808" s="66">
        <f t="shared" si="296"/>
        <v>7</v>
      </c>
      <c r="F808" s="13">
        <f t="shared" si="297"/>
        <v>24</v>
      </c>
      <c r="G808" s="6">
        <f t="shared" si="298"/>
        <v>5</v>
      </c>
      <c r="I808" s="115">
        <v>2.0</v>
      </c>
      <c r="J808" s="115"/>
      <c r="K808" s="144">
        <v>5.0</v>
      </c>
      <c r="L808" s="144">
        <v>4.0</v>
      </c>
      <c r="M808" s="144">
        <v>5.0</v>
      </c>
      <c r="N808" s="115">
        <v>3.0</v>
      </c>
      <c r="O808" s="115"/>
      <c r="P808" s="123">
        <v>3.0</v>
      </c>
      <c r="Q808" s="4">
        <v>2.0</v>
      </c>
      <c r="R808" s="90" t="s">
        <v>14</v>
      </c>
      <c r="S808" s="67">
        <v>4.0</v>
      </c>
      <c r="T808" s="66">
        <f t="shared" si="299"/>
        <v>0</v>
      </c>
      <c r="V808" s="67"/>
      <c r="AB808" s="139"/>
      <c r="AC808" s="139"/>
    </row>
    <row r="809">
      <c r="A809" s="11">
        <v>46149.0</v>
      </c>
      <c r="B809" s="13" t="s">
        <v>15</v>
      </c>
      <c r="C809" s="4">
        <v>190.0</v>
      </c>
      <c r="D809" s="6"/>
      <c r="E809" s="66">
        <f t="shared" si="296"/>
        <v>97</v>
      </c>
      <c r="F809" s="13">
        <f t="shared" si="297"/>
        <v>220</v>
      </c>
      <c r="G809" s="6">
        <f t="shared" si="298"/>
        <v>67</v>
      </c>
      <c r="I809" s="4">
        <v>22.0</v>
      </c>
      <c r="K809" s="59">
        <v>35.0</v>
      </c>
      <c r="L809" s="59">
        <v>40.0</v>
      </c>
      <c r="M809" s="59">
        <v>45.0</v>
      </c>
      <c r="N809" s="4">
        <v>22.0</v>
      </c>
      <c r="P809" s="123">
        <v>20.0</v>
      </c>
      <c r="Q809" s="4">
        <v>36.0</v>
      </c>
      <c r="R809" s="90" t="s">
        <v>15</v>
      </c>
      <c r="S809" s="67">
        <f>60+5</f>
        <v>65</v>
      </c>
      <c r="T809" s="66">
        <f t="shared" si="299"/>
        <v>6</v>
      </c>
      <c r="V809" s="67"/>
      <c r="Z809" s="4">
        <v>6.0</v>
      </c>
      <c r="AB809" s="140"/>
      <c r="AC809" s="140"/>
    </row>
    <row r="810">
      <c r="B810" s="4" t="s">
        <v>16</v>
      </c>
      <c r="C810" s="13">
        <f>sum(C798:C809)</f>
        <v>465</v>
      </c>
      <c r="D810" s="6"/>
      <c r="F810" s="13">
        <f t="shared" ref="F810:G810" si="300">sum(F798:F809)</f>
        <v>517</v>
      </c>
      <c r="G810" s="6">
        <f t="shared" si="300"/>
        <v>87</v>
      </c>
      <c r="I810" s="97">
        <f t="shared" ref="I810:Q810" si="301">sum(I798:I809)</f>
        <v>44</v>
      </c>
      <c r="J810" s="97">
        <f t="shared" si="301"/>
        <v>0</v>
      </c>
      <c r="K810" s="97">
        <f t="shared" si="301"/>
        <v>84</v>
      </c>
      <c r="L810" s="97">
        <f t="shared" si="301"/>
        <v>91</v>
      </c>
      <c r="M810" s="97">
        <f t="shared" si="301"/>
        <v>107</v>
      </c>
      <c r="N810" s="97">
        <f t="shared" si="301"/>
        <v>57</v>
      </c>
      <c r="O810" s="97">
        <f t="shared" si="301"/>
        <v>0</v>
      </c>
      <c r="P810" s="97">
        <f t="shared" si="301"/>
        <v>63</v>
      </c>
      <c r="Q810" s="97">
        <f t="shared" si="301"/>
        <v>71</v>
      </c>
      <c r="R810" s="135"/>
      <c r="S810" s="136">
        <f t="shared" ref="S810:AC810" si="302">sum(S798:S809)</f>
        <v>99</v>
      </c>
      <c r="T810" s="136">
        <f t="shared" si="302"/>
        <v>17</v>
      </c>
      <c r="U810" s="135">
        <f t="shared" si="302"/>
        <v>0</v>
      </c>
      <c r="V810" s="136">
        <f t="shared" si="302"/>
        <v>0</v>
      </c>
      <c r="W810" s="135">
        <f t="shared" si="302"/>
        <v>0</v>
      </c>
      <c r="X810" s="135">
        <f t="shared" si="302"/>
        <v>0</v>
      </c>
      <c r="Y810" s="135">
        <f t="shared" si="302"/>
        <v>0</v>
      </c>
      <c r="Z810" s="135">
        <f t="shared" si="302"/>
        <v>17</v>
      </c>
      <c r="AA810" s="135">
        <f t="shared" si="302"/>
        <v>0</v>
      </c>
      <c r="AB810" s="135">
        <f t="shared" si="302"/>
        <v>0</v>
      </c>
      <c r="AC810" s="135">
        <f t="shared" si="302"/>
        <v>0</v>
      </c>
    </row>
    <row r="811">
      <c r="D811" s="6"/>
      <c r="I811" s="13">
        <f t="shared" ref="I811:L811" si="303">I810-U810</f>
        <v>44</v>
      </c>
      <c r="J811" s="66">
        <f t="shared" si="303"/>
        <v>0</v>
      </c>
      <c r="K811" s="13">
        <f t="shared" si="303"/>
        <v>84</v>
      </c>
      <c r="L811" s="13">
        <f t="shared" si="303"/>
        <v>91</v>
      </c>
      <c r="M811" s="66">
        <f>M810-Y109</f>
        <v>104</v>
      </c>
      <c r="N811" s="13">
        <f t="shared" ref="N811:Q811" si="304">N810-Z810</f>
        <v>40</v>
      </c>
      <c r="O811" s="13">
        <f t="shared" si="304"/>
        <v>0</v>
      </c>
      <c r="P811" s="13">
        <f t="shared" si="304"/>
        <v>63</v>
      </c>
      <c r="Q811" s="13">
        <f t="shared" si="304"/>
        <v>71</v>
      </c>
    </row>
    <row r="812">
      <c r="D812" s="6"/>
      <c r="H812" s="149"/>
      <c r="I812" s="149" t="s">
        <v>114</v>
      </c>
      <c r="O812" s="149"/>
    </row>
    <row r="813">
      <c r="D813" s="6"/>
      <c r="G813" s="4" t="s">
        <v>251</v>
      </c>
      <c r="H813" s="75" t="s">
        <v>253</v>
      </c>
      <c r="I813" s="4" t="s">
        <v>93</v>
      </c>
      <c r="J813" s="4" t="s">
        <v>227</v>
      </c>
      <c r="K813" s="4" t="s">
        <v>89</v>
      </c>
      <c r="L813" s="4" t="s">
        <v>80</v>
      </c>
      <c r="M813" s="4" t="s">
        <v>81</v>
      </c>
      <c r="N813" s="4" t="s">
        <v>232</v>
      </c>
      <c r="O813" s="4" t="s">
        <v>265</v>
      </c>
      <c r="P813" s="4" t="s">
        <v>264</v>
      </c>
      <c r="Q813" s="4" t="s">
        <v>280</v>
      </c>
      <c r="R813" s="127" t="s">
        <v>236</v>
      </c>
      <c r="S813" s="128" t="s">
        <v>233</v>
      </c>
      <c r="T813" s="128" t="s">
        <v>234</v>
      </c>
      <c r="U813" s="128" t="s">
        <v>238</v>
      </c>
      <c r="V813" s="128" t="s">
        <v>231</v>
      </c>
      <c r="W813" s="128" t="s">
        <v>239</v>
      </c>
      <c r="X813" s="128" t="s">
        <v>246</v>
      </c>
      <c r="Y813" s="128" t="s">
        <v>247</v>
      </c>
      <c r="Z813" s="128" t="s">
        <v>248</v>
      </c>
      <c r="AA813" s="128" t="s">
        <v>267</v>
      </c>
      <c r="AB813" s="130" t="s">
        <v>268</v>
      </c>
      <c r="AC813" s="130" t="s">
        <v>169</v>
      </c>
    </row>
    <row r="814">
      <c r="B814" s="114" t="s">
        <v>4</v>
      </c>
      <c r="D814" s="6"/>
      <c r="G814" s="66">
        <f t="shared" ref="G814:G825" si="305">S798+T798</f>
        <v>3</v>
      </c>
      <c r="H814" s="119">
        <f t="shared" ref="H814:H825" si="306">G814-sum(I814:Q814)</f>
        <v>0</v>
      </c>
      <c r="K814" s="4">
        <v>1.0</v>
      </c>
      <c r="L814" s="150"/>
      <c r="M814" s="67">
        <v>1.0</v>
      </c>
      <c r="O814" s="67"/>
      <c r="Q814" s="4">
        <v>1.0</v>
      </c>
      <c r="R814" s="154" t="s">
        <v>4</v>
      </c>
      <c r="S814" s="67"/>
      <c r="T814" s="66"/>
      <c r="V814" s="67"/>
      <c r="AB814" s="138"/>
      <c r="AC814" s="138"/>
    </row>
    <row r="815">
      <c r="B815" s="13" t="s">
        <v>5</v>
      </c>
      <c r="D815" s="6"/>
      <c r="G815" s="66">
        <f t="shared" si="305"/>
        <v>25</v>
      </c>
      <c r="H815" s="119">
        <f t="shared" si="306"/>
        <v>0</v>
      </c>
      <c r="K815" s="4">
        <v>9.0</v>
      </c>
      <c r="L815" s="150"/>
      <c r="M815" s="67">
        <v>9.0</v>
      </c>
      <c r="Q815" s="4">
        <v>7.0</v>
      </c>
      <c r="R815" s="154" t="s">
        <v>5</v>
      </c>
      <c r="S815" s="67"/>
      <c r="T815" s="67">
        <v>3.0</v>
      </c>
      <c r="V815" s="67"/>
      <c r="AB815" s="140"/>
      <c r="AC815" s="140"/>
    </row>
    <row r="816">
      <c r="B816" s="114" t="s">
        <v>6</v>
      </c>
      <c r="D816" s="6"/>
      <c r="G816" s="66">
        <f t="shared" si="305"/>
        <v>0</v>
      </c>
      <c r="H816" s="119">
        <f t="shared" si="306"/>
        <v>0</v>
      </c>
      <c r="L816" s="150"/>
      <c r="M816" s="67"/>
      <c r="O816" s="67"/>
      <c r="R816" s="154" t="s">
        <v>6</v>
      </c>
      <c r="S816" s="67"/>
      <c r="T816" s="67">
        <v>1.0</v>
      </c>
      <c r="V816" s="67"/>
      <c r="AB816" s="139"/>
      <c r="AC816" s="139"/>
    </row>
    <row r="817">
      <c r="B817" s="13" t="s">
        <v>7</v>
      </c>
      <c r="D817" s="6"/>
      <c r="G817" s="66">
        <f t="shared" si="305"/>
        <v>1</v>
      </c>
      <c r="H817" s="119">
        <f t="shared" si="306"/>
        <v>0</v>
      </c>
      <c r="L817" s="150"/>
      <c r="M817" s="67"/>
      <c r="O817" s="67"/>
      <c r="Q817" s="4">
        <v>1.0</v>
      </c>
      <c r="R817" s="154" t="s">
        <v>7</v>
      </c>
      <c r="S817" s="67"/>
      <c r="T817" s="66"/>
      <c r="V817" s="67"/>
      <c r="AB817" s="140"/>
      <c r="AC817" s="140"/>
    </row>
    <row r="818">
      <c r="B818" s="114" t="s">
        <v>8</v>
      </c>
      <c r="D818" s="6"/>
      <c r="G818" s="66">
        <f t="shared" si="305"/>
        <v>0</v>
      </c>
      <c r="H818" s="119">
        <f t="shared" si="306"/>
        <v>0</v>
      </c>
      <c r="L818" s="150"/>
      <c r="M818" s="67"/>
      <c r="O818" s="67"/>
      <c r="R818" s="154" t="s">
        <v>8</v>
      </c>
      <c r="S818" s="67"/>
      <c r="T818" s="67">
        <v>1.0</v>
      </c>
      <c r="V818" s="67"/>
      <c r="AB818" s="134"/>
      <c r="AC818" s="134"/>
    </row>
    <row r="819">
      <c r="B819" s="13" t="s">
        <v>9</v>
      </c>
      <c r="D819" s="6"/>
      <c r="G819" s="66">
        <f t="shared" si="305"/>
        <v>2</v>
      </c>
      <c r="H819" s="119">
        <f t="shared" si="306"/>
        <v>0</v>
      </c>
      <c r="L819" s="150"/>
      <c r="O819" s="67"/>
      <c r="Q819" s="4">
        <v>2.0</v>
      </c>
      <c r="R819" s="154" t="s">
        <v>9</v>
      </c>
      <c r="S819" s="67"/>
      <c r="T819" s="67">
        <v>2.0</v>
      </c>
      <c r="V819" s="67"/>
      <c r="AB819" s="133"/>
      <c r="AC819" s="133"/>
    </row>
    <row r="820">
      <c r="B820" s="114" t="s">
        <v>10</v>
      </c>
      <c r="D820" s="6"/>
      <c r="G820" s="66">
        <f t="shared" si="305"/>
        <v>6</v>
      </c>
      <c r="H820" s="119">
        <f t="shared" si="306"/>
        <v>0</v>
      </c>
      <c r="K820" s="4">
        <v>2.0</v>
      </c>
      <c r="L820" s="150"/>
      <c r="M820" s="67">
        <v>2.0</v>
      </c>
      <c r="O820" s="67"/>
      <c r="Q820" s="4">
        <v>2.0</v>
      </c>
      <c r="R820" s="154" t="s">
        <v>10</v>
      </c>
      <c r="S820" s="67"/>
      <c r="T820" s="67">
        <v>2.0</v>
      </c>
      <c r="V820" s="67"/>
      <c r="AB820" s="134"/>
      <c r="AC820" s="134"/>
    </row>
    <row r="821">
      <c r="B821" s="13" t="s">
        <v>11</v>
      </c>
      <c r="D821" s="6"/>
      <c r="G821" s="66">
        <f t="shared" si="305"/>
        <v>2</v>
      </c>
      <c r="H821" s="119">
        <f t="shared" si="306"/>
        <v>0</v>
      </c>
      <c r="L821" s="150"/>
      <c r="M821" s="67">
        <v>1.0</v>
      </c>
      <c r="O821" s="66"/>
      <c r="Q821" s="4">
        <v>1.0</v>
      </c>
      <c r="R821" s="154" t="s">
        <v>11</v>
      </c>
      <c r="S821" s="67"/>
      <c r="T821" s="67">
        <v>2.0</v>
      </c>
      <c r="V821" s="67"/>
      <c r="AB821" s="140"/>
      <c r="AC821" s="140"/>
    </row>
    <row r="822">
      <c r="B822" s="114" t="s">
        <v>12</v>
      </c>
      <c r="D822" s="6"/>
      <c r="G822" s="66">
        <f t="shared" si="305"/>
        <v>0</v>
      </c>
      <c r="H822" s="119">
        <f t="shared" si="306"/>
        <v>0</v>
      </c>
      <c r="L822" s="152"/>
      <c r="O822" s="67"/>
      <c r="R822" s="154" t="s">
        <v>12</v>
      </c>
      <c r="S822" s="67"/>
      <c r="T822" s="67">
        <v>3.0</v>
      </c>
      <c r="V822" s="66"/>
      <c r="AB822" s="139"/>
      <c r="AC822" s="139"/>
    </row>
    <row r="823">
      <c r="B823" s="13" t="s">
        <v>13</v>
      </c>
      <c r="D823" s="6"/>
      <c r="G823" s="66">
        <f t="shared" si="305"/>
        <v>2</v>
      </c>
      <c r="H823" s="119">
        <f t="shared" si="306"/>
        <v>0</v>
      </c>
      <c r="L823" s="150"/>
      <c r="M823" s="4">
        <v>1.0</v>
      </c>
      <c r="Q823" s="4">
        <v>1.0</v>
      </c>
      <c r="R823" s="154" t="s">
        <v>13</v>
      </c>
      <c r="S823" s="67"/>
      <c r="T823" s="67">
        <v>1.0</v>
      </c>
      <c r="V823" s="67"/>
      <c r="AB823" s="140"/>
      <c r="AC823" s="140"/>
    </row>
    <row r="824">
      <c r="B824" s="114" t="s">
        <v>14</v>
      </c>
      <c r="G824" s="66">
        <f t="shared" si="305"/>
        <v>4</v>
      </c>
      <c r="H824" s="119">
        <f t="shared" si="306"/>
        <v>0</v>
      </c>
      <c r="K824" s="67">
        <v>2.0</v>
      </c>
      <c r="L824" s="152"/>
      <c r="M824" s="4">
        <v>2.0</v>
      </c>
      <c r="O824" s="67"/>
      <c r="R824" s="154" t="s">
        <v>14</v>
      </c>
      <c r="S824" s="67"/>
      <c r="T824" s="67">
        <v>4.0</v>
      </c>
      <c r="V824" s="67"/>
      <c r="AB824" s="134"/>
      <c r="AC824" s="134"/>
    </row>
    <row r="825">
      <c r="B825" s="13" t="s">
        <v>15</v>
      </c>
      <c r="G825" s="66">
        <f t="shared" si="305"/>
        <v>71</v>
      </c>
      <c r="H825" s="119">
        <f t="shared" si="306"/>
        <v>0</v>
      </c>
      <c r="K825" s="4">
        <v>20.0</v>
      </c>
      <c r="L825" s="150"/>
      <c r="M825" s="4">
        <v>25.0</v>
      </c>
      <c r="O825" s="67"/>
      <c r="Q825" s="4">
        <v>26.0</v>
      </c>
      <c r="R825" s="154" t="s">
        <v>15</v>
      </c>
      <c r="S825" s="67">
        <v>37.0</v>
      </c>
      <c r="T825" s="67">
        <v>36.0</v>
      </c>
      <c r="V825" s="67"/>
      <c r="AB825" s="140"/>
      <c r="AC825" s="140"/>
    </row>
    <row r="826">
      <c r="G826" s="66">
        <f t="shared" ref="G826:Q826" si="307">sum(G814:G825)</f>
        <v>116</v>
      </c>
      <c r="H826" s="66">
        <f t="shared" si="307"/>
        <v>0</v>
      </c>
      <c r="I826" s="97">
        <f t="shared" si="307"/>
        <v>0</v>
      </c>
      <c r="J826" s="97">
        <f t="shared" si="307"/>
        <v>0</v>
      </c>
      <c r="K826" s="97">
        <f t="shared" si="307"/>
        <v>34</v>
      </c>
      <c r="L826" s="153">
        <f t="shared" si="307"/>
        <v>0</v>
      </c>
      <c r="M826" s="118">
        <f t="shared" si="307"/>
        <v>41</v>
      </c>
      <c r="N826" s="97">
        <f t="shared" si="307"/>
        <v>0</v>
      </c>
      <c r="O826" s="118">
        <f t="shared" si="307"/>
        <v>0</v>
      </c>
      <c r="P826" s="97">
        <f t="shared" si="307"/>
        <v>0</v>
      </c>
      <c r="Q826" s="97">
        <f t="shared" si="307"/>
        <v>41</v>
      </c>
      <c r="R826" s="135"/>
      <c r="S826" s="136">
        <f t="shared" ref="S826:V826" si="308">sum(S814:S825)</f>
        <v>37</v>
      </c>
      <c r="T826" s="136">
        <f t="shared" si="308"/>
        <v>55</v>
      </c>
      <c r="U826" s="135">
        <f t="shared" si="308"/>
        <v>0</v>
      </c>
      <c r="V826" s="136">
        <f t="shared" si="308"/>
        <v>0</v>
      </c>
      <c r="W826" s="137">
        <v>4.0</v>
      </c>
      <c r="X826" s="135">
        <f t="shared" ref="X826:AC826" si="309">sum(X814:X825)</f>
        <v>0</v>
      </c>
      <c r="Y826" s="135">
        <f t="shared" si="309"/>
        <v>0</v>
      </c>
      <c r="Z826" s="135">
        <f t="shared" si="309"/>
        <v>0</v>
      </c>
      <c r="AA826" s="135">
        <f t="shared" si="309"/>
        <v>0</v>
      </c>
      <c r="AB826" s="135">
        <f t="shared" si="309"/>
        <v>0</v>
      </c>
      <c r="AC826" s="135">
        <f t="shared" si="309"/>
        <v>0</v>
      </c>
    </row>
    <row r="827">
      <c r="D827" s="6"/>
    </row>
    <row r="828">
      <c r="A828" s="56"/>
      <c r="B828" s="56"/>
      <c r="C828" s="56"/>
      <c r="D828" s="148"/>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row>
    <row r="829">
      <c r="D829" s="6"/>
    </row>
    <row r="830">
      <c r="C830" s="4" t="s">
        <v>270</v>
      </c>
      <c r="D830" s="82" t="s">
        <v>2</v>
      </c>
      <c r="E830" s="4" t="s">
        <v>272</v>
      </c>
      <c r="F830" s="4" t="s">
        <v>16</v>
      </c>
      <c r="G830" s="4" t="s">
        <v>276</v>
      </c>
      <c r="H830" s="4" t="s">
        <v>277</v>
      </c>
      <c r="I830" s="4" t="s">
        <v>93</v>
      </c>
      <c r="J830" s="4" t="s">
        <v>227</v>
      </c>
      <c r="K830" s="4" t="s">
        <v>89</v>
      </c>
      <c r="L830" s="4" t="s">
        <v>80</v>
      </c>
      <c r="M830" s="4" t="s">
        <v>81</v>
      </c>
      <c r="N830" s="4" t="s">
        <v>232</v>
      </c>
      <c r="O830" s="4" t="s">
        <v>265</v>
      </c>
      <c r="P830" s="4" t="s">
        <v>264</v>
      </c>
      <c r="Q830" s="4" t="s">
        <v>169</v>
      </c>
      <c r="R830" s="127" t="s">
        <v>236</v>
      </c>
      <c r="S830" s="128" t="s">
        <v>233</v>
      </c>
      <c r="T830" s="128" t="s">
        <v>234</v>
      </c>
      <c r="U830" s="128" t="s">
        <v>238</v>
      </c>
      <c r="V830" s="128" t="s">
        <v>231</v>
      </c>
      <c r="W830" s="128" t="s">
        <v>239</v>
      </c>
      <c r="X830" s="128" t="s">
        <v>246</v>
      </c>
      <c r="Y830" s="128" t="s">
        <v>247</v>
      </c>
      <c r="Z830" s="128" t="s">
        <v>248</v>
      </c>
      <c r="AA830" s="128" t="s">
        <v>267</v>
      </c>
      <c r="AB830" s="130" t="s">
        <v>268</v>
      </c>
      <c r="AC830" s="130" t="s">
        <v>169</v>
      </c>
    </row>
    <row r="831">
      <c r="A831" s="11">
        <v>46152.0</v>
      </c>
      <c r="B831" s="114" t="s">
        <v>4</v>
      </c>
      <c r="C831" s="114">
        <f>F831+F847</f>
        <v>61</v>
      </c>
      <c r="D831" s="82">
        <v>6.0</v>
      </c>
      <c r="F831" s="13">
        <f t="shared" ref="F831:F842" si="311">sum(H831:P831)+Q831</f>
        <v>40</v>
      </c>
      <c r="G831" s="6">
        <f t="shared" ref="G831:G842" si="312">C831+D831-F831+E831</f>
        <v>27</v>
      </c>
      <c r="I831" s="115">
        <f t="shared" ref="I831:I836" si="313">J670-U670</f>
        <v>4</v>
      </c>
      <c r="J831" s="115"/>
      <c r="K831" s="115">
        <v>7.0</v>
      </c>
      <c r="L831" s="115">
        <f t="shared" ref="L831:N831" si="310">M670-X670</f>
        <v>7</v>
      </c>
      <c r="M831" s="115">
        <f t="shared" si="310"/>
        <v>7</v>
      </c>
      <c r="N831" s="155">
        <f t="shared" si="310"/>
        <v>3</v>
      </c>
      <c r="O831" s="115"/>
      <c r="P831" s="115">
        <v>7.0</v>
      </c>
      <c r="Q831" s="115">
        <v>5.0</v>
      </c>
      <c r="R831" s="90" t="s">
        <v>4</v>
      </c>
      <c r="S831" s="67">
        <v>20.0</v>
      </c>
      <c r="T831" s="66">
        <f t="shared" ref="T831:T842" si="315">sum(U831:AC831)</f>
        <v>1</v>
      </c>
      <c r="U831" s="4">
        <v>1.0</v>
      </c>
      <c r="V831" s="67"/>
      <c r="AB831" s="138"/>
      <c r="AC831" s="138"/>
    </row>
    <row r="832">
      <c r="A832" s="11">
        <v>46152.0</v>
      </c>
      <c r="B832" s="13" t="s">
        <v>5</v>
      </c>
      <c r="C832" s="13">
        <v>25.0</v>
      </c>
      <c r="D832" s="82">
        <v>6.0</v>
      </c>
      <c r="F832" s="13">
        <f t="shared" si="311"/>
        <v>24</v>
      </c>
      <c r="G832" s="6">
        <f t="shared" si="312"/>
        <v>7</v>
      </c>
      <c r="I832" s="13">
        <f t="shared" si="313"/>
        <v>2</v>
      </c>
      <c r="K832" s="4">
        <v>4.0</v>
      </c>
      <c r="L832" s="4">
        <v>5.0</v>
      </c>
      <c r="M832" s="13">
        <f t="shared" ref="M832:N832" si="314">N671-Y671</f>
        <v>5</v>
      </c>
      <c r="N832" s="156">
        <f t="shared" si="314"/>
        <v>1</v>
      </c>
      <c r="P832" s="13">
        <f>Q671-AB671</f>
        <v>4</v>
      </c>
      <c r="Q832" s="13">
        <v>3.0</v>
      </c>
      <c r="R832" s="90" t="s">
        <v>5</v>
      </c>
      <c r="S832" s="67">
        <v>9.0</v>
      </c>
      <c r="T832" s="66">
        <f t="shared" si="315"/>
        <v>2</v>
      </c>
      <c r="V832" s="67"/>
      <c r="W832" s="4">
        <v>2.0</v>
      </c>
      <c r="AB832" s="140"/>
      <c r="AC832" s="140"/>
    </row>
    <row r="833">
      <c r="A833" s="11">
        <v>46152.0</v>
      </c>
      <c r="B833" s="114" t="s">
        <v>6</v>
      </c>
      <c r="C833" s="114">
        <v>20.0</v>
      </c>
      <c r="D833" s="6"/>
      <c r="F833" s="13">
        <f t="shared" si="311"/>
        <v>21</v>
      </c>
      <c r="G833" s="6">
        <f t="shared" si="312"/>
        <v>-1</v>
      </c>
      <c r="I833" s="115">
        <f t="shared" si="313"/>
        <v>2</v>
      </c>
      <c r="J833" s="115"/>
      <c r="K833" s="115">
        <f t="shared" ref="K833:L833" si="316">L672-W672</f>
        <v>3</v>
      </c>
      <c r="L833" s="115">
        <f t="shared" si="316"/>
        <v>3</v>
      </c>
      <c r="M833" s="115">
        <v>5.0</v>
      </c>
      <c r="N833" s="155">
        <f>O672-Z672</f>
        <v>2</v>
      </c>
      <c r="O833" s="115"/>
      <c r="P833" s="115">
        <v>3.0</v>
      </c>
      <c r="Q833" s="115">
        <v>3.0</v>
      </c>
      <c r="R833" s="90" t="s">
        <v>6</v>
      </c>
      <c r="S833" s="67"/>
      <c r="T833" s="66">
        <f t="shared" si="315"/>
        <v>1</v>
      </c>
      <c r="U833" s="4">
        <v>1.0</v>
      </c>
      <c r="V833" s="67"/>
      <c r="AB833" s="139"/>
      <c r="AC833" s="139"/>
    </row>
    <row r="834">
      <c r="A834" s="11">
        <v>46152.0</v>
      </c>
      <c r="B834" s="13" t="s">
        <v>7</v>
      </c>
      <c r="C834" s="13">
        <v>23.0</v>
      </c>
      <c r="D834" s="6"/>
      <c r="F834" s="13">
        <f t="shared" si="311"/>
        <v>22</v>
      </c>
      <c r="G834" s="6">
        <f t="shared" si="312"/>
        <v>1</v>
      </c>
      <c r="I834" s="13">
        <f t="shared" si="313"/>
        <v>3</v>
      </c>
      <c r="K834" s="4">
        <v>3.0</v>
      </c>
      <c r="L834" s="4">
        <v>4.0</v>
      </c>
      <c r="M834" s="4">
        <v>5.0</v>
      </c>
      <c r="N834" s="155">
        <v>1.0</v>
      </c>
      <c r="P834" s="4">
        <v>3.0</v>
      </c>
      <c r="Q834" s="13">
        <v>3.0</v>
      </c>
      <c r="R834" s="90" t="s">
        <v>7</v>
      </c>
      <c r="S834" s="67"/>
      <c r="T834" s="66">
        <f t="shared" si="315"/>
        <v>3</v>
      </c>
      <c r="U834" s="4">
        <v>2.0</v>
      </c>
      <c r="V834" s="67"/>
      <c r="W834" s="4">
        <v>1.0</v>
      </c>
      <c r="AB834" s="140"/>
      <c r="AC834" s="140"/>
    </row>
    <row r="835">
      <c r="A835" s="11">
        <v>46152.0</v>
      </c>
      <c r="B835" s="114" t="s">
        <v>8</v>
      </c>
      <c r="C835" s="114">
        <v>30.0</v>
      </c>
      <c r="D835" s="82">
        <v>6.0</v>
      </c>
      <c r="F835" s="13">
        <f t="shared" si="311"/>
        <v>34</v>
      </c>
      <c r="G835" s="6">
        <f t="shared" si="312"/>
        <v>2</v>
      </c>
      <c r="I835" s="115">
        <f t="shared" si="313"/>
        <v>4</v>
      </c>
      <c r="J835" s="115"/>
      <c r="K835" s="115">
        <v>5.0</v>
      </c>
      <c r="L835" s="115">
        <v>6.0</v>
      </c>
      <c r="M835" s="115">
        <f>N674-Y674</f>
        <v>7</v>
      </c>
      <c r="N835" s="155">
        <v>2.0</v>
      </c>
      <c r="O835" s="115"/>
      <c r="P835" s="115">
        <v>5.0</v>
      </c>
      <c r="Q835" s="115">
        <v>5.0</v>
      </c>
      <c r="R835" s="90" t="s">
        <v>8</v>
      </c>
      <c r="S835" s="67">
        <v>15.0</v>
      </c>
      <c r="T835" s="66">
        <f t="shared" si="315"/>
        <v>1</v>
      </c>
      <c r="U835" s="4">
        <v>1.0</v>
      </c>
      <c r="V835" s="67"/>
      <c r="AB835" s="139"/>
      <c r="AC835" s="139"/>
    </row>
    <row r="836">
      <c r="A836" s="11">
        <v>46152.0</v>
      </c>
      <c r="B836" s="13" t="s">
        <v>9</v>
      </c>
      <c r="C836" s="13">
        <v>30.0</v>
      </c>
      <c r="D836" s="6"/>
      <c r="F836" s="13">
        <f t="shared" si="311"/>
        <v>31</v>
      </c>
      <c r="G836" s="6">
        <f t="shared" si="312"/>
        <v>-1</v>
      </c>
      <c r="I836" s="13">
        <f t="shared" si="313"/>
        <v>2</v>
      </c>
      <c r="K836" s="4">
        <v>5.0</v>
      </c>
      <c r="L836" s="13">
        <f t="shared" ref="L836:N836" si="317">M675-X675</f>
        <v>5</v>
      </c>
      <c r="M836" s="13">
        <f t="shared" si="317"/>
        <v>7</v>
      </c>
      <c r="N836" s="156">
        <f t="shared" si="317"/>
        <v>3</v>
      </c>
      <c r="P836" s="13">
        <f>Q675-AB675</f>
        <v>5</v>
      </c>
      <c r="Q836" s="13">
        <v>4.0</v>
      </c>
      <c r="R836" s="90" t="s">
        <v>9</v>
      </c>
      <c r="S836" s="67">
        <v>1.0</v>
      </c>
      <c r="T836" s="66">
        <f t="shared" si="315"/>
        <v>2</v>
      </c>
      <c r="U836" s="4">
        <v>1.0</v>
      </c>
      <c r="V836" s="67"/>
      <c r="W836" s="4">
        <v>1.0</v>
      </c>
      <c r="AB836" s="140"/>
      <c r="AC836" s="140"/>
    </row>
    <row r="837">
      <c r="A837" s="11">
        <v>46152.0</v>
      </c>
      <c r="B837" s="114" t="s">
        <v>10</v>
      </c>
      <c r="C837" s="114">
        <v>25.0</v>
      </c>
      <c r="D837" s="6"/>
      <c r="F837" s="13">
        <f t="shared" si="311"/>
        <v>24</v>
      </c>
      <c r="G837" s="6">
        <f t="shared" si="312"/>
        <v>1</v>
      </c>
      <c r="I837" s="115">
        <v>1.0</v>
      </c>
      <c r="J837" s="115"/>
      <c r="K837" s="115">
        <v>4.0</v>
      </c>
      <c r="L837" s="115">
        <f t="shared" ref="L837:N837" si="318">M676-X676</f>
        <v>5</v>
      </c>
      <c r="M837" s="115">
        <f t="shared" si="318"/>
        <v>5</v>
      </c>
      <c r="N837" s="155">
        <f t="shared" si="318"/>
        <v>2</v>
      </c>
      <c r="O837" s="115"/>
      <c r="P837" s="115">
        <v>3.0</v>
      </c>
      <c r="Q837" s="115">
        <v>4.0</v>
      </c>
      <c r="R837" s="90" t="s">
        <v>10</v>
      </c>
      <c r="S837" s="67">
        <v>3.0</v>
      </c>
      <c r="T837" s="66">
        <f t="shared" si="315"/>
        <v>0</v>
      </c>
      <c r="V837" s="67"/>
      <c r="AB837" s="139"/>
      <c r="AC837" s="139"/>
    </row>
    <row r="838">
      <c r="A838" s="11">
        <v>46152.0</v>
      </c>
      <c r="B838" s="13" t="s">
        <v>11</v>
      </c>
      <c r="C838" s="13">
        <v>20.0</v>
      </c>
      <c r="D838" s="6"/>
      <c r="F838" s="13">
        <f t="shared" si="311"/>
        <v>18</v>
      </c>
      <c r="G838" s="6">
        <f t="shared" si="312"/>
        <v>2</v>
      </c>
      <c r="I838" s="13">
        <f t="shared" ref="I838:I839" si="320">J677-U677</f>
        <v>1</v>
      </c>
      <c r="K838" s="13">
        <f t="shared" ref="K838:M838" si="319">L677-W677</f>
        <v>4</v>
      </c>
      <c r="L838" s="13">
        <f t="shared" si="319"/>
        <v>3</v>
      </c>
      <c r="M838" s="13">
        <f t="shared" si="319"/>
        <v>5</v>
      </c>
      <c r="N838" s="155">
        <v>1.0</v>
      </c>
      <c r="P838" s="4">
        <v>2.0</v>
      </c>
      <c r="Q838" s="13">
        <v>2.0</v>
      </c>
      <c r="R838" s="90" t="s">
        <v>11</v>
      </c>
      <c r="S838" s="67">
        <v>3.0</v>
      </c>
      <c r="T838" s="66">
        <f t="shared" si="315"/>
        <v>2</v>
      </c>
      <c r="V838" s="67"/>
      <c r="Y838" s="4">
        <v>2.0</v>
      </c>
      <c r="AB838" s="140"/>
      <c r="AC838" s="140"/>
    </row>
    <row r="839">
      <c r="A839" s="11">
        <v>46152.0</v>
      </c>
      <c r="B839" s="114" t="s">
        <v>12</v>
      </c>
      <c r="C839" s="114">
        <v>20.0</v>
      </c>
      <c r="D839" s="6"/>
      <c r="F839" s="13">
        <f t="shared" si="311"/>
        <v>21</v>
      </c>
      <c r="G839" s="6">
        <f t="shared" si="312"/>
        <v>-1</v>
      </c>
      <c r="I839" s="115">
        <f t="shared" si="320"/>
        <v>1</v>
      </c>
      <c r="J839" s="115"/>
      <c r="K839" s="115">
        <v>4.0</v>
      </c>
      <c r="L839" s="115">
        <v>4.0</v>
      </c>
      <c r="M839" s="115">
        <f t="shared" ref="M839:N839" si="321">N678-Y678</f>
        <v>5</v>
      </c>
      <c r="N839" s="155">
        <f t="shared" si="321"/>
        <v>2</v>
      </c>
      <c r="O839" s="115"/>
      <c r="P839" s="115">
        <f>Q678-AB678</f>
        <v>3</v>
      </c>
      <c r="Q839" s="115">
        <v>2.0</v>
      </c>
      <c r="R839" s="90" t="s">
        <v>12</v>
      </c>
      <c r="S839" s="67"/>
      <c r="T839" s="66">
        <f t="shared" si="315"/>
        <v>5</v>
      </c>
      <c r="V839" s="67"/>
      <c r="W839" s="4">
        <v>3.0</v>
      </c>
      <c r="Y839" s="4">
        <v>2.0</v>
      </c>
      <c r="AB839" s="139"/>
      <c r="AC839" s="139"/>
    </row>
    <row r="840">
      <c r="A840" s="11">
        <v>46152.0</v>
      </c>
      <c r="B840" s="13" t="s">
        <v>13</v>
      </c>
      <c r="C840" s="13">
        <v>30.0</v>
      </c>
      <c r="D840" s="82">
        <v>6.0</v>
      </c>
      <c r="F840" s="13">
        <f t="shared" si="311"/>
        <v>26</v>
      </c>
      <c r="G840" s="6">
        <f t="shared" si="312"/>
        <v>10</v>
      </c>
      <c r="I840" s="4">
        <v>2.0</v>
      </c>
      <c r="K840" s="4">
        <v>4.0</v>
      </c>
      <c r="L840" s="13">
        <f t="shared" ref="L840:N840" si="322">M679-X679</f>
        <v>5</v>
      </c>
      <c r="M840" s="13">
        <f t="shared" si="322"/>
        <v>7</v>
      </c>
      <c r="N840" s="156">
        <f t="shared" si="322"/>
        <v>2</v>
      </c>
      <c r="P840" s="4">
        <v>4.0</v>
      </c>
      <c r="Q840" s="13">
        <v>2.0</v>
      </c>
      <c r="R840" s="90" t="s">
        <v>13</v>
      </c>
      <c r="S840" s="67">
        <v>13.0</v>
      </c>
      <c r="T840" s="66">
        <f t="shared" si="315"/>
        <v>0</v>
      </c>
      <c r="V840" s="67"/>
      <c r="AB840" s="140"/>
      <c r="AC840" s="140"/>
    </row>
    <row r="841">
      <c r="A841" s="11">
        <v>46152.0</v>
      </c>
      <c r="B841" s="114" t="s">
        <v>14</v>
      </c>
      <c r="C841" s="114">
        <v>22.0</v>
      </c>
      <c r="D841" s="6"/>
      <c r="F841" s="13">
        <f t="shared" si="311"/>
        <v>21</v>
      </c>
      <c r="G841" s="6">
        <f t="shared" si="312"/>
        <v>1</v>
      </c>
      <c r="I841" s="115">
        <v>2.0</v>
      </c>
      <c r="J841" s="115"/>
      <c r="K841" s="115">
        <v>4.0</v>
      </c>
      <c r="L841" s="115">
        <v>5.0</v>
      </c>
      <c r="M841" s="115">
        <f t="shared" ref="M841:N841" si="323">N680-Y680</f>
        <v>5</v>
      </c>
      <c r="N841" s="155">
        <f t="shared" si="323"/>
        <v>1</v>
      </c>
      <c r="O841" s="115"/>
      <c r="P841" s="115">
        <v>2.0</v>
      </c>
      <c r="Q841" s="115">
        <v>2.0</v>
      </c>
      <c r="R841" s="90" t="s">
        <v>14</v>
      </c>
      <c r="S841" s="67">
        <v>3.0</v>
      </c>
      <c r="T841" s="66">
        <f t="shared" si="315"/>
        <v>2</v>
      </c>
      <c r="U841" s="4">
        <v>1.0</v>
      </c>
      <c r="V841" s="67"/>
      <c r="W841" s="4">
        <v>1.0</v>
      </c>
      <c r="AB841" s="139"/>
      <c r="AC841" s="139"/>
    </row>
    <row r="842">
      <c r="A842" s="11">
        <v>46152.0</v>
      </c>
      <c r="B842" s="13" t="s">
        <v>15</v>
      </c>
      <c r="C842" s="4">
        <v>203.0</v>
      </c>
      <c r="D842" s="82">
        <v>6.0</v>
      </c>
      <c r="F842" s="13">
        <f t="shared" si="311"/>
        <v>217</v>
      </c>
      <c r="G842" s="6">
        <f t="shared" si="312"/>
        <v>-8</v>
      </c>
      <c r="I842" s="4">
        <v>20.0</v>
      </c>
      <c r="K842" s="4">
        <v>36.0</v>
      </c>
      <c r="L842" s="13">
        <f>M681-X681</f>
        <v>35</v>
      </c>
      <c r="M842" s="4">
        <v>45.0</v>
      </c>
      <c r="N842" s="155">
        <v>25.0</v>
      </c>
      <c r="P842" s="4">
        <v>20.0</v>
      </c>
      <c r="Q842" s="13">
        <v>36.0</v>
      </c>
      <c r="R842" s="90" t="s">
        <v>15</v>
      </c>
      <c r="S842" s="67">
        <v>16.0</v>
      </c>
      <c r="T842" s="66">
        <f t="shared" si="315"/>
        <v>7</v>
      </c>
      <c r="U842" s="4">
        <v>7.0</v>
      </c>
      <c r="V842" s="67"/>
      <c r="AB842" s="140"/>
      <c r="AC842" s="140"/>
    </row>
    <row r="843">
      <c r="A843" s="11">
        <v>46152.0</v>
      </c>
      <c r="B843" s="4" t="s">
        <v>16</v>
      </c>
      <c r="C843" s="13">
        <f>sum(C831:C842)</f>
        <v>509</v>
      </c>
      <c r="D843" s="6"/>
      <c r="F843" s="13">
        <f t="shared" ref="F843:G843" si="324">sum(F831:F842)</f>
        <v>499</v>
      </c>
      <c r="G843" s="6">
        <f t="shared" si="324"/>
        <v>40</v>
      </c>
      <c r="I843" s="157">
        <f t="shared" ref="I843:Q843" si="325">sum(I831:I842)</f>
        <v>44</v>
      </c>
      <c r="J843" s="157">
        <f t="shared" si="325"/>
        <v>0</v>
      </c>
      <c r="K843" s="157">
        <f t="shared" si="325"/>
        <v>83</v>
      </c>
      <c r="L843" s="157">
        <f t="shared" si="325"/>
        <v>87</v>
      </c>
      <c r="M843" s="157">
        <f t="shared" si="325"/>
        <v>108</v>
      </c>
      <c r="N843" s="157">
        <f t="shared" si="325"/>
        <v>45</v>
      </c>
      <c r="O843" s="157">
        <f t="shared" si="325"/>
        <v>0</v>
      </c>
      <c r="P843" s="157">
        <f t="shared" si="325"/>
        <v>61</v>
      </c>
      <c r="Q843" s="157">
        <f t="shared" si="325"/>
        <v>71</v>
      </c>
      <c r="R843" s="135"/>
      <c r="S843" s="136">
        <f t="shared" ref="S843:AC843" si="326">sum(S831:S842)</f>
        <v>83</v>
      </c>
      <c r="T843" s="136">
        <f t="shared" si="326"/>
        <v>26</v>
      </c>
      <c r="U843" s="135">
        <f t="shared" si="326"/>
        <v>14</v>
      </c>
      <c r="V843" s="136">
        <f t="shared" si="326"/>
        <v>0</v>
      </c>
      <c r="W843" s="135">
        <f t="shared" si="326"/>
        <v>8</v>
      </c>
      <c r="X843" s="135">
        <f t="shared" si="326"/>
        <v>0</v>
      </c>
      <c r="Y843" s="135">
        <f t="shared" si="326"/>
        <v>4</v>
      </c>
      <c r="Z843" s="135">
        <f t="shared" si="326"/>
        <v>0</v>
      </c>
      <c r="AA843" s="135">
        <f t="shared" si="326"/>
        <v>0</v>
      </c>
      <c r="AB843" s="135">
        <f t="shared" si="326"/>
        <v>0</v>
      </c>
      <c r="AC843" s="135">
        <f t="shared" si="326"/>
        <v>0</v>
      </c>
    </row>
    <row r="844">
      <c r="D844" s="6">
        <f>C843*13000+3000*22</f>
        <v>6683000</v>
      </c>
      <c r="I844" s="13">
        <f t="shared" ref="I844:Q844" si="327">I843-U843</f>
        <v>30</v>
      </c>
      <c r="J844" s="66">
        <f t="shared" si="327"/>
        <v>0</v>
      </c>
      <c r="K844" s="13">
        <f t="shared" si="327"/>
        <v>75</v>
      </c>
      <c r="L844" s="13">
        <f t="shared" si="327"/>
        <v>87</v>
      </c>
      <c r="M844" s="13">
        <f t="shared" si="327"/>
        <v>104</v>
      </c>
      <c r="N844" s="13">
        <f t="shared" si="327"/>
        <v>45</v>
      </c>
      <c r="O844" s="13">
        <f t="shared" si="327"/>
        <v>0</v>
      </c>
      <c r="P844" s="13">
        <f t="shared" si="327"/>
        <v>61</v>
      </c>
      <c r="Q844" s="13">
        <f t="shared" si="327"/>
        <v>71</v>
      </c>
    </row>
    <row r="845">
      <c r="D845" s="6"/>
      <c r="H845" s="149"/>
      <c r="I845" s="149" t="s">
        <v>114</v>
      </c>
      <c r="O845" s="149"/>
    </row>
    <row r="846">
      <c r="D846" s="6"/>
      <c r="F846" s="4" t="s">
        <v>16</v>
      </c>
      <c r="G846" s="4" t="s">
        <v>251</v>
      </c>
      <c r="H846" s="75" t="s">
        <v>253</v>
      </c>
      <c r="I846" s="4" t="s">
        <v>93</v>
      </c>
      <c r="J846" s="4" t="s">
        <v>227</v>
      </c>
      <c r="K846" s="4" t="s">
        <v>89</v>
      </c>
      <c r="L846" s="4" t="s">
        <v>80</v>
      </c>
      <c r="M846" s="4" t="s">
        <v>81</v>
      </c>
      <c r="N846" s="4" t="s">
        <v>232</v>
      </c>
      <c r="O846" s="4" t="s">
        <v>265</v>
      </c>
      <c r="P846" s="4" t="s">
        <v>264</v>
      </c>
      <c r="Q846" s="4" t="s">
        <v>280</v>
      </c>
      <c r="R846" s="127" t="s">
        <v>236</v>
      </c>
      <c r="S846" s="128" t="s">
        <v>233</v>
      </c>
      <c r="T846" s="128" t="s">
        <v>234</v>
      </c>
      <c r="U846" s="128" t="s">
        <v>238</v>
      </c>
      <c r="V846" s="128" t="s">
        <v>231</v>
      </c>
      <c r="W846" s="128" t="s">
        <v>239</v>
      </c>
      <c r="X846" s="128" t="s">
        <v>246</v>
      </c>
      <c r="Y846" s="128" t="s">
        <v>247</v>
      </c>
      <c r="Z846" s="128" t="s">
        <v>248</v>
      </c>
      <c r="AA846" s="128" t="s">
        <v>267</v>
      </c>
      <c r="AB846" s="130" t="s">
        <v>268</v>
      </c>
      <c r="AC846" s="130" t="s">
        <v>169</v>
      </c>
    </row>
    <row r="847">
      <c r="B847" s="114" t="s">
        <v>4</v>
      </c>
      <c r="D847" s="6"/>
      <c r="F847" s="13">
        <f t="shared" ref="F847:F858" si="328">sum(I847:Q847)</f>
        <v>21</v>
      </c>
      <c r="G847" s="66">
        <f t="shared" ref="G847:G858" si="329">S831+T831</f>
        <v>21</v>
      </c>
      <c r="H847" s="119">
        <f t="shared" ref="H847:H858" si="330">G847-sum(I847:Q847)</f>
        <v>0</v>
      </c>
      <c r="K847" s="4">
        <v>7.0</v>
      </c>
      <c r="L847" s="150"/>
      <c r="M847" s="67">
        <v>7.0</v>
      </c>
      <c r="O847" s="67"/>
      <c r="Q847" s="4">
        <v>7.0</v>
      </c>
      <c r="R847" s="154" t="s">
        <v>4</v>
      </c>
      <c r="S847" s="67"/>
      <c r="T847" s="66"/>
      <c r="V847" s="67"/>
      <c r="AB847" s="138"/>
      <c r="AC847" s="138"/>
    </row>
    <row r="848">
      <c r="B848" s="13" t="s">
        <v>5</v>
      </c>
      <c r="D848" s="6"/>
      <c r="F848" s="13">
        <f t="shared" si="328"/>
        <v>11</v>
      </c>
      <c r="G848" s="66">
        <f t="shared" si="329"/>
        <v>11</v>
      </c>
      <c r="H848" s="119">
        <f t="shared" si="330"/>
        <v>0</v>
      </c>
      <c r="K848" s="4">
        <v>4.0</v>
      </c>
      <c r="L848" s="150"/>
      <c r="M848" s="67">
        <v>3.0</v>
      </c>
      <c r="Q848" s="4">
        <v>4.0</v>
      </c>
      <c r="R848" s="154" t="s">
        <v>5</v>
      </c>
      <c r="S848" s="67"/>
      <c r="T848" s="67">
        <v>3.0</v>
      </c>
      <c r="V848" s="67"/>
      <c r="AB848" s="140"/>
      <c r="AC848" s="140"/>
    </row>
    <row r="849">
      <c r="B849" s="114" t="s">
        <v>6</v>
      </c>
      <c r="D849" s="6"/>
      <c r="F849" s="13">
        <f t="shared" si="328"/>
        <v>1</v>
      </c>
      <c r="G849" s="66">
        <f t="shared" si="329"/>
        <v>1</v>
      </c>
      <c r="H849" s="119">
        <f t="shared" si="330"/>
        <v>0</v>
      </c>
      <c r="L849" s="150"/>
      <c r="M849" s="67"/>
      <c r="O849" s="67"/>
      <c r="Q849" s="4">
        <v>1.0</v>
      </c>
      <c r="R849" s="154" t="s">
        <v>6</v>
      </c>
      <c r="S849" s="67"/>
      <c r="T849" s="67">
        <v>1.0</v>
      </c>
      <c r="V849" s="67"/>
      <c r="AB849" s="139"/>
      <c r="AC849" s="139"/>
    </row>
    <row r="850">
      <c r="B850" s="13" t="s">
        <v>7</v>
      </c>
      <c r="D850" s="6"/>
      <c r="F850" s="13">
        <f t="shared" si="328"/>
        <v>3</v>
      </c>
      <c r="G850" s="66">
        <f t="shared" si="329"/>
        <v>3</v>
      </c>
      <c r="H850" s="119">
        <f t="shared" si="330"/>
        <v>0</v>
      </c>
      <c r="K850" s="4">
        <v>1.0</v>
      </c>
      <c r="L850" s="150"/>
      <c r="M850" s="67">
        <v>1.0</v>
      </c>
      <c r="O850" s="67"/>
      <c r="Q850" s="4">
        <v>1.0</v>
      </c>
      <c r="R850" s="154" t="s">
        <v>7</v>
      </c>
      <c r="S850" s="67"/>
      <c r="T850" s="66"/>
      <c r="V850" s="67"/>
      <c r="AB850" s="140"/>
      <c r="AC850" s="140"/>
    </row>
    <row r="851">
      <c r="B851" s="114" t="s">
        <v>8</v>
      </c>
      <c r="D851" s="6"/>
      <c r="F851" s="13">
        <f t="shared" si="328"/>
        <v>16</v>
      </c>
      <c r="G851" s="66">
        <f t="shared" si="329"/>
        <v>16</v>
      </c>
      <c r="H851" s="119">
        <f t="shared" si="330"/>
        <v>0</v>
      </c>
      <c r="K851" s="4">
        <v>5.0</v>
      </c>
      <c r="L851" s="150"/>
      <c r="M851" s="67">
        <v>5.0</v>
      </c>
      <c r="O851" s="67"/>
      <c r="Q851" s="4">
        <v>6.0</v>
      </c>
      <c r="R851" s="154" t="s">
        <v>8</v>
      </c>
      <c r="S851" s="67"/>
      <c r="T851" s="67">
        <v>1.0</v>
      </c>
      <c r="V851" s="67"/>
      <c r="AB851" s="134"/>
      <c r="AC851" s="134"/>
    </row>
    <row r="852">
      <c r="B852" s="13" t="s">
        <v>9</v>
      </c>
      <c r="D852" s="6"/>
      <c r="F852" s="13">
        <f t="shared" si="328"/>
        <v>3</v>
      </c>
      <c r="G852" s="66">
        <f t="shared" si="329"/>
        <v>3</v>
      </c>
      <c r="H852" s="119">
        <f t="shared" si="330"/>
        <v>0</v>
      </c>
      <c r="K852" s="4">
        <v>1.0</v>
      </c>
      <c r="L852" s="150"/>
      <c r="M852" s="4">
        <v>1.0</v>
      </c>
      <c r="O852" s="67"/>
      <c r="Q852" s="4">
        <v>1.0</v>
      </c>
      <c r="R852" s="154" t="s">
        <v>9</v>
      </c>
      <c r="S852" s="67"/>
      <c r="T852" s="67">
        <v>2.0</v>
      </c>
      <c r="V852" s="67"/>
      <c r="AB852" s="133"/>
      <c r="AC852" s="133"/>
    </row>
    <row r="853">
      <c r="B853" s="114" t="s">
        <v>10</v>
      </c>
      <c r="D853" s="6"/>
      <c r="F853" s="13">
        <f t="shared" si="328"/>
        <v>3</v>
      </c>
      <c r="G853" s="66">
        <f t="shared" si="329"/>
        <v>3</v>
      </c>
      <c r="H853" s="119">
        <f t="shared" si="330"/>
        <v>0</v>
      </c>
      <c r="K853" s="4">
        <v>1.0</v>
      </c>
      <c r="L853" s="150"/>
      <c r="M853" s="67">
        <v>1.0</v>
      </c>
      <c r="O853" s="67"/>
      <c r="Q853" s="4">
        <v>1.0</v>
      </c>
      <c r="R853" s="154" t="s">
        <v>10</v>
      </c>
      <c r="S853" s="67"/>
      <c r="T853" s="67">
        <v>2.0</v>
      </c>
      <c r="V853" s="67"/>
      <c r="AB853" s="134"/>
      <c r="AC853" s="134"/>
    </row>
    <row r="854">
      <c r="B854" s="13" t="s">
        <v>11</v>
      </c>
      <c r="D854" s="6"/>
      <c r="F854" s="13">
        <f t="shared" si="328"/>
        <v>5</v>
      </c>
      <c r="G854" s="66">
        <f t="shared" si="329"/>
        <v>5</v>
      </c>
      <c r="H854" s="119">
        <f t="shared" si="330"/>
        <v>0</v>
      </c>
      <c r="K854" s="4">
        <v>2.0</v>
      </c>
      <c r="L854" s="150"/>
      <c r="M854" s="67">
        <v>2.0</v>
      </c>
      <c r="O854" s="66"/>
      <c r="Q854" s="4">
        <v>1.0</v>
      </c>
      <c r="R854" s="154" t="s">
        <v>11</v>
      </c>
      <c r="S854" s="67"/>
      <c r="T854" s="67">
        <v>2.0</v>
      </c>
      <c r="V854" s="67"/>
      <c r="AB854" s="140"/>
      <c r="AC854" s="140"/>
    </row>
    <row r="855">
      <c r="B855" s="114" t="s">
        <v>12</v>
      </c>
      <c r="D855" s="6"/>
      <c r="F855" s="13">
        <f t="shared" si="328"/>
        <v>5</v>
      </c>
      <c r="G855" s="66">
        <f t="shared" si="329"/>
        <v>5</v>
      </c>
      <c r="H855" s="119">
        <f t="shared" si="330"/>
        <v>0</v>
      </c>
      <c r="K855" s="4">
        <v>1.0</v>
      </c>
      <c r="L855" s="152"/>
      <c r="M855" s="4">
        <v>2.0</v>
      </c>
      <c r="O855" s="67"/>
      <c r="Q855" s="4">
        <v>2.0</v>
      </c>
      <c r="R855" s="154" t="s">
        <v>12</v>
      </c>
      <c r="S855" s="67"/>
      <c r="T855" s="67">
        <v>3.0</v>
      </c>
      <c r="V855" s="66"/>
      <c r="AB855" s="139"/>
      <c r="AC855" s="139"/>
    </row>
    <row r="856">
      <c r="B856" s="13" t="s">
        <v>13</v>
      </c>
      <c r="D856" s="6"/>
      <c r="F856" s="13">
        <f t="shared" si="328"/>
        <v>13</v>
      </c>
      <c r="G856" s="66">
        <f t="shared" si="329"/>
        <v>13</v>
      </c>
      <c r="H856" s="119">
        <f t="shared" si="330"/>
        <v>0</v>
      </c>
      <c r="K856" s="4">
        <v>4.0</v>
      </c>
      <c r="L856" s="150"/>
      <c r="M856" s="4">
        <v>4.0</v>
      </c>
      <c r="Q856" s="4">
        <v>5.0</v>
      </c>
      <c r="R856" s="154" t="s">
        <v>13</v>
      </c>
      <c r="S856" s="67"/>
      <c r="T856" s="67">
        <v>1.0</v>
      </c>
      <c r="V856" s="67"/>
      <c r="AB856" s="140"/>
      <c r="AC856" s="140"/>
    </row>
    <row r="857">
      <c r="B857" s="114" t="s">
        <v>14</v>
      </c>
      <c r="F857" s="13">
        <f t="shared" si="328"/>
        <v>5</v>
      </c>
      <c r="G857" s="66">
        <f t="shared" si="329"/>
        <v>5</v>
      </c>
      <c r="H857" s="119">
        <f t="shared" si="330"/>
        <v>0</v>
      </c>
      <c r="K857" s="67">
        <v>2.0</v>
      </c>
      <c r="L857" s="152"/>
      <c r="M857" s="4">
        <v>2.0</v>
      </c>
      <c r="O857" s="67"/>
      <c r="Q857" s="4">
        <v>1.0</v>
      </c>
      <c r="R857" s="154" t="s">
        <v>14</v>
      </c>
      <c r="S857" s="67"/>
      <c r="T857" s="67">
        <v>4.0</v>
      </c>
      <c r="V857" s="67"/>
      <c r="AB857" s="134"/>
      <c r="AC857" s="134"/>
    </row>
    <row r="858">
      <c r="B858" s="13" t="s">
        <v>15</v>
      </c>
      <c r="F858" s="13">
        <f t="shared" si="328"/>
        <v>23</v>
      </c>
      <c r="G858" s="66">
        <f t="shared" si="329"/>
        <v>23</v>
      </c>
      <c r="H858" s="119">
        <f t="shared" si="330"/>
        <v>0</v>
      </c>
      <c r="K858" s="4">
        <v>8.0</v>
      </c>
      <c r="L858" s="150"/>
      <c r="M858" s="4">
        <v>8.0</v>
      </c>
      <c r="O858" s="67"/>
      <c r="Q858" s="4">
        <v>7.0</v>
      </c>
      <c r="R858" s="154" t="s">
        <v>15</v>
      </c>
      <c r="S858" s="67">
        <v>37.0</v>
      </c>
      <c r="T858" s="67">
        <v>36.0</v>
      </c>
      <c r="V858" s="67"/>
      <c r="AB858" s="140"/>
      <c r="AC858" s="140"/>
    </row>
    <row r="859">
      <c r="G859" s="66">
        <f t="shared" ref="G859:Q859" si="331">sum(G847:G858)</f>
        <v>109</v>
      </c>
      <c r="H859" s="66">
        <f t="shared" si="331"/>
        <v>0</v>
      </c>
      <c r="I859" s="97">
        <f t="shared" si="331"/>
        <v>0</v>
      </c>
      <c r="J859" s="97">
        <f t="shared" si="331"/>
        <v>0</v>
      </c>
      <c r="K859" s="97">
        <f t="shared" si="331"/>
        <v>36</v>
      </c>
      <c r="L859" s="153">
        <f t="shared" si="331"/>
        <v>0</v>
      </c>
      <c r="M859" s="118">
        <f t="shared" si="331"/>
        <v>36</v>
      </c>
      <c r="N859" s="97">
        <f t="shared" si="331"/>
        <v>0</v>
      </c>
      <c r="O859" s="118">
        <f t="shared" si="331"/>
        <v>0</v>
      </c>
      <c r="P859" s="97">
        <f t="shared" si="331"/>
        <v>0</v>
      </c>
      <c r="Q859" s="97">
        <f t="shared" si="331"/>
        <v>37</v>
      </c>
      <c r="R859" s="135"/>
      <c r="S859" s="136">
        <f t="shared" ref="S859:V859" si="332">sum(S847:S858)</f>
        <v>37</v>
      </c>
      <c r="T859" s="136">
        <f t="shared" si="332"/>
        <v>55</v>
      </c>
      <c r="U859" s="135">
        <f t="shared" si="332"/>
        <v>0</v>
      </c>
      <c r="V859" s="136">
        <f t="shared" si="332"/>
        <v>0</v>
      </c>
      <c r="W859" s="137">
        <v>4.0</v>
      </c>
      <c r="X859" s="135">
        <f t="shared" ref="X859:AC859" si="333">sum(X847:X858)</f>
        <v>0</v>
      </c>
      <c r="Y859" s="135">
        <f t="shared" si="333"/>
        <v>0</v>
      </c>
      <c r="Z859" s="135">
        <f t="shared" si="333"/>
        <v>0</v>
      </c>
      <c r="AA859" s="135">
        <f t="shared" si="333"/>
        <v>0</v>
      </c>
      <c r="AB859" s="135">
        <f t="shared" si="333"/>
        <v>0</v>
      </c>
      <c r="AC859" s="135">
        <f t="shared" si="333"/>
        <v>0</v>
      </c>
    </row>
    <row r="860">
      <c r="D860" s="6"/>
    </row>
    <row r="862">
      <c r="C862" s="4" t="s">
        <v>270</v>
      </c>
      <c r="D862" s="82" t="s">
        <v>2</v>
      </c>
      <c r="E862" s="4" t="s">
        <v>272</v>
      </c>
      <c r="F862" s="4" t="s">
        <v>16</v>
      </c>
      <c r="G862" s="4" t="s">
        <v>276</v>
      </c>
      <c r="H862" s="4" t="s">
        <v>277</v>
      </c>
      <c r="I862" s="4" t="s">
        <v>93</v>
      </c>
      <c r="J862" s="4" t="s">
        <v>227</v>
      </c>
      <c r="K862" s="4" t="s">
        <v>89</v>
      </c>
      <c r="L862" s="4" t="s">
        <v>80</v>
      </c>
      <c r="M862" s="4" t="s">
        <v>81</v>
      </c>
      <c r="N862" s="4" t="s">
        <v>232</v>
      </c>
      <c r="O862" s="4" t="s">
        <v>265</v>
      </c>
      <c r="P862" s="4" t="s">
        <v>264</v>
      </c>
      <c r="Q862" s="4" t="s">
        <v>169</v>
      </c>
      <c r="R862" s="127" t="s">
        <v>236</v>
      </c>
      <c r="S862" s="128" t="s">
        <v>233</v>
      </c>
      <c r="T862" s="128" t="s">
        <v>234</v>
      </c>
      <c r="U862" s="128" t="s">
        <v>238</v>
      </c>
      <c r="V862" s="128" t="s">
        <v>231</v>
      </c>
      <c r="W862" s="128" t="s">
        <v>239</v>
      </c>
      <c r="X862" s="128" t="s">
        <v>246</v>
      </c>
      <c r="Y862" s="128" t="s">
        <v>247</v>
      </c>
      <c r="Z862" s="128" t="s">
        <v>248</v>
      </c>
      <c r="AA862" s="128" t="s">
        <v>267</v>
      </c>
      <c r="AB862" s="130" t="s">
        <v>268</v>
      </c>
      <c r="AC862" s="130" t="s">
        <v>169</v>
      </c>
    </row>
    <row r="863">
      <c r="A863" s="11">
        <v>46153.0</v>
      </c>
      <c r="B863" s="114" t="s">
        <v>4</v>
      </c>
      <c r="C863" s="114">
        <f t="shared" ref="C863:C873" si="334">F863+F879</f>
        <v>69</v>
      </c>
      <c r="D863" s="82"/>
      <c r="F863" s="13">
        <f t="shared" ref="F863:F874" si="335">sum(H863:P863)+Q863</f>
        <v>49</v>
      </c>
      <c r="G863" s="6">
        <f t="shared" ref="G863:G874" si="336">C863+D863-F863+E863</f>
        <v>20</v>
      </c>
      <c r="I863" s="115">
        <f t="shared" ref="I863:I864" si="337">J702-U702</f>
        <v>4</v>
      </c>
      <c r="J863" s="115">
        <v>3.0</v>
      </c>
      <c r="K863" s="115">
        <v>7.0</v>
      </c>
      <c r="L863" s="115">
        <f>M702-X702</f>
        <v>7</v>
      </c>
      <c r="M863" s="115">
        <v>9.0</v>
      </c>
      <c r="N863" s="115">
        <f>O702-Z702</f>
        <v>5</v>
      </c>
      <c r="O863" s="115"/>
      <c r="P863" s="115">
        <v>7.0</v>
      </c>
      <c r="Q863" s="115">
        <v>7.0</v>
      </c>
      <c r="R863" s="90" t="s">
        <v>4</v>
      </c>
      <c r="S863" s="82">
        <v>15.0</v>
      </c>
      <c r="T863" s="66">
        <f t="shared" ref="T863:T874" si="338">sum(V863:AC863)</f>
        <v>4</v>
      </c>
      <c r="V863" s="4">
        <v>1.0</v>
      </c>
      <c r="W863" s="4">
        <v>3.0</v>
      </c>
      <c r="AB863" s="138"/>
      <c r="AC863" s="138"/>
    </row>
    <row r="864">
      <c r="A864" s="11">
        <v>46153.0</v>
      </c>
      <c r="B864" s="13" t="s">
        <v>5</v>
      </c>
      <c r="C864" s="13">
        <f t="shared" si="334"/>
        <v>42</v>
      </c>
      <c r="D864" s="82"/>
      <c r="F864" s="13">
        <f t="shared" si="335"/>
        <v>28</v>
      </c>
      <c r="G864" s="6">
        <f t="shared" si="336"/>
        <v>14</v>
      </c>
      <c r="I864" s="13">
        <f t="shared" si="337"/>
        <v>2</v>
      </c>
      <c r="J864" s="4">
        <v>2.0</v>
      </c>
      <c r="K864" s="4">
        <v>4.0</v>
      </c>
      <c r="L864" s="4">
        <v>5.0</v>
      </c>
      <c r="M864" s="13">
        <f>N703-Y703</f>
        <v>5</v>
      </c>
      <c r="N864" s="13">
        <v>3.0</v>
      </c>
      <c r="P864" s="13">
        <f>Q703-AB703</f>
        <v>3</v>
      </c>
      <c r="Q864" s="4">
        <v>4.0</v>
      </c>
      <c r="R864" s="90" t="s">
        <v>5</v>
      </c>
      <c r="S864" s="82">
        <v>5.0</v>
      </c>
      <c r="T864" s="66">
        <f t="shared" si="338"/>
        <v>5</v>
      </c>
      <c r="V864" s="4">
        <v>1.0</v>
      </c>
      <c r="W864" s="4">
        <v>1.0</v>
      </c>
      <c r="Z864" s="4">
        <v>2.0</v>
      </c>
      <c r="AB864" s="140">
        <v>1.0</v>
      </c>
      <c r="AC864" s="140"/>
    </row>
    <row r="865">
      <c r="A865" s="11">
        <v>46153.0</v>
      </c>
      <c r="B865" s="114" t="s">
        <v>6</v>
      </c>
      <c r="C865" s="114">
        <f t="shared" si="334"/>
        <v>30</v>
      </c>
      <c r="D865" s="6"/>
      <c r="F865" s="13">
        <f t="shared" si="335"/>
        <v>26</v>
      </c>
      <c r="G865" s="6">
        <f t="shared" si="336"/>
        <v>4</v>
      </c>
      <c r="I865" s="115">
        <v>1.0</v>
      </c>
      <c r="J865" s="115">
        <v>2.0</v>
      </c>
      <c r="K865" s="115">
        <f>L704-W704</f>
        <v>4</v>
      </c>
      <c r="L865" s="115">
        <v>5.0</v>
      </c>
      <c r="M865" s="115">
        <v>5.0</v>
      </c>
      <c r="N865" s="115">
        <v>2.0</v>
      </c>
      <c r="O865" s="115"/>
      <c r="P865" s="115">
        <v>3.0</v>
      </c>
      <c r="Q865" s="115">
        <v>4.0</v>
      </c>
      <c r="R865" s="90" t="s">
        <v>6</v>
      </c>
      <c r="S865" s="82">
        <v>2.0</v>
      </c>
      <c r="T865" s="66">
        <f t="shared" si="338"/>
        <v>2</v>
      </c>
      <c r="V865" s="4">
        <v>1.0</v>
      </c>
      <c r="W865" s="4">
        <v>1.0</v>
      </c>
      <c r="AB865" s="139"/>
      <c r="AC865" s="139"/>
    </row>
    <row r="866">
      <c r="A866" s="11">
        <v>46153.0</v>
      </c>
      <c r="B866" s="13" t="s">
        <v>7</v>
      </c>
      <c r="C866" s="13">
        <f t="shared" si="334"/>
        <v>30</v>
      </c>
      <c r="D866" s="6"/>
      <c r="F866" s="13">
        <f t="shared" si="335"/>
        <v>24</v>
      </c>
      <c r="G866" s="6">
        <f t="shared" si="336"/>
        <v>6</v>
      </c>
      <c r="I866" s="13">
        <f t="shared" ref="I866:I868" si="339">J705-U705</f>
        <v>1</v>
      </c>
      <c r="J866" s="4">
        <v>1.0</v>
      </c>
      <c r="K866" s="4">
        <v>3.0</v>
      </c>
      <c r="L866" s="4">
        <v>4.0</v>
      </c>
      <c r="M866" s="4">
        <v>5.0</v>
      </c>
      <c r="N866" s="4">
        <v>2.0</v>
      </c>
      <c r="P866" s="4">
        <v>4.0</v>
      </c>
      <c r="Q866" s="4">
        <v>4.0</v>
      </c>
      <c r="R866" s="90" t="s">
        <v>7</v>
      </c>
      <c r="S866" s="82">
        <v>3.0</v>
      </c>
      <c r="T866" s="66">
        <f t="shared" si="338"/>
        <v>3</v>
      </c>
      <c r="W866" s="4">
        <v>3.0</v>
      </c>
      <c r="AB866" s="140"/>
      <c r="AC866" s="140"/>
    </row>
    <row r="867">
      <c r="A867" s="11">
        <v>46153.0</v>
      </c>
      <c r="B867" s="114" t="s">
        <v>8</v>
      </c>
      <c r="C867" s="114">
        <f t="shared" si="334"/>
        <v>62</v>
      </c>
      <c r="D867" s="82"/>
      <c r="F867" s="13">
        <f t="shared" si="335"/>
        <v>50</v>
      </c>
      <c r="G867" s="6">
        <f t="shared" si="336"/>
        <v>12</v>
      </c>
      <c r="I867" s="115">
        <f t="shared" si="339"/>
        <v>3</v>
      </c>
      <c r="J867" s="115">
        <v>2.0</v>
      </c>
      <c r="K867" s="115">
        <v>7.0</v>
      </c>
      <c r="L867" s="115">
        <v>7.0</v>
      </c>
      <c r="M867" s="115">
        <v>9.0</v>
      </c>
      <c r="N867" s="115">
        <v>4.0</v>
      </c>
      <c r="O867" s="115"/>
      <c r="P867" s="115">
        <v>9.0</v>
      </c>
      <c r="Q867" s="115">
        <v>9.0</v>
      </c>
      <c r="R867" s="90" t="s">
        <v>8</v>
      </c>
      <c r="S867" s="82">
        <v>10.0</v>
      </c>
      <c r="T867" s="66">
        <f t="shared" si="338"/>
        <v>2</v>
      </c>
      <c r="Z867" s="4">
        <v>2.0</v>
      </c>
      <c r="AB867" s="139"/>
      <c r="AC867" s="139"/>
    </row>
    <row r="868">
      <c r="A868" s="11">
        <v>46153.0</v>
      </c>
      <c r="B868" s="13" t="s">
        <v>9</v>
      </c>
      <c r="C868" s="13">
        <f t="shared" si="334"/>
        <v>50</v>
      </c>
      <c r="D868" s="6"/>
      <c r="F868" s="13">
        <f t="shared" si="335"/>
        <v>44</v>
      </c>
      <c r="G868" s="6">
        <f t="shared" si="336"/>
        <v>6</v>
      </c>
      <c r="I868" s="13">
        <f t="shared" si="339"/>
        <v>2</v>
      </c>
      <c r="J868" s="4">
        <v>3.0</v>
      </c>
      <c r="K868" s="4">
        <v>5.0</v>
      </c>
      <c r="L868" s="4">
        <v>7.0</v>
      </c>
      <c r="M868" s="4">
        <v>9.0</v>
      </c>
      <c r="N868" s="13">
        <v>4.0</v>
      </c>
      <c r="P868" s="4">
        <v>7.0</v>
      </c>
      <c r="Q868" s="4">
        <v>7.0</v>
      </c>
      <c r="R868" s="90" t="s">
        <v>9</v>
      </c>
      <c r="S868" s="82">
        <v>4.0</v>
      </c>
      <c r="T868" s="66">
        <f t="shared" si="338"/>
        <v>2</v>
      </c>
      <c r="V868" s="4">
        <v>1.0</v>
      </c>
      <c r="W868" s="4">
        <v>1.0</v>
      </c>
      <c r="AB868" s="140"/>
      <c r="AC868" s="140"/>
    </row>
    <row r="869">
      <c r="A869" s="11">
        <v>46153.0</v>
      </c>
      <c r="B869" s="114" t="s">
        <v>10</v>
      </c>
      <c r="C869" s="114">
        <f t="shared" si="334"/>
        <v>36</v>
      </c>
      <c r="D869" s="6"/>
      <c r="F869" s="13">
        <f t="shared" si="335"/>
        <v>30</v>
      </c>
      <c r="G869" s="6">
        <f t="shared" si="336"/>
        <v>6</v>
      </c>
      <c r="I869" s="115">
        <v>2.0</v>
      </c>
      <c r="J869" s="115">
        <v>1.0</v>
      </c>
      <c r="K869" s="115">
        <v>5.0</v>
      </c>
      <c r="L869" s="115">
        <f t="shared" ref="L869:N869" si="340">M708-X708</f>
        <v>5</v>
      </c>
      <c r="M869" s="115">
        <f t="shared" si="340"/>
        <v>5</v>
      </c>
      <c r="N869" s="115">
        <f t="shared" si="340"/>
        <v>3</v>
      </c>
      <c r="O869" s="115"/>
      <c r="P869" s="115">
        <v>4.0</v>
      </c>
      <c r="Q869" s="115">
        <v>5.0</v>
      </c>
      <c r="R869" s="90" t="s">
        <v>10</v>
      </c>
      <c r="S869" s="82">
        <v>1.0</v>
      </c>
      <c r="T869" s="66">
        <f t="shared" si="338"/>
        <v>5</v>
      </c>
      <c r="U869" s="4">
        <v>1.0</v>
      </c>
      <c r="V869" s="4">
        <v>1.0</v>
      </c>
      <c r="W869" s="4">
        <v>1.0</v>
      </c>
      <c r="Z869" s="4">
        <v>3.0</v>
      </c>
      <c r="AB869" s="139"/>
      <c r="AC869" s="139"/>
    </row>
    <row r="870">
      <c r="A870" s="11">
        <v>46153.0</v>
      </c>
      <c r="B870" s="13" t="s">
        <v>11</v>
      </c>
      <c r="C870" s="13">
        <f t="shared" si="334"/>
        <v>29</v>
      </c>
      <c r="D870" s="6"/>
      <c r="F870" s="13">
        <f t="shared" si="335"/>
        <v>27</v>
      </c>
      <c r="G870" s="6">
        <f t="shared" si="336"/>
        <v>2</v>
      </c>
      <c r="I870" s="13">
        <f t="shared" ref="I870:I871" si="341">J709-U709</f>
        <v>2</v>
      </c>
      <c r="J870" s="4">
        <v>1.0</v>
      </c>
      <c r="K870" s="13">
        <f>L709-W709</f>
        <v>5</v>
      </c>
      <c r="L870" s="4">
        <v>5.0</v>
      </c>
      <c r="M870" s="13">
        <f t="shared" ref="M870:M871" si="342">N709-Y709</f>
        <v>5</v>
      </c>
      <c r="N870" s="13">
        <v>2.0</v>
      </c>
      <c r="P870" s="4">
        <v>3.0</v>
      </c>
      <c r="Q870" s="4">
        <v>4.0</v>
      </c>
      <c r="R870" s="90" t="s">
        <v>11</v>
      </c>
      <c r="S870" s="6"/>
      <c r="T870" s="66">
        <f t="shared" si="338"/>
        <v>2</v>
      </c>
      <c r="Z870" s="4">
        <v>2.0</v>
      </c>
      <c r="AB870" s="140"/>
      <c r="AC870" s="140"/>
    </row>
    <row r="871">
      <c r="A871" s="11">
        <v>46153.0</v>
      </c>
      <c r="B871" s="114" t="s">
        <v>12</v>
      </c>
      <c r="C871" s="114">
        <f t="shared" si="334"/>
        <v>34</v>
      </c>
      <c r="D871" s="6"/>
      <c r="F871" s="13">
        <f t="shared" si="335"/>
        <v>27</v>
      </c>
      <c r="G871" s="6">
        <f t="shared" si="336"/>
        <v>7</v>
      </c>
      <c r="I871" s="115">
        <f t="shared" si="341"/>
        <v>2</v>
      </c>
      <c r="J871" s="115">
        <v>1.0</v>
      </c>
      <c r="K871" s="115">
        <v>4.0</v>
      </c>
      <c r="L871" s="115">
        <v>5.0</v>
      </c>
      <c r="M871" s="115">
        <f t="shared" si="342"/>
        <v>5</v>
      </c>
      <c r="N871" s="115">
        <v>2.0</v>
      </c>
      <c r="O871" s="115"/>
      <c r="P871" s="115">
        <v>4.0</v>
      </c>
      <c r="Q871" s="115">
        <v>4.0</v>
      </c>
      <c r="R871" s="90" t="s">
        <v>12</v>
      </c>
      <c r="S871" s="82">
        <v>6.0</v>
      </c>
      <c r="T871" s="66">
        <f t="shared" si="338"/>
        <v>1</v>
      </c>
      <c r="U871" s="4">
        <v>2.0</v>
      </c>
      <c r="V871" s="4">
        <v>1.0</v>
      </c>
      <c r="AB871" s="139"/>
      <c r="AC871" s="139"/>
    </row>
    <row r="872">
      <c r="A872" s="11">
        <v>46153.0</v>
      </c>
      <c r="B872" s="13" t="s">
        <v>13</v>
      </c>
      <c r="C872" s="13">
        <f t="shared" si="334"/>
        <v>45</v>
      </c>
      <c r="D872" s="82"/>
      <c r="F872" s="13">
        <f t="shared" si="335"/>
        <v>35</v>
      </c>
      <c r="G872" s="6">
        <f t="shared" si="336"/>
        <v>10</v>
      </c>
      <c r="I872" s="4">
        <v>3.0</v>
      </c>
      <c r="J872" s="4">
        <v>2.0</v>
      </c>
      <c r="K872" s="4">
        <v>5.0</v>
      </c>
      <c r="L872" s="13">
        <f>M711-X711</f>
        <v>5</v>
      </c>
      <c r="M872" s="4">
        <v>9.0</v>
      </c>
      <c r="N872" s="13">
        <v>2.0</v>
      </c>
      <c r="P872" s="4">
        <v>4.0</v>
      </c>
      <c r="Q872" s="4">
        <v>5.0</v>
      </c>
      <c r="R872" s="90" t="s">
        <v>13</v>
      </c>
      <c r="S872" s="82">
        <v>8.0</v>
      </c>
      <c r="T872" s="66">
        <f t="shared" si="338"/>
        <v>2</v>
      </c>
      <c r="V872" s="4">
        <v>2.0</v>
      </c>
      <c r="AB872" s="140"/>
      <c r="AC872" s="140"/>
    </row>
    <row r="873">
      <c r="A873" s="11">
        <v>46153.0</v>
      </c>
      <c r="B873" s="114" t="s">
        <v>14</v>
      </c>
      <c r="C873" s="114">
        <f t="shared" si="334"/>
        <v>29</v>
      </c>
      <c r="D873" s="6"/>
      <c r="F873" s="13">
        <f t="shared" si="335"/>
        <v>25</v>
      </c>
      <c r="G873" s="6">
        <f t="shared" si="336"/>
        <v>4</v>
      </c>
      <c r="I873" s="115">
        <v>2.0</v>
      </c>
      <c r="J873" s="115">
        <v>1.0</v>
      </c>
      <c r="K873" s="115">
        <v>4.0</v>
      </c>
      <c r="L873" s="115">
        <v>5.0</v>
      </c>
      <c r="M873" s="115">
        <v>6.0</v>
      </c>
      <c r="N873" s="115">
        <v>1.0</v>
      </c>
      <c r="O873" s="115"/>
      <c r="P873" s="115">
        <v>2.0</v>
      </c>
      <c r="Q873" s="115">
        <v>4.0</v>
      </c>
      <c r="R873" s="90" t="s">
        <v>14</v>
      </c>
      <c r="S873" s="82">
        <v>3.0</v>
      </c>
      <c r="T873" s="66">
        <f t="shared" si="338"/>
        <v>1</v>
      </c>
      <c r="V873" s="4">
        <v>1.0</v>
      </c>
      <c r="AB873" s="139"/>
      <c r="AC873" s="139"/>
    </row>
    <row r="874">
      <c r="A874" s="11">
        <v>46153.0</v>
      </c>
      <c r="B874" s="13" t="s">
        <v>15</v>
      </c>
      <c r="C874" s="4">
        <v>293.0</v>
      </c>
      <c r="D874" s="82"/>
      <c r="F874" s="13">
        <f t="shared" si="335"/>
        <v>262</v>
      </c>
      <c r="G874" s="6">
        <f t="shared" si="336"/>
        <v>31</v>
      </c>
      <c r="I874" s="4">
        <v>20.0</v>
      </c>
      <c r="J874" s="4">
        <v>15.0</v>
      </c>
      <c r="K874" s="4">
        <v>36.0</v>
      </c>
      <c r="L874" s="4">
        <v>41.0</v>
      </c>
      <c r="M874" s="4">
        <v>60.0</v>
      </c>
      <c r="N874" s="4">
        <v>25.0</v>
      </c>
      <c r="P874" s="4">
        <v>25.0</v>
      </c>
      <c r="Q874" s="4">
        <v>40.0</v>
      </c>
      <c r="R874" s="90" t="s">
        <v>15</v>
      </c>
      <c r="S874" s="82">
        <v>28.0</v>
      </c>
      <c r="T874" s="66">
        <f t="shared" si="338"/>
        <v>35</v>
      </c>
      <c r="U874" s="4">
        <v>5.0</v>
      </c>
      <c r="V874" s="4">
        <v>9.0</v>
      </c>
      <c r="W874" s="4">
        <v>12.0</v>
      </c>
      <c r="Z874" s="4">
        <v>9.0</v>
      </c>
      <c r="AB874" s="140">
        <v>5.0</v>
      </c>
      <c r="AC874" s="140"/>
    </row>
    <row r="875">
      <c r="A875" s="11">
        <v>46153.0</v>
      </c>
      <c r="B875" s="4" t="s">
        <v>16</v>
      </c>
      <c r="C875" s="13">
        <f>sum(C863:C874)</f>
        <v>749</v>
      </c>
      <c r="D875" s="6"/>
      <c r="F875" s="13">
        <f t="shared" ref="F875:G875" si="343">sum(F863:F874)</f>
        <v>627</v>
      </c>
      <c r="G875" s="6">
        <f t="shared" si="343"/>
        <v>122</v>
      </c>
      <c r="I875" s="157">
        <f t="shared" ref="I875:Q875" si="344">sum(I863:I874)</f>
        <v>44</v>
      </c>
      <c r="J875" s="157">
        <f t="shared" si="344"/>
        <v>34</v>
      </c>
      <c r="K875" s="157">
        <f t="shared" si="344"/>
        <v>89</v>
      </c>
      <c r="L875" s="157">
        <f t="shared" si="344"/>
        <v>101</v>
      </c>
      <c r="M875" s="157">
        <f t="shared" si="344"/>
        <v>132</v>
      </c>
      <c r="N875" s="157">
        <f t="shared" si="344"/>
        <v>55</v>
      </c>
      <c r="O875" s="157">
        <f t="shared" si="344"/>
        <v>0</v>
      </c>
      <c r="P875" s="157">
        <f t="shared" si="344"/>
        <v>75</v>
      </c>
      <c r="Q875" s="157">
        <f t="shared" si="344"/>
        <v>97</v>
      </c>
      <c r="R875" s="135"/>
      <c r="S875" s="158">
        <f t="shared" ref="S875:AC875" si="345">sum(S863:S874)</f>
        <v>85</v>
      </c>
      <c r="T875" s="136">
        <f t="shared" si="345"/>
        <v>64</v>
      </c>
      <c r="U875" s="135">
        <f t="shared" si="345"/>
        <v>8</v>
      </c>
      <c r="V875" s="135">
        <f t="shared" si="345"/>
        <v>18</v>
      </c>
      <c r="W875" s="135">
        <f t="shared" si="345"/>
        <v>22</v>
      </c>
      <c r="X875" s="135">
        <f t="shared" si="345"/>
        <v>0</v>
      </c>
      <c r="Y875" s="135">
        <f t="shared" si="345"/>
        <v>0</v>
      </c>
      <c r="Z875" s="135">
        <f t="shared" si="345"/>
        <v>18</v>
      </c>
      <c r="AA875" s="135">
        <f t="shared" si="345"/>
        <v>0</v>
      </c>
      <c r="AB875" s="135">
        <f t="shared" si="345"/>
        <v>6</v>
      </c>
      <c r="AC875" s="135">
        <f t="shared" si="345"/>
        <v>0</v>
      </c>
    </row>
    <row r="876">
      <c r="D876" s="6"/>
      <c r="I876" s="13">
        <f t="shared" ref="I876:Q876" si="346">I875-U875</f>
        <v>36</v>
      </c>
      <c r="J876" s="13">
        <f t="shared" si="346"/>
        <v>16</v>
      </c>
      <c r="K876" s="13">
        <f t="shared" si="346"/>
        <v>67</v>
      </c>
      <c r="L876" s="13">
        <f t="shared" si="346"/>
        <v>101</v>
      </c>
      <c r="M876" s="13">
        <f t="shared" si="346"/>
        <v>132</v>
      </c>
      <c r="N876" s="13">
        <f t="shared" si="346"/>
        <v>37</v>
      </c>
      <c r="O876" s="13">
        <f t="shared" si="346"/>
        <v>0</v>
      </c>
      <c r="P876" s="13">
        <f t="shared" si="346"/>
        <v>69</v>
      </c>
      <c r="Q876" s="13">
        <f t="shared" si="346"/>
        <v>97</v>
      </c>
    </row>
    <row r="877">
      <c r="D877" s="6"/>
      <c r="H877" s="149"/>
      <c r="I877" s="149" t="s">
        <v>114</v>
      </c>
      <c r="O877" s="149"/>
    </row>
    <row r="878">
      <c r="D878" s="6"/>
      <c r="F878" s="4" t="s">
        <v>16</v>
      </c>
      <c r="G878" s="4" t="s">
        <v>251</v>
      </c>
      <c r="H878" s="75" t="s">
        <v>253</v>
      </c>
      <c r="I878" s="4" t="s">
        <v>93</v>
      </c>
      <c r="J878" s="4" t="s">
        <v>227</v>
      </c>
      <c r="K878" s="4" t="s">
        <v>89</v>
      </c>
      <c r="L878" s="4" t="s">
        <v>80</v>
      </c>
      <c r="M878" s="4" t="s">
        <v>81</v>
      </c>
      <c r="N878" s="4" t="s">
        <v>232</v>
      </c>
      <c r="O878" s="4" t="s">
        <v>265</v>
      </c>
      <c r="P878" s="4" t="s">
        <v>264</v>
      </c>
      <c r="Q878" s="4" t="s">
        <v>280</v>
      </c>
      <c r="R878" s="127" t="s">
        <v>236</v>
      </c>
      <c r="S878" s="128" t="s">
        <v>233</v>
      </c>
      <c r="T878" s="128" t="s">
        <v>234</v>
      </c>
      <c r="U878" s="128" t="s">
        <v>238</v>
      </c>
      <c r="V878" s="128" t="s">
        <v>231</v>
      </c>
      <c r="W878" s="128" t="s">
        <v>239</v>
      </c>
      <c r="X878" s="128" t="s">
        <v>246</v>
      </c>
      <c r="Y878" s="128" t="s">
        <v>247</v>
      </c>
      <c r="Z878" s="128" t="s">
        <v>248</v>
      </c>
      <c r="AA878" s="128" t="s">
        <v>267</v>
      </c>
      <c r="AB878" s="130" t="s">
        <v>268</v>
      </c>
      <c r="AC878" s="130" t="s">
        <v>169</v>
      </c>
    </row>
    <row r="879">
      <c r="B879" s="114" t="s">
        <v>4</v>
      </c>
      <c r="D879" s="6"/>
      <c r="F879" s="13">
        <f t="shared" ref="F879:F890" si="347">sum(I879:Q879)</f>
        <v>20</v>
      </c>
      <c r="G879" s="6">
        <f t="shared" ref="G879:G890" si="348">S863+T863</f>
        <v>19</v>
      </c>
      <c r="H879" s="159">
        <f t="shared" ref="H879:H890" si="349">G879-sum(I879:Q879)</f>
        <v>-1</v>
      </c>
      <c r="K879" s="4">
        <v>3.0</v>
      </c>
      <c r="L879" s="150">
        <v>7.0</v>
      </c>
      <c r="M879" s="67">
        <v>3.0</v>
      </c>
      <c r="O879" s="67"/>
      <c r="P879" s="4">
        <v>3.0</v>
      </c>
      <c r="Q879" s="4">
        <v>4.0</v>
      </c>
      <c r="R879" s="154" t="s">
        <v>4</v>
      </c>
      <c r="S879" s="67"/>
      <c r="T879" s="66">
        <f t="shared" ref="T879:T890" si="350">sum(U879:AC879)</f>
        <v>0</v>
      </c>
      <c r="V879" s="67"/>
      <c r="AB879" s="138"/>
      <c r="AC879" s="138"/>
    </row>
    <row r="880">
      <c r="B880" s="13" t="s">
        <v>5</v>
      </c>
      <c r="D880" s="6"/>
      <c r="F880" s="13">
        <f t="shared" si="347"/>
        <v>14</v>
      </c>
      <c r="G880" s="6">
        <f t="shared" si="348"/>
        <v>10</v>
      </c>
      <c r="H880" s="159">
        <f t="shared" si="349"/>
        <v>-4</v>
      </c>
      <c r="K880" s="4">
        <v>3.0</v>
      </c>
      <c r="L880" s="150">
        <v>3.0</v>
      </c>
      <c r="M880" s="67">
        <v>3.0</v>
      </c>
      <c r="P880" s="4">
        <v>2.0</v>
      </c>
      <c r="Q880" s="4">
        <v>3.0</v>
      </c>
      <c r="R880" s="154" t="s">
        <v>5</v>
      </c>
      <c r="S880" s="67"/>
      <c r="T880" s="66">
        <f t="shared" si="350"/>
        <v>0</v>
      </c>
      <c r="V880" s="67"/>
      <c r="AB880" s="140"/>
      <c r="AC880" s="140"/>
    </row>
    <row r="881">
      <c r="B881" s="114" t="s">
        <v>6</v>
      </c>
      <c r="D881" s="6"/>
      <c r="F881" s="13">
        <f t="shared" si="347"/>
        <v>4</v>
      </c>
      <c r="G881" s="6">
        <f t="shared" si="348"/>
        <v>4</v>
      </c>
      <c r="H881" s="159">
        <f t="shared" si="349"/>
        <v>0</v>
      </c>
      <c r="L881" s="150"/>
      <c r="M881" s="67">
        <v>1.0</v>
      </c>
      <c r="O881" s="67"/>
      <c r="P881" s="4">
        <v>1.0</v>
      </c>
      <c r="Q881" s="4">
        <v>2.0</v>
      </c>
      <c r="R881" s="154" t="s">
        <v>6</v>
      </c>
      <c r="S881" s="67"/>
      <c r="T881" s="66">
        <f t="shared" si="350"/>
        <v>0</v>
      </c>
      <c r="V881" s="67"/>
      <c r="AB881" s="139"/>
      <c r="AC881" s="139"/>
    </row>
    <row r="882">
      <c r="B882" s="13" t="s">
        <v>7</v>
      </c>
      <c r="D882" s="6"/>
      <c r="F882" s="13">
        <f t="shared" si="347"/>
        <v>6</v>
      </c>
      <c r="G882" s="6">
        <f t="shared" si="348"/>
        <v>6</v>
      </c>
      <c r="H882" s="159">
        <f t="shared" si="349"/>
        <v>0</v>
      </c>
      <c r="K882" s="4">
        <v>1.0</v>
      </c>
      <c r="L882" s="150">
        <v>1.0</v>
      </c>
      <c r="M882" s="67">
        <v>1.0</v>
      </c>
      <c r="O882" s="67"/>
      <c r="P882" s="4">
        <v>2.0</v>
      </c>
      <c r="Q882" s="4">
        <v>1.0</v>
      </c>
      <c r="R882" s="154" t="s">
        <v>7</v>
      </c>
      <c r="S882" s="67"/>
      <c r="T882" s="66">
        <f t="shared" si="350"/>
        <v>0</v>
      </c>
      <c r="V882" s="67"/>
      <c r="AB882" s="140"/>
      <c r="AC882" s="140"/>
    </row>
    <row r="883">
      <c r="B883" s="114" t="s">
        <v>8</v>
      </c>
      <c r="D883" s="6"/>
      <c r="F883" s="13">
        <f t="shared" si="347"/>
        <v>12</v>
      </c>
      <c r="G883" s="6">
        <f t="shared" si="348"/>
        <v>12</v>
      </c>
      <c r="H883" s="159">
        <f t="shared" si="349"/>
        <v>0</v>
      </c>
      <c r="K883" s="4">
        <v>2.0</v>
      </c>
      <c r="L883" s="150">
        <v>2.0</v>
      </c>
      <c r="M883" s="67">
        <v>2.0</v>
      </c>
      <c r="O883" s="67"/>
      <c r="P883" s="4">
        <v>3.0</v>
      </c>
      <c r="Q883" s="4">
        <v>3.0</v>
      </c>
      <c r="R883" s="154" t="s">
        <v>8</v>
      </c>
      <c r="S883" s="67"/>
      <c r="T883" s="66">
        <f t="shared" si="350"/>
        <v>0</v>
      </c>
      <c r="V883" s="67"/>
      <c r="AB883" s="134"/>
      <c r="AC883" s="134"/>
    </row>
    <row r="884">
      <c r="B884" s="13" t="s">
        <v>9</v>
      </c>
      <c r="D884" s="6"/>
      <c r="F884" s="13">
        <f t="shared" si="347"/>
        <v>6</v>
      </c>
      <c r="G884" s="6">
        <f t="shared" si="348"/>
        <v>6</v>
      </c>
      <c r="H884" s="159">
        <f t="shared" si="349"/>
        <v>0</v>
      </c>
      <c r="K884" s="4">
        <v>1.0</v>
      </c>
      <c r="L884" s="150">
        <v>1.0</v>
      </c>
      <c r="M884" s="4">
        <v>1.0</v>
      </c>
      <c r="O884" s="67"/>
      <c r="P884" s="4">
        <v>2.0</v>
      </c>
      <c r="Q884" s="4">
        <v>1.0</v>
      </c>
      <c r="R884" s="154" t="s">
        <v>9</v>
      </c>
      <c r="S884" s="67"/>
      <c r="T884" s="66">
        <f t="shared" si="350"/>
        <v>0</v>
      </c>
      <c r="V884" s="67"/>
      <c r="AB884" s="133"/>
      <c r="AC884" s="133"/>
    </row>
    <row r="885">
      <c r="B885" s="114" t="s">
        <v>10</v>
      </c>
      <c r="D885" s="6"/>
      <c r="F885" s="13">
        <f t="shared" si="347"/>
        <v>6</v>
      </c>
      <c r="G885" s="6">
        <f t="shared" si="348"/>
        <v>6</v>
      </c>
      <c r="H885" s="159">
        <f t="shared" si="349"/>
        <v>0</v>
      </c>
      <c r="K885" s="4">
        <v>1.0</v>
      </c>
      <c r="L885" s="150">
        <v>1.0</v>
      </c>
      <c r="M885" s="67">
        <v>1.0</v>
      </c>
      <c r="O885" s="67"/>
      <c r="P885" s="4">
        <v>1.0</v>
      </c>
      <c r="Q885" s="4">
        <v>2.0</v>
      </c>
      <c r="R885" s="154" t="s">
        <v>10</v>
      </c>
      <c r="S885" s="67"/>
      <c r="T885" s="66">
        <f t="shared" si="350"/>
        <v>0</v>
      </c>
      <c r="V885" s="67"/>
      <c r="AB885" s="134"/>
      <c r="AC885" s="134"/>
    </row>
    <row r="886">
      <c r="B886" s="13" t="s">
        <v>11</v>
      </c>
      <c r="D886" s="6"/>
      <c r="F886" s="13">
        <f t="shared" si="347"/>
        <v>2</v>
      </c>
      <c r="G886" s="6">
        <f t="shared" si="348"/>
        <v>2</v>
      </c>
      <c r="H886" s="159">
        <f t="shared" si="349"/>
        <v>0</v>
      </c>
      <c r="K886" s="4">
        <v>1.0</v>
      </c>
      <c r="L886" s="150"/>
      <c r="M886" s="67">
        <v>1.0</v>
      </c>
      <c r="O886" s="66"/>
      <c r="R886" s="154" t="s">
        <v>11</v>
      </c>
      <c r="S886" s="67"/>
      <c r="T886" s="66">
        <f t="shared" si="350"/>
        <v>0</v>
      </c>
      <c r="V886" s="67"/>
      <c r="AB886" s="140"/>
      <c r="AC886" s="140"/>
    </row>
    <row r="887">
      <c r="B887" s="114" t="s">
        <v>12</v>
      </c>
      <c r="D887" s="6"/>
      <c r="F887" s="13">
        <f t="shared" si="347"/>
        <v>7</v>
      </c>
      <c r="G887" s="6">
        <f t="shared" si="348"/>
        <v>7</v>
      </c>
      <c r="H887" s="159">
        <f t="shared" si="349"/>
        <v>0</v>
      </c>
      <c r="K887" s="4">
        <v>2.0</v>
      </c>
      <c r="L887" s="152">
        <v>1.0</v>
      </c>
      <c r="M887" s="4">
        <v>1.0</v>
      </c>
      <c r="O887" s="67"/>
      <c r="P887" s="4">
        <v>1.0</v>
      </c>
      <c r="Q887" s="4">
        <v>2.0</v>
      </c>
      <c r="R887" s="154" t="s">
        <v>12</v>
      </c>
      <c r="S887" s="67"/>
      <c r="T887" s="66">
        <f t="shared" si="350"/>
        <v>0</v>
      </c>
      <c r="V887" s="66"/>
      <c r="AB887" s="139"/>
      <c r="AC887" s="139"/>
    </row>
    <row r="888">
      <c r="B888" s="13" t="s">
        <v>13</v>
      </c>
      <c r="D888" s="6"/>
      <c r="F888" s="13">
        <f t="shared" si="347"/>
        <v>10</v>
      </c>
      <c r="G888" s="6">
        <f t="shared" si="348"/>
        <v>10</v>
      </c>
      <c r="H888" s="159">
        <f t="shared" si="349"/>
        <v>0</v>
      </c>
      <c r="K888" s="4">
        <v>2.0</v>
      </c>
      <c r="L888" s="150">
        <v>2.0</v>
      </c>
      <c r="M888" s="4">
        <v>2.0</v>
      </c>
      <c r="P888" s="4">
        <v>2.0</v>
      </c>
      <c r="Q888" s="4">
        <v>2.0</v>
      </c>
      <c r="R888" s="154" t="s">
        <v>13</v>
      </c>
      <c r="S888" s="67"/>
      <c r="T888" s="66">
        <f t="shared" si="350"/>
        <v>0</v>
      </c>
      <c r="V888" s="67"/>
      <c r="AB888" s="140"/>
      <c r="AC888" s="140"/>
    </row>
    <row r="889">
      <c r="B889" s="114" t="s">
        <v>14</v>
      </c>
      <c r="F889" s="13">
        <f t="shared" si="347"/>
        <v>4</v>
      </c>
      <c r="G889" s="6">
        <f t="shared" si="348"/>
        <v>4</v>
      </c>
      <c r="H889" s="159">
        <f t="shared" si="349"/>
        <v>0</v>
      </c>
      <c r="K889" s="67">
        <v>1.0</v>
      </c>
      <c r="L889" s="152">
        <v>1.0</v>
      </c>
      <c r="M889" s="4">
        <v>1.0</v>
      </c>
      <c r="O889" s="67"/>
      <c r="Q889" s="4">
        <v>1.0</v>
      </c>
      <c r="R889" s="154" t="s">
        <v>14</v>
      </c>
      <c r="S889" s="67"/>
      <c r="T889" s="66">
        <f t="shared" si="350"/>
        <v>0</v>
      </c>
      <c r="V889" s="67"/>
      <c r="AB889" s="134"/>
      <c r="AC889" s="134"/>
    </row>
    <row r="890">
      <c r="B890" s="13" t="s">
        <v>15</v>
      </c>
      <c r="F890" s="13">
        <f t="shared" si="347"/>
        <v>60</v>
      </c>
      <c r="G890" s="6">
        <f t="shared" si="348"/>
        <v>63</v>
      </c>
      <c r="H890" s="159">
        <f t="shared" si="349"/>
        <v>3</v>
      </c>
      <c r="K890" s="4">
        <v>12.0</v>
      </c>
      <c r="L890" s="150">
        <v>10.0</v>
      </c>
      <c r="M890" s="4">
        <v>14.0</v>
      </c>
      <c r="O890" s="67"/>
      <c r="P890" s="4">
        <v>13.0</v>
      </c>
      <c r="Q890" s="4">
        <v>11.0</v>
      </c>
      <c r="R890" s="154" t="s">
        <v>15</v>
      </c>
      <c r="S890" s="67"/>
      <c r="T890" s="66">
        <f t="shared" si="350"/>
        <v>0</v>
      </c>
      <c r="V890" s="67"/>
      <c r="AB890" s="140"/>
      <c r="AC890" s="140"/>
    </row>
    <row r="891">
      <c r="G891" s="6">
        <f t="shared" ref="G891:Q891" si="351">sum(G879:G890)</f>
        <v>149</v>
      </c>
      <c r="H891" s="6">
        <f t="shared" si="351"/>
        <v>-2</v>
      </c>
      <c r="I891" s="97">
        <f t="shared" si="351"/>
        <v>0</v>
      </c>
      <c r="J891" s="97">
        <f t="shared" si="351"/>
        <v>0</v>
      </c>
      <c r="K891" s="97">
        <f t="shared" si="351"/>
        <v>29</v>
      </c>
      <c r="L891" s="153">
        <f t="shared" si="351"/>
        <v>29</v>
      </c>
      <c r="M891" s="118">
        <f t="shared" si="351"/>
        <v>31</v>
      </c>
      <c r="N891" s="97">
        <f t="shared" si="351"/>
        <v>0</v>
      </c>
      <c r="O891" s="118">
        <f t="shared" si="351"/>
        <v>0</v>
      </c>
      <c r="P891" s="97">
        <f t="shared" si="351"/>
        <v>30</v>
      </c>
      <c r="Q891" s="97">
        <f t="shared" si="351"/>
        <v>32</v>
      </c>
      <c r="R891" s="135"/>
      <c r="S891" s="136">
        <f t="shared" ref="S891:V891" si="352">sum(S879:S890)</f>
        <v>0</v>
      </c>
      <c r="T891" s="136">
        <f t="shared" si="352"/>
        <v>0</v>
      </c>
      <c r="U891" s="135">
        <f t="shared" si="352"/>
        <v>0</v>
      </c>
      <c r="V891" s="136">
        <f t="shared" si="352"/>
        <v>0</v>
      </c>
      <c r="W891" s="137">
        <v>4.0</v>
      </c>
      <c r="X891" s="135">
        <f t="shared" ref="X891:AC891" si="353">sum(X879:X890)</f>
        <v>0</v>
      </c>
      <c r="Y891" s="135">
        <f t="shared" si="353"/>
        <v>0</v>
      </c>
      <c r="Z891" s="135">
        <f t="shared" si="353"/>
        <v>0</v>
      </c>
      <c r="AA891" s="135">
        <f t="shared" si="353"/>
        <v>0</v>
      </c>
      <c r="AB891" s="135">
        <f t="shared" si="353"/>
        <v>0</v>
      </c>
      <c r="AC891" s="135">
        <f t="shared" si="353"/>
        <v>0</v>
      </c>
    </row>
    <row r="892">
      <c r="D892" s="6"/>
    </row>
    <row r="893">
      <c r="C893" s="4" t="s">
        <v>270</v>
      </c>
      <c r="D893" s="82" t="s">
        <v>2</v>
      </c>
      <c r="E893" s="4" t="s">
        <v>272</v>
      </c>
      <c r="F893" s="4" t="s">
        <v>16</v>
      </c>
      <c r="G893" s="4" t="s">
        <v>276</v>
      </c>
      <c r="H893" s="4" t="s">
        <v>277</v>
      </c>
      <c r="I893" s="4" t="s">
        <v>93</v>
      </c>
      <c r="J893" s="4" t="s">
        <v>227</v>
      </c>
      <c r="K893" s="4" t="s">
        <v>89</v>
      </c>
      <c r="L893" s="4" t="s">
        <v>80</v>
      </c>
      <c r="M893" s="4" t="s">
        <v>81</v>
      </c>
      <c r="N893" s="4" t="s">
        <v>232</v>
      </c>
      <c r="O893" s="4" t="s">
        <v>180</v>
      </c>
      <c r="P893" s="4" t="s">
        <v>264</v>
      </c>
      <c r="Q893" s="4" t="s">
        <v>169</v>
      </c>
      <c r="R893" s="127" t="s">
        <v>236</v>
      </c>
      <c r="S893" s="128" t="s">
        <v>233</v>
      </c>
      <c r="T893" s="128" t="s">
        <v>234</v>
      </c>
      <c r="U893" s="128" t="s">
        <v>238</v>
      </c>
      <c r="V893" s="128" t="s">
        <v>231</v>
      </c>
      <c r="W893" s="128" t="s">
        <v>239</v>
      </c>
      <c r="X893" s="128" t="s">
        <v>246</v>
      </c>
      <c r="Y893" s="128" t="s">
        <v>247</v>
      </c>
      <c r="Z893" s="128" t="s">
        <v>248</v>
      </c>
      <c r="AA893" s="128" t="s">
        <v>282</v>
      </c>
      <c r="AB893" s="130" t="s">
        <v>268</v>
      </c>
      <c r="AC893" s="130" t="s">
        <v>169</v>
      </c>
    </row>
    <row r="894">
      <c r="A894" s="11">
        <v>46154.0</v>
      </c>
      <c r="B894" s="114" t="s">
        <v>4</v>
      </c>
      <c r="C894" s="115">
        <v>60.0</v>
      </c>
      <c r="D894" s="82"/>
      <c r="F894" s="13">
        <f t="shared" ref="F894:F905" si="354">sum(H894:P894)+Q894</f>
        <v>55</v>
      </c>
      <c r="G894" s="6">
        <f t="shared" ref="G894:G905" si="355">C894+D894-F894+E894</f>
        <v>5</v>
      </c>
      <c r="I894" s="115">
        <v>4.0</v>
      </c>
      <c r="J894" s="115"/>
      <c r="K894" s="115">
        <v>7.0</v>
      </c>
      <c r="L894" s="115">
        <v>9.0</v>
      </c>
      <c r="M894" s="115">
        <v>9.0</v>
      </c>
      <c r="N894" s="115">
        <v>5.0</v>
      </c>
      <c r="O894" s="115">
        <v>5.0</v>
      </c>
      <c r="P894" s="115">
        <v>7.0</v>
      </c>
      <c r="Q894" s="115">
        <v>9.0</v>
      </c>
      <c r="R894" s="90" t="s">
        <v>4</v>
      </c>
      <c r="S894" s="82">
        <v>7.0</v>
      </c>
      <c r="T894" s="66">
        <f t="shared" ref="T894:T905" si="356">sum(V894:AC894)</f>
        <v>7</v>
      </c>
      <c r="W894" s="4">
        <v>4.0</v>
      </c>
      <c r="X894" s="4">
        <v>1.0</v>
      </c>
      <c r="AA894" s="4">
        <v>1.0</v>
      </c>
      <c r="AB894" s="138"/>
      <c r="AC894" s="138">
        <v>1.0</v>
      </c>
    </row>
    <row r="895">
      <c r="A895" s="11">
        <v>46154.0</v>
      </c>
      <c r="B895" s="13" t="s">
        <v>5</v>
      </c>
      <c r="C895" s="4">
        <v>35.0</v>
      </c>
      <c r="D895" s="82"/>
      <c r="F895" s="13">
        <f t="shared" si="354"/>
        <v>29</v>
      </c>
      <c r="G895" s="6">
        <f t="shared" si="355"/>
        <v>6</v>
      </c>
      <c r="I895" s="13">
        <v>2.0</v>
      </c>
      <c r="K895" s="4">
        <v>4.0</v>
      </c>
      <c r="L895" s="4">
        <v>5.0</v>
      </c>
      <c r="M895" s="13">
        <v>5.0</v>
      </c>
      <c r="N895" s="13">
        <v>3.0</v>
      </c>
      <c r="O895" s="13">
        <v>3.0</v>
      </c>
      <c r="P895" s="13">
        <v>3.0</v>
      </c>
      <c r="Q895" s="4">
        <v>4.0</v>
      </c>
      <c r="R895" s="90" t="s">
        <v>5</v>
      </c>
      <c r="S895" s="82">
        <v>8.0</v>
      </c>
      <c r="T895" s="66">
        <f t="shared" si="356"/>
        <v>5</v>
      </c>
      <c r="U895" s="4">
        <v>2.0</v>
      </c>
      <c r="W895" s="4">
        <v>1.0</v>
      </c>
      <c r="X895" s="4">
        <v>3.0</v>
      </c>
      <c r="AA895" s="4">
        <v>1.0</v>
      </c>
      <c r="AB895" s="140"/>
      <c r="AC895" s="140"/>
    </row>
    <row r="896">
      <c r="A896" s="11">
        <v>46154.0</v>
      </c>
      <c r="B896" s="114" t="s">
        <v>6</v>
      </c>
      <c r="C896" s="115">
        <v>30.0</v>
      </c>
      <c r="D896" s="6"/>
      <c r="F896" s="13">
        <f t="shared" si="354"/>
        <v>27</v>
      </c>
      <c r="G896" s="6">
        <f t="shared" si="355"/>
        <v>3</v>
      </c>
      <c r="I896" s="115">
        <v>1.0</v>
      </c>
      <c r="J896" s="115"/>
      <c r="K896" s="115">
        <v>4.0</v>
      </c>
      <c r="L896" s="115">
        <v>5.0</v>
      </c>
      <c r="M896" s="115">
        <v>5.0</v>
      </c>
      <c r="N896" s="115">
        <v>2.0</v>
      </c>
      <c r="O896" s="115">
        <v>3.0</v>
      </c>
      <c r="P896" s="115">
        <v>3.0</v>
      </c>
      <c r="Q896" s="115">
        <v>4.0</v>
      </c>
      <c r="R896" s="90" t="s">
        <v>6</v>
      </c>
      <c r="S896" s="82">
        <v>2.0</v>
      </c>
      <c r="T896" s="66">
        <f t="shared" si="356"/>
        <v>5</v>
      </c>
      <c r="U896" s="4">
        <v>1.0</v>
      </c>
      <c r="W896" s="4">
        <v>1.0</v>
      </c>
      <c r="X896" s="4">
        <v>4.0</v>
      </c>
      <c r="AB896" s="139"/>
      <c r="AC896" s="139"/>
    </row>
    <row r="897">
      <c r="A897" s="11">
        <v>46154.0</v>
      </c>
      <c r="B897" s="13" t="s">
        <v>7</v>
      </c>
      <c r="C897" s="4">
        <v>30.0</v>
      </c>
      <c r="D897" s="6"/>
      <c r="F897" s="13">
        <f t="shared" si="354"/>
        <v>27</v>
      </c>
      <c r="G897" s="6">
        <f t="shared" si="355"/>
        <v>3</v>
      </c>
      <c r="I897" s="13">
        <v>1.0</v>
      </c>
      <c r="K897" s="4">
        <v>3.0</v>
      </c>
      <c r="L897" s="4">
        <v>5.0</v>
      </c>
      <c r="M897" s="4">
        <v>5.0</v>
      </c>
      <c r="N897" s="4">
        <v>2.0</v>
      </c>
      <c r="O897" s="4">
        <v>3.0</v>
      </c>
      <c r="P897" s="4">
        <v>4.0</v>
      </c>
      <c r="Q897" s="4">
        <v>4.0</v>
      </c>
      <c r="R897" s="90" t="s">
        <v>7</v>
      </c>
      <c r="S897" s="82">
        <v>3.0</v>
      </c>
      <c r="T897" s="66">
        <f t="shared" si="356"/>
        <v>5</v>
      </c>
      <c r="W897" s="4">
        <v>3.0</v>
      </c>
      <c r="X897" s="4">
        <v>2.0</v>
      </c>
      <c r="AB897" s="140"/>
      <c r="AC897" s="140"/>
    </row>
    <row r="898">
      <c r="A898" s="11">
        <v>46154.0</v>
      </c>
      <c r="B898" s="114" t="s">
        <v>8</v>
      </c>
      <c r="C898" s="115">
        <v>60.0</v>
      </c>
      <c r="D898" s="82"/>
      <c r="F898" s="13">
        <f t="shared" si="354"/>
        <v>55</v>
      </c>
      <c r="G898" s="6">
        <f t="shared" si="355"/>
        <v>5</v>
      </c>
      <c r="I898" s="115">
        <v>3.0</v>
      </c>
      <c r="J898" s="115"/>
      <c r="K898" s="115">
        <v>7.0</v>
      </c>
      <c r="L898" s="115">
        <v>9.0</v>
      </c>
      <c r="M898" s="115">
        <v>9.0</v>
      </c>
      <c r="N898" s="115">
        <v>4.0</v>
      </c>
      <c r="O898" s="115">
        <v>5.0</v>
      </c>
      <c r="P898" s="115">
        <v>9.0</v>
      </c>
      <c r="Q898" s="115">
        <v>9.0</v>
      </c>
      <c r="R898" s="90" t="s">
        <v>8</v>
      </c>
      <c r="S898" s="82">
        <v>14.0</v>
      </c>
      <c r="T898" s="66">
        <f t="shared" si="356"/>
        <v>6</v>
      </c>
      <c r="W898" s="4">
        <v>4.0</v>
      </c>
      <c r="X898" s="4">
        <v>2.0</v>
      </c>
      <c r="AB898" s="139"/>
      <c r="AC898" s="139"/>
    </row>
    <row r="899">
      <c r="A899" s="11">
        <v>46154.0</v>
      </c>
      <c r="B899" s="13" t="s">
        <v>9</v>
      </c>
      <c r="C899" s="4">
        <v>50.0</v>
      </c>
      <c r="D899" s="6"/>
      <c r="F899" s="13">
        <f t="shared" si="354"/>
        <v>50</v>
      </c>
      <c r="G899" s="6">
        <f t="shared" si="355"/>
        <v>0</v>
      </c>
      <c r="I899" s="13">
        <v>2.0</v>
      </c>
      <c r="K899" s="4">
        <v>5.0</v>
      </c>
      <c r="L899" s="4">
        <v>9.0</v>
      </c>
      <c r="M899" s="4">
        <v>9.0</v>
      </c>
      <c r="N899" s="13">
        <v>4.0</v>
      </c>
      <c r="O899" s="4">
        <v>5.0</v>
      </c>
      <c r="P899" s="4">
        <v>7.0</v>
      </c>
      <c r="Q899" s="4">
        <v>9.0</v>
      </c>
      <c r="R899" s="90" t="s">
        <v>9</v>
      </c>
      <c r="S899" s="82">
        <v>2.0</v>
      </c>
      <c r="T899" s="66">
        <f t="shared" si="356"/>
        <v>2</v>
      </c>
      <c r="U899" s="4">
        <v>1.0</v>
      </c>
      <c r="X899" s="4">
        <v>2.0</v>
      </c>
      <c r="AB899" s="140"/>
      <c r="AC899" s="140"/>
    </row>
    <row r="900">
      <c r="A900" s="11">
        <v>46154.0</v>
      </c>
      <c r="B900" s="114" t="s">
        <v>10</v>
      </c>
      <c r="C900" s="114">
        <f>F900+F916</f>
        <v>41</v>
      </c>
      <c r="D900" s="6"/>
      <c r="F900" s="13">
        <f t="shared" si="354"/>
        <v>33</v>
      </c>
      <c r="G900" s="6">
        <f t="shared" si="355"/>
        <v>8</v>
      </c>
      <c r="I900" s="115">
        <v>2.0</v>
      </c>
      <c r="J900" s="115"/>
      <c r="K900" s="115">
        <v>5.0</v>
      </c>
      <c r="L900" s="115">
        <v>5.0</v>
      </c>
      <c r="M900" s="115">
        <v>5.0</v>
      </c>
      <c r="N900" s="115">
        <v>3.0</v>
      </c>
      <c r="O900" s="115">
        <v>4.0</v>
      </c>
      <c r="P900" s="115">
        <v>4.0</v>
      </c>
      <c r="Q900" s="115">
        <v>5.0</v>
      </c>
      <c r="R900" s="90" t="s">
        <v>10</v>
      </c>
      <c r="S900" s="82">
        <v>2.0</v>
      </c>
      <c r="T900" s="66">
        <f t="shared" si="356"/>
        <v>6</v>
      </c>
      <c r="U900" s="4">
        <v>2.0</v>
      </c>
      <c r="W900" s="4">
        <v>4.0</v>
      </c>
      <c r="X900" s="4">
        <v>2.0</v>
      </c>
      <c r="AB900" s="139"/>
      <c r="AC900" s="139"/>
    </row>
    <row r="901">
      <c r="A901" s="11">
        <v>46154.0</v>
      </c>
      <c r="B901" s="13" t="s">
        <v>11</v>
      </c>
      <c r="C901" s="4">
        <v>30.0</v>
      </c>
      <c r="D901" s="6"/>
      <c r="F901" s="13">
        <f t="shared" si="354"/>
        <v>28</v>
      </c>
      <c r="G901" s="6">
        <f t="shared" si="355"/>
        <v>2</v>
      </c>
      <c r="I901" s="13">
        <v>2.0</v>
      </c>
      <c r="K901" s="13">
        <v>5.0</v>
      </c>
      <c r="L901" s="4">
        <v>5.0</v>
      </c>
      <c r="M901" s="13">
        <v>5.0</v>
      </c>
      <c r="N901" s="13">
        <v>2.0</v>
      </c>
      <c r="O901" s="13">
        <v>2.0</v>
      </c>
      <c r="P901" s="4">
        <v>3.0</v>
      </c>
      <c r="Q901" s="4">
        <v>4.0</v>
      </c>
      <c r="R901" s="90" t="s">
        <v>11</v>
      </c>
      <c r="S901" s="6"/>
      <c r="T901" s="66">
        <f t="shared" si="356"/>
        <v>3</v>
      </c>
      <c r="U901" s="4">
        <v>1.0</v>
      </c>
      <c r="AA901" s="4">
        <v>1.0</v>
      </c>
      <c r="AB901" s="140"/>
      <c r="AC901" s="140">
        <v>2.0</v>
      </c>
    </row>
    <row r="902">
      <c r="A902" s="11">
        <v>46154.0</v>
      </c>
      <c r="B902" s="114" t="s">
        <v>12</v>
      </c>
      <c r="C902" s="115">
        <v>30.0</v>
      </c>
      <c r="D902" s="6"/>
      <c r="F902" s="13">
        <f t="shared" si="354"/>
        <v>28</v>
      </c>
      <c r="G902" s="6">
        <f t="shared" si="355"/>
        <v>2</v>
      </c>
      <c r="I902" s="115">
        <v>2.0</v>
      </c>
      <c r="J902" s="115"/>
      <c r="K902" s="115">
        <v>4.0</v>
      </c>
      <c r="L902" s="115">
        <v>5.0</v>
      </c>
      <c r="M902" s="115">
        <v>5.0</v>
      </c>
      <c r="N902" s="115">
        <v>2.0</v>
      </c>
      <c r="O902" s="115">
        <v>2.0</v>
      </c>
      <c r="P902" s="115">
        <v>4.0</v>
      </c>
      <c r="Q902" s="115">
        <v>4.0</v>
      </c>
      <c r="R902" s="90" t="s">
        <v>12</v>
      </c>
      <c r="S902" s="82">
        <v>2.0</v>
      </c>
      <c r="T902" s="66">
        <f t="shared" si="356"/>
        <v>0</v>
      </c>
      <c r="U902" s="4">
        <v>2.0</v>
      </c>
      <c r="AB902" s="139"/>
      <c r="AC902" s="139"/>
    </row>
    <row r="903">
      <c r="A903" s="11">
        <v>46154.0</v>
      </c>
      <c r="B903" s="13" t="s">
        <v>13</v>
      </c>
      <c r="C903" s="4">
        <v>40.0</v>
      </c>
      <c r="D903" s="82"/>
      <c r="F903" s="13">
        <f t="shared" si="354"/>
        <v>37</v>
      </c>
      <c r="G903" s="6">
        <f t="shared" si="355"/>
        <v>3</v>
      </c>
      <c r="I903" s="4">
        <v>3.0</v>
      </c>
      <c r="K903" s="4">
        <v>5.0</v>
      </c>
      <c r="L903" s="13">
        <v>5.0</v>
      </c>
      <c r="M903" s="4">
        <v>9.0</v>
      </c>
      <c r="N903" s="13">
        <v>2.0</v>
      </c>
      <c r="O903" s="4">
        <v>4.0</v>
      </c>
      <c r="P903" s="4">
        <v>4.0</v>
      </c>
      <c r="Q903" s="4">
        <v>5.0</v>
      </c>
      <c r="R903" s="90" t="s">
        <v>13</v>
      </c>
      <c r="S903" s="82">
        <v>14.0</v>
      </c>
      <c r="T903" s="66">
        <f t="shared" si="356"/>
        <v>3</v>
      </c>
      <c r="U903" s="4">
        <v>2.0</v>
      </c>
      <c r="W903" s="4">
        <v>2.0</v>
      </c>
      <c r="AA903" s="4">
        <v>1.0</v>
      </c>
      <c r="AB903" s="140"/>
      <c r="AC903" s="140"/>
    </row>
    <row r="904">
      <c r="A904" s="11">
        <v>46154.0</v>
      </c>
      <c r="B904" s="114" t="s">
        <v>14</v>
      </c>
      <c r="C904" s="114">
        <f>F904+F920</f>
        <v>27</v>
      </c>
      <c r="D904" s="6"/>
      <c r="F904" s="13">
        <f t="shared" si="354"/>
        <v>26</v>
      </c>
      <c r="G904" s="6">
        <f t="shared" si="355"/>
        <v>1</v>
      </c>
      <c r="I904" s="115">
        <v>2.0</v>
      </c>
      <c r="J904" s="115"/>
      <c r="K904" s="115">
        <v>4.0</v>
      </c>
      <c r="L904" s="115">
        <v>5.0</v>
      </c>
      <c r="M904" s="115">
        <v>6.0</v>
      </c>
      <c r="N904" s="115">
        <v>1.0</v>
      </c>
      <c r="O904" s="115">
        <v>2.0</v>
      </c>
      <c r="P904" s="115">
        <v>2.0</v>
      </c>
      <c r="Q904" s="115">
        <v>4.0</v>
      </c>
      <c r="R904" s="90" t="s">
        <v>14</v>
      </c>
      <c r="S904" s="82">
        <v>1.0</v>
      </c>
      <c r="T904" s="66">
        <f t="shared" si="356"/>
        <v>0</v>
      </c>
      <c r="AB904" s="139"/>
      <c r="AC904" s="139"/>
    </row>
    <row r="905">
      <c r="A905" s="11">
        <v>46154.0</v>
      </c>
      <c r="B905" s="13" t="s">
        <v>15</v>
      </c>
      <c r="C905" s="4">
        <v>322.0</v>
      </c>
      <c r="D905" s="82"/>
      <c r="F905" s="13">
        <f t="shared" si="354"/>
        <v>266</v>
      </c>
      <c r="G905" s="6">
        <f t="shared" si="355"/>
        <v>56</v>
      </c>
      <c r="I905" s="4">
        <v>20.0</v>
      </c>
      <c r="K905" s="4">
        <v>35.0</v>
      </c>
      <c r="L905" s="4">
        <v>41.0</v>
      </c>
      <c r="M905" s="4">
        <v>50.0</v>
      </c>
      <c r="N905" s="4">
        <v>25.0</v>
      </c>
      <c r="O905" s="4">
        <v>30.0</v>
      </c>
      <c r="P905" s="4">
        <v>25.0</v>
      </c>
      <c r="Q905" s="4">
        <v>40.0</v>
      </c>
      <c r="R905" s="90" t="s">
        <v>15</v>
      </c>
      <c r="S905" s="82">
        <v>21.0</v>
      </c>
      <c r="T905" s="66">
        <f t="shared" si="356"/>
        <v>14</v>
      </c>
      <c r="W905" s="4">
        <v>9.0</v>
      </c>
      <c r="X905" s="4">
        <v>5.0</v>
      </c>
      <c r="AB905" s="140"/>
      <c r="AC905" s="140"/>
    </row>
    <row r="906">
      <c r="A906" s="11">
        <v>46154.0</v>
      </c>
      <c r="B906" s="4" t="s">
        <v>16</v>
      </c>
      <c r="C906" s="13">
        <f>sum(C894:C905)</f>
        <v>755</v>
      </c>
      <c r="D906" s="6"/>
      <c r="F906" s="13">
        <f t="shared" ref="F906:G906" si="357">sum(F894:F905)</f>
        <v>661</v>
      </c>
      <c r="G906" s="6">
        <f t="shared" si="357"/>
        <v>94</v>
      </c>
      <c r="I906" s="157">
        <f t="shared" ref="I906:Q906" si="358">sum(I894:I905)</f>
        <v>44</v>
      </c>
      <c r="J906" s="157">
        <f t="shared" si="358"/>
        <v>0</v>
      </c>
      <c r="K906" s="157">
        <f t="shared" si="358"/>
        <v>88</v>
      </c>
      <c r="L906" s="157">
        <f t="shared" si="358"/>
        <v>108</v>
      </c>
      <c r="M906" s="157">
        <f t="shared" si="358"/>
        <v>122</v>
      </c>
      <c r="N906" s="157">
        <f t="shared" si="358"/>
        <v>55</v>
      </c>
      <c r="O906" s="157">
        <f t="shared" si="358"/>
        <v>68</v>
      </c>
      <c r="P906" s="157">
        <f t="shared" si="358"/>
        <v>75</v>
      </c>
      <c r="Q906" s="157">
        <f t="shared" si="358"/>
        <v>101</v>
      </c>
      <c r="R906" s="135"/>
      <c r="S906" s="158">
        <f t="shared" ref="S906:AC906" si="359">sum(S894:S905)</f>
        <v>76</v>
      </c>
      <c r="T906" s="136">
        <f t="shared" si="359"/>
        <v>56</v>
      </c>
      <c r="U906" s="135">
        <f t="shared" si="359"/>
        <v>11</v>
      </c>
      <c r="V906" s="135">
        <f t="shared" si="359"/>
        <v>0</v>
      </c>
      <c r="W906" s="135">
        <f t="shared" si="359"/>
        <v>28</v>
      </c>
      <c r="X906" s="135">
        <f t="shared" si="359"/>
        <v>21</v>
      </c>
      <c r="Y906" s="135">
        <f t="shared" si="359"/>
        <v>0</v>
      </c>
      <c r="Z906" s="135">
        <f t="shared" si="359"/>
        <v>0</v>
      </c>
      <c r="AA906" s="135">
        <f t="shared" si="359"/>
        <v>4</v>
      </c>
      <c r="AB906" s="135">
        <f t="shared" si="359"/>
        <v>0</v>
      </c>
      <c r="AC906" s="135">
        <f t="shared" si="359"/>
        <v>3</v>
      </c>
    </row>
    <row r="907">
      <c r="D907" s="6"/>
      <c r="I907" s="13">
        <f t="shared" ref="I907:Q907" si="360">I906-U906</f>
        <v>33</v>
      </c>
      <c r="J907" s="13">
        <f t="shared" si="360"/>
        <v>0</v>
      </c>
      <c r="K907" s="13">
        <f t="shared" si="360"/>
        <v>60</v>
      </c>
      <c r="L907" s="13">
        <f t="shared" si="360"/>
        <v>87</v>
      </c>
      <c r="M907" s="13">
        <f t="shared" si="360"/>
        <v>122</v>
      </c>
      <c r="N907" s="13">
        <f t="shared" si="360"/>
        <v>55</v>
      </c>
      <c r="O907" s="13">
        <f t="shared" si="360"/>
        <v>64</v>
      </c>
      <c r="P907" s="13">
        <f t="shared" si="360"/>
        <v>75</v>
      </c>
      <c r="Q907" s="13">
        <f t="shared" si="360"/>
        <v>98</v>
      </c>
    </row>
    <row r="908">
      <c r="D908" s="6"/>
      <c r="H908" s="149"/>
      <c r="I908" s="149" t="s">
        <v>114</v>
      </c>
      <c r="O908" s="149"/>
    </row>
    <row r="909">
      <c r="D909" s="6"/>
      <c r="F909" s="4" t="s">
        <v>16</v>
      </c>
      <c r="G909" s="4" t="s">
        <v>251</v>
      </c>
      <c r="H909" s="75" t="s">
        <v>253</v>
      </c>
      <c r="I909" s="4" t="s">
        <v>93</v>
      </c>
      <c r="J909" s="4" t="s">
        <v>227</v>
      </c>
      <c r="K909" s="4" t="s">
        <v>89</v>
      </c>
      <c r="L909" s="4" t="s">
        <v>80</v>
      </c>
      <c r="M909" s="4" t="s">
        <v>81</v>
      </c>
      <c r="N909" s="4" t="s">
        <v>232</v>
      </c>
      <c r="O909" s="4" t="s">
        <v>180</v>
      </c>
      <c r="P909" s="4" t="s">
        <v>264</v>
      </c>
      <c r="Q909" s="4" t="s">
        <v>280</v>
      </c>
      <c r="R909" s="127" t="s">
        <v>236</v>
      </c>
      <c r="S909" s="128" t="s">
        <v>233</v>
      </c>
      <c r="T909" s="128" t="s">
        <v>234</v>
      </c>
      <c r="U909" s="128" t="s">
        <v>238</v>
      </c>
      <c r="V909" s="128" t="s">
        <v>231</v>
      </c>
      <c r="W909" s="128" t="s">
        <v>239</v>
      </c>
      <c r="X909" s="128" t="s">
        <v>246</v>
      </c>
      <c r="Y909" s="128" t="s">
        <v>247</v>
      </c>
      <c r="Z909" s="128" t="s">
        <v>248</v>
      </c>
      <c r="AA909" s="128" t="s">
        <v>267</v>
      </c>
      <c r="AB909" s="130" t="s">
        <v>268</v>
      </c>
      <c r="AC909" s="130" t="s">
        <v>169</v>
      </c>
    </row>
    <row r="910">
      <c r="B910" s="114" t="s">
        <v>4</v>
      </c>
      <c r="D910" s="6"/>
      <c r="F910" s="13">
        <f t="shared" ref="F910:F921" si="361">sum(I910:Q910)</f>
        <v>14</v>
      </c>
      <c r="G910" s="6">
        <f t="shared" ref="G910:G921" si="362">S894+T894</f>
        <v>14</v>
      </c>
      <c r="H910" s="159">
        <f t="shared" ref="H910:H921" si="363">G910-sum(I910:Q910)</f>
        <v>0</v>
      </c>
      <c r="L910" s="150">
        <v>5.0</v>
      </c>
      <c r="M910" s="67">
        <v>3.0</v>
      </c>
      <c r="O910" s="67">
        <v>2.0</v>
      </c>
      <c r="Q910" s="4">
        <v>4.0</v>
      </c>
      <c r="R910" s="154" t="s">
        <v>4</v>
      </c>
      <c r="S910" s="67"/>
      <c r="T910" s="66">
        <f t="shared" ref="T910:T921" si="364">sum(U910:AC910)</f>
        <v>0</v>
      </c>
      <c r="V910" s="67"/>
      <c r="AB910" s="138"/>
      <c r="AC910" s="138"/>
    </row>
    <row r="911">
      <c r="B911" s="13" t="s">
        <v>5</v>
      </c>
      <c r="D911" s="6"/>
      <c r="F911" s="13">
        <f t="shared" si="361"/>
        <v>13</v>
      </c>
      <c r="G911" s="6">
        <f t="shared" si="362"/>
        <v>13</v>
      </c>
      <c r="H911" s="159">
        <f t="shared" si="363"/>
        <v>0</v>
      </c>
      <c r="L911" s="150">
        <v>3.0</v>
      </c>
      <c r="M911" s="67">
        <v>3.0</v>
      </c>
      <c r="O911" s="4">
        <v>4.0</v>
      </c>
      <c r="Q911" s="4">
        <v>3.0</v>
      </c>
      <c r="R911" s="154" t="s">
        <v>5</v>
      </c>
      <c r="S911" s="67"/>
      <c r="T911" s="66">
        <f t="shared" si="364"/>
        <v>0</v>
      </c>
      <c r="V911" s="67"/>
      <c r="AB911" s="140"/>
      <c r="AC911" s="140"/>
    </row>
    <row r="912">
      <c r="B912" s="114" t="s">
        <v>6</v>
      </c>
      <c r="D912" s="6"/>
      <c r="F912" s="13">
        <f t="shared" si="361"/>
        <v>7</v>
      </c>
      <c r="G912" s="6">
        <f t="shared" si="362"/>
        <v>7</v>
      </c>
      <c r="H912" s="159">
        <f t="shared" si="363"/>
        <v>0</v>
      </c>
      <c r="L912" s="150">
        <v>1.0</v>
      </c>
      <c r="M912" s="67">
        <v>2.0</v>
      </c>
      <c r="O912" s="67">
        <v>2.0</v>
      </c>
      <c r="Q912" s="4">
        <v>2.0</v>
      </c>
      <c r="R912" s="154" t="s">
        <v>6</v>
      </c>
      <c r="S912" s="67"/>
      <c r="T912" s="66">
        <f t="shared" si="364"/>
        <v>0</v>
      </c>
      <c r="V912" s="67"/>
      <c r="AB912" s="139"/>
      <c r="AC912" s="139"/>
    </row>
    <row r="913">
      <c r="B913" s="13" t="s">
        <v>7</v>
      </c>
      <c r="D913" s="6"/>
      <c r="F913" s="13">
        <f t="shared" si="361"/>
        <v>8</v>
      </c>
      <c r="G913" s="6">
        <f t="shared" si="362"/>
        <v>8</v>
      </c>
      <c r="H913" s="159">
        <f t="shared" si="363"/>
        <v>0</v>
      </c>
      <c r="L913" s="150">
        <v>1.0</v>
      </c>
      <c r="M913" s="67">
        <v>2.0</v>
      </c>
      <c r="O913" s="67">
        <v>3.0</v>
      </c>
      <c r="Q913" s="4">
        <v>2.0</v>
      </c>
      <c r="R913" s="154" t="s">
        <v>7</v>
      </c>
      <c r="S913" s="67"/>
      <c r="T913" s="66">
        <f t="shared" si="364"/>
        <v>0</v>
      </c>
      <c r="V913" s="67"/>
      <c r="AB913" s="140"/>
      <c r="AC913" s="140"/>
    </row>
    <row r="914">
      <c r="B914" s="114" t="s">
        <v>8</v>
      </c>
      <c r="D914" s="6"/>
      <c r="F914" s="13">
        <f t="shared" si="361"/>
        <v>20</v>
      </c>
      <c r="G914" s="6">
        <f t="shared" si="362"/>
        <v>20</v>
      </c>
      <c r="H914" s="159">
        <f t="shared" si="363"/>
        <v>0</v>
      </c>
      <c r="L914" s="150">
        <v>4.0</v>
      </c>
      <c r="M914" s="67">
        <v>6.0</v>
      </c>
      <c r="O914" s="67">
        <v>5.0</v>
      </c>
      <c r="Q914" s="4">
        <v>5.0</v>
      </c>
      <c r="R914" s="154" t="s">
        <v>8</v>
      </c>
      <c r="S914" s="67"/>
      <c r="T914" s="66">
        <f t="shared" si="364"/>
        <v>0</v>
      </c>
      <c r="V914" s="67"/>
      <c r="AB914" s="134"/>
      <c r="AC914" s="134"/>
    </row>
    <row r="915">
      <c r="B915" s="13" t="s">
        <v>9</v>
      </c>
      <c r="D915" s="6"/>
      <c r="F915" s="13">
        <f t="shared" si="361"/>
        <v>4</v>
      </c>
      <c r="G915" s="6">
        <f t="shared" si="362"/>
        <v>4</v>
      </c>
      <c r="H915" s="159">
        <f t="shared" si="363"/>
        <v>0</v>
      </c>
      <c r="L915" s="150">
        <v>1.0</v>
      </c>
      <c r="M915" s="4">
        <v>1.0</v>
      </c>
      <c r="O915" s="67">
        <v>1.0</v>
      </c>
      <c r="Q915" s="4">
        <v>1.0</v>
      </c>
      <c r="R915" s="154" t="s">
        <v>9</v>
      </c>
      <c r="S915" s="67"/>
      <c r="T915" s="66">
        <f t="shared" si="364"/>
        <v>0</v>
      </c>
      <c r="V915" s="67"/>
      <c r="AB915" s="133"/>
      <c r="AC915" s="133"/>
    </row>
    <row r="916">
      <c r="B916" s="114" t="s">
        <v>10</v>
      </c>
      <c r="D916" s="6"/>
      <c r="F916" s="13">
        <f t="shared" si="361"/>
        <v>8</v>
      </c>
      <c r="G916" s="6">
        <f t="shared" si="362"/>
        <v>8</v>
      </c>
      <c r="H916" s="159">
        <f t="shared" si="363"/>
        <v>0</v>
      </c>
      <c r="L916" s="150">
        <v>2.0</v>
      </c>
      <c r="M916" s="67">
        <v>2.0</v>
      </c>
      <c r="O916" s="67">
        <v>2.0</v>
      </c>
      <c r="Q916" s="4">
        <v>2.0</v>
      </c>
      <c r="R916" s="154" t="s">
        <v>10</v>
      </c>
      <c r="S916" s="67"/>
      <c r="T916" s="66">
        <f t="shared" si="364"/>
        <v>0</v>
      </c>
      <c r="V916" s="67"/>
      <c r="AB916" s="134"/>
      <c r="AC916" s="134"/>
    </row>
    <row r="917">
      <c r="B917" s="13" t="s">
        <v>11</v>
      </c>
      <c r="D917" s="6"/>
      <c r="F917" s="13">
        <f t="shared" si="361"/>
        <v>3</v>
      </c>
      <c r="G917" s="6">
        <f t="shared" si="362"/>
        <v>3</v>
      </c>
      <c r="H917" s="159">
        <f t="shared" si="363"/>
        <v>0</v>
      </c>
      <c r="L917" s="150">
        <v>1.0</v>
      </c>
      <c r="M917" s="67">
        <v>1.0</v>
      </c>
      <c r="O917" s="67">
        <v>1.0</v>
      </c>
      <c r="R917" s="154" t="s">
        <v>11</v>
      </c>
      <c r="S917" s="67"/>
      <c r="T917" s="66">
        <f t="shared" si="364"/>
        <v>0</v>
      </c>
      <c r="V917" s="67"/>
      <c r="AB917" s="140"/>
      <c r="AC917" s="140"/>
    </row>
    <row r="918">
      <c r="B918" s="114" t="s">
        <v>12</v>
      </c>
      <c r="D918" s="6"/>
      <c r="F918" s="13">
        <f t="shared" si="361"/>
        <v>2</v>
      </c>
      <c r="G918" s="6">
        <f t="shared" si="362"/>
        <v>2</v>
      </c>
      <c r="H918" s="159">
        <f t="shared" si="363"/>
        <v>0</v>
      </c>
      <c r="L918" s="152"/>
      <c r="O918" s="67"/>
      <c r="Q918" s="4">
        <v>2.0</v>
      </c>
      <c r="R918" s="154" t="s">
        <v>12</v>
      </c>
      <c r="S918" s="67"/>
      <c r="T918" s="66">
        <f t="shared" si="364"/>
        <v>0</v>
      </c>
      <c r="V918" s="66"/>
      <c r="AB918" s="139"/>
      <c r="AC918" s="139"/>
    </row>
    <row r="919">
      <c r="B919" s="13" t="s">
        <v>13</v>
      </c>
      <c r="D919" s="6"/>
      <c r="F919" s="13">
        <f t="shared" si="361"/>
        <v>17</v>
      </c>
      <c r="G919" s="6">
        <f t="shared" si="362"/>
        <v>17</v>
      </c>
      <c r="H919" s="159">
        <f t="shared" si="363"/>
        <v>0</v>
      </c>
      <c r="L919" s="150">
        <v>3.0</v>
      </c>
      <c r="M919" s="4">
        <v>5.0</v>
      </c>
      <c r="O919" s="4">
        <v>5.0</v>
      </c>
      <c r="Q919" s="4">
        <v>4.0</v>
      </c>
      <c r="R919" s="154" t="s">
        <v>13</v>
      </c>
      <c r="S919" s="67"/>
      <c r="T919" s="66">
        <f t="shared" si="364"/>
        <v>0</v>
      </c>
      <c r="V919" s="67"/>
      <c r="AB919" s="140"/>
      <c r="AC919" s="140"/>
    </row>
    <row r="920">
      <c r="B920" s="114" t="s">
        <v>14</v>
      </c>
      <c r="F920" s="13">
        <f t="shared" si="361"/>
        <v>1</v>
      </c>
      <c r="G920" s="6">
        <f t="shared" si="362"/>
        <v>1</v>
      </c>
      <c r="H920" s="159">
        <f t="shared" si="363"/>
        <v>0</v>
      </c>
      <c r="K920" s="67"/>
      <c r="L920" s="152"/>
      <c r="O920" s="67"/>
      <c r="Q920" s="4">
        <v>1.0</v>
      </c>
      <c r="R920" s="154" t="s">
        <v>14</v>
      </c>
      <c r="S920" s="67"/>
      <c r="T920" s="66">
        <f t="shared" si="364"/>
        <v>0</v>
      </c>
      <c r="V920" s="67"/>
      <c r="AB920" s="134"/>
      <c r="AC920" s="134"/>
    </row>
    <row r="921">
      <c r="B921" s="13" t="s">
        <v>15</v>
      </c>
      <c r="F921" s="13">
        <f t="shared" si="361"/>
        <v>35</v>
      </c>
      <c r="G921" s="6">
        <f t="shared" si="362"/>
        <v>35</v>
      </c>
      <c r="H921" s="159">
        <f t="shared" si="363"/>
        <v>0</v>
      </c>
      <c r="L921" s="150">
        <v>8.0</v>
      </c>
      <c r="M921" s="4">
        <v>8.0</v>
      </c>
      <c r="O921" s="67">
        <v>9.0</v>
      </c>
      <c r="Q921" s="4">
        <v>10.0</v>
      </c>
      <c r="R921" s="154" t="s">
        <v>15</v>
      </c>
      <c r="S921" s="67"/>
      <c r="T921" s="66">
        <f t="shared" si="364"/>
        <v>0</v>
      </c>
      <c r="V921" s="67"/>
      <c r="AB921" s="140"/>
      <c r="AC921" s="140"/>
    </row>
    <row r="922">
      <c r="G922" s="6">
        <f t="shared" ref="G922:Q922" si="365">sum(G910:G921)</f>
        <v>132</v>
      </c>
      <c r="H922" s="6">
        <f t="shared" si="365"/>
        <v>0</v>
      </c>
      <c r="I922" s="97">
        <f t="shared" si="365"/>
        <v>0</v>
      </c>
      <c r="J922" s="97">
        <f t="shared" si="365"/>
        <v>0</v>
      </c>
      <c r="K922" s="97">
        <f t="shared" si="365"/>
        <v>0</v>
      </c>
      <c r="L922" s="153">
        <f t="shared" si="365"/>
        <v>29</v>
      </c>
      <c r="M922" s="118">
        <f t="shared" si="365"/>
        <v>33</v>
      </c>
      <c r="N922" s="97">
        <f t="shared" si="365"/>
        <v>0</v>
      </c>
      <c r="O922" s="118">
        <f t="shared" si="365"/>
        <v>34</v>
      </c>
      <c r="P922" s="97">
        <f t="shared" si="365"/>
        <v>0</v>
      </c>
      <c r="Q922" s="97">
        <f t="shared" si="365"/>
        <v>36</v>
      </c>
      <c r="R922" s="135"/>
      <c r="S922" s="136">
        <f t="shared" ref="S922:V922" si="366">sum(S910:S921)</f>
        <v>0</v>
      </c>
      <c r="T922" s="136">
        <f t="shared" si="366"/>
        <v>0</v>
      </c>
      <c r="U922" s="135">
        <f t="shared" si="366"/>
        <v>0</v>
      </c>
      <c r="V922" s="136">
        <f t="shared" si="366"/>
        <v>0</v>
      </c>
      <c r="W922" s="137">
        <v>4.0</v>
      </c>
      <c r="X922" s="135">
        <f t="shared" ref="X922:AC922" si="367">sum(X910:X921)</f>
        <v>0</v>
      </c>
      <c r="Y922" s="135">
        <f t="shared" si="367"/>
        <v>0</v>
      </c>
      <c r="Z922" s="135">
        <f t="shared" si="367"/>
        <v>0</v>
      </c>
      <c r="AA922" s="135">
        <f t="shared" si="367"/>
        <v>0</v>
      </c>
      <c r="AB922" s="135">
        <f t="shared" si="367"/>
        <v>0</v>
      </c>
      <c r="AC922" s="135">
        <f t="shared" si="367"/>
        <v>0</v>
      </c>
    </row>
    <row r="923">
      <c r="D923" s="6"/>
    </row>
    <row r="924">
      <c r="C924" s="4" t="s">
        <v>270</v>
      </c>
      <c r="D924" s="82" t="s">
        <v>2</v>
      </c>
      <c r="E924" s="4" t="s">
        <v>272</v>
      </c>
      <c r="F924" s="4" t="s">
        <v>16</v>
      </c>
      <c r="G924" s="4" t="s">
        <v>276</v>
      </c>
      <c r="H924" s="4" t="s">
        <v>277</v>
      </c>
      <c r="I924" s="4" t="s">
        <v>93</v>
      </c>
      <c r="J924" s="4" t="s">
        <v>227</v>
      </c>
      <c r="K924" s="4" t="s">
        <v>89</v>
      </c>
      <c r="L924" s="4" t="s">
        <v>80</v>
      </c>
      <c r="M924" s="4" t="s">
        <v>81</v>
      </c>
      <c r="N924" s="4" t="s">
        <v>232</v>
      </c>
      <c r="O924" s="4" t="s">
        <v>180</v>
      </c>
      <c r="P924" s="4" t="s">
        <v>264</v>
      </c>
      <c r="Q924" s="4" t="s">
        <v>169</v>
      </c>
      <c r="R924" s="127" t="s">
        <v>236</v>
      </c>
      <c r="S924" s="128" t="s">
        <v>233</v>
      </c>
      <c r="T924" s="128" t="s">
        <v>234</v>
      </c>
      <c r="U924" s="128" t="s">
        <v>238</v>
      </c>
      <c r="V924" s="128" t="s">
        <v>231</v>
      </c>
      <c r="W924" s="128" t="s">
        <v>239</v>
      </c>
      <c r="X924" s="128" t="s">
        <v>246</v>
      </c>
      <c r="Y924" s="128" t="s">
        <v>247</v>
      </c>
      <c r="Z924" s="128" t="s">
        <v>248</v>
      </c>
      <c r="AA924" s="128" t="s">
        <v>282</v>
      </c>
      <c r="AB924" s="130" t="s">
        <v>268</v>
      </c>
      <c r="AC924" s="130" t="s">
        <v>169</v>
      </c>
    </row>
    <row r="925">
      <c r="A925" s="11">
        <v>46155.0</v>
      </c>
      <c r="B925" s="114" t="s">
        <v>4</v>
      </c>
      <c r="C925" s="115">
        <v>57.0</v>
      </c>
      <c r="D925" s="82">
        <v>6.0</v>
      </c>
      <c r="F925" s="13">
        <f t="shared" ref="F925:F936" si="368">sum(H925:P925)+Q925</f>
        <v>49</v>
      </c>
      <c r="G925" s="6">
        <f t="shared" ref="G925:G936" si="369">C925+D925-F925+E925</f>
        <v>14</v>
      </c>
      <c r="I925" s="115">
        <v>4.0</v>
      </c>
      <c r="J925" s="115"/>
      <c r="K925" s="115">
        <v>3.0</v>
      </c>
      <c r="L925" s="115">
        <v>7.0</v>
      </c>
      <c r="M925" s="115">
        <v>9.0</v>
      </c>
      <c r="N925" s="115">
        <v>5.0</v>
      </c>
      <c r="O925" s="115">
        <v>5.0</v>
      </c>
      <c r="P925" s="115">
        <v>7.0</v>
      </c>
      <c r="Q925" s="115">
        <v>9.0</v>
      </c>
      <c r="R925" s="90" t="s">
        <v>4</v>
      </c>
      <c r="S925" s="82">
        <v>17.0</v>
      </c>
      <c r="T925" s="66">
        <f t="shared" ref="T925:T936" si="370">sum(V925:AC925)</f>
        <v>2</v>
      </c>
      <c r="AA925" s="4">
        <v>2.0</v>
      </c>
      <c r="AB925" s="138"/>
      <c r="AC925" s="138"/>
    </row>
    <row r="926">
      <c r="A926" s="11">
        <v>46155.0</v>
      </c>
      <c r="B926" s="13" t="s">
        <v>5</v>
      </c>
      <c r="C926" s="13">
        <f t="shared" ref="C926:C935" si="371">F926+F942</f>
        <v>33</v>
      </c>
      <c r="D926" s="82"/>
      <c r="F926" s="13">
        <f t="shared" si="368"/>
        <v>28</v>
      </c>
      <c r="G926" s="6">
        <f t="shared" si="369"/>
        <v>5</v>
      </c>
      <c r="I926" s="13">
        <v>2.0</v>
      </c>
      <c r="K926" s="4">
        <v>3.0</v>
      </c>
      <c r="L926" s="4">
        <v>5.0</v>
      </c>
      <c r="M926" s="13">
        <v>5.0</v>
      </c>
      <c r="N926" s="13">
        <v>3.0</v>
      </c>
      <c r="O926" s="13">
        <v>3.0</v>
      </c>
      <c r="P926" s="13">
        <v>3.0</v>
      </c>
      <c r="Q926" s="4">
        <v>4.0</v>
      </c>
      <c r="R926" s="90" t="s">
        <v>5</v>
      </c>
      <c r="S926" s="82">
        <v>10.0</v>
      </c>
      <c r="T926" s="66">
        <f t="shared" si="370"/>
        <v>0</v>
      </c>
      <c r="AB926" s="140"/>
      <c r="AC926" s="140"/>
    </row>
    <row r="927">
      <c r="A927" s="11">
        <v>46155.0</v>
      </c>
      <c r="B927" s="114" t="s">
        <v>6</v>
      </c>
      <c r="C927" s="114">
        <f t="shared" si="371"/>
        <v>30</v>
      </c>
      <c r="D927" s="6"/>
      <c r="F927" s="13">
        <f t="shared" si="368"/>
        <v>25</v>
      </c>
      <c r="G927" s="6">
        <f t="shared" si="369"/>
        <v>5</v>
      </c>
      <c r="I927" s="115">
        <v>1.0</v>
      </c>
      <c r="J927" s="115"/>
      <c r="K927" s="115">
        <v>3.0</v>
      </c>
      <c r="L927" s="115">
        <v>4.0</v>
      </c>
      <c r="M927" s="115">
        <v>5.0</v>
      </c>
      <c r="N927" s="115">
        <v>2.0</v>
      </c>
      <c r="O927" s="115">
        <v>3.0</v>
      </c>
      <c r="P927" s="115">
        <v>3.0</v>
      </c>
      <c r="Q927" s="115">
        <v>4.0</v>
      </c>
      <c r="R927" s="90" t="s">
        <v>6</v>
      </c>
      <c r="S927" s="82">
        <v>7.0</v>
      </c>
      <c r="T927" s="66">
        <f t="shared" si="370"/>
        <v>2</v>
      </c>
      <c r="Z927" s="4">
        <v>2.0</v>
      </c>
      <c r="AB927" s="139"/>
      <c r="AC927" s="139"/>
    </row>
    <row r="928">
      <c r="A928" s="11">
        <v>46155.0</v>
      </c>
      <c r="B928" s="13" t="s">
        <v>7</v>
      </c>
      <c r="C928" s="13">
        <f t="shared" si="371"/>
        <v>29</v>
      </c>
      <c r="D928" s="6"/>
      <c r="F928" s="13">
        <f t="shared" si="368"/>
        <v>26</v>
      </c>
      <c r="G928" s="6">
        <f t="shared" si="369"/>
        <v>3</v>
      </c>
      <c r="I928" s="13">
        <v>1.0</v>
      </c>
      <c r="K928" s="4">
        <v>3.0</v>
      </c>
      <c r="L928" s="4">
        <v>4.0</v>
      </c>
      <c r="M928" s="4">
        <v>5.0</v>
      </c>
      <c r="N928" s="4">
        <v>2.0</v>
      </c>
      <c r="O928" s="4">
        <v>3.0</v>
      </c>
      <c r="P928" s="4">
        <v>4.0</v>
      </c>
      <c r="Q928" s="4">
        <v>4.0</v>
      </c>
      <c r="R928" s="90" t="s">
        <v>7</v>
      </c>
      <c r="S928" s="82">
        <v>5.0</v>
      </c>
      <c r="T928" s="66">
        <f t="shared" si="370"/>
        <v>4</v>
      </c>
      <c r="Y928" s="4">
        <v>2.0</v>
      </c>
      <c r="Z928" s="4">
        <v>2.0</v>
      </c>
      <c r="AB928" s="140"/>
      <c r="AC928" s="140"/>
    </row>
    <row r="929">
      <c r="A929" s="11">
        <v>46155.0</v>
      </c>
      <c r="B929" s="114" t="s">
        <v>8</v>
      </c>
      <c r="C929" s="114">
        <f t="shared" si="371"/>
        <v>58</v>
      </c>
      <c r="D929" s="82"/>
      <c r="F929" s="13">
        <f t="shared" si="368"/>
        <v>52</v>
      </c>
      <c r="G929" s="6">
        <f t="shared" si="369"/>
        <v>6</v>
      </c>
      <c r="I929" s="115">
        <v>3.0</v>
      </c>
      <c r="J929" s="115"/>
      <c r="K929" s="115">
        <v>4.0</v>
      </c>
      <c r="L929" s="115">
        <v>7.0</v>
      </c>
      <c r="M929" s="115">
        <v>9.0</v>
      </c>
      <c r="N929" s="115">
        <v>4.0</v>
      </c>
      <c r="O929" s="115">
        <v>7.0</v>
      </c>
      <c r="P929" s="115">
        <v>9.0</v>
      </c>
      <c r="Q929" s="115">
        <v>9.0</v>
      </c>
      <c r="R929" s="90" t="s">
        <v>8</v>
      </c>
      <c r="S929" s="82">
        <v>12.0</v>
      </c>
      <c r="T929" s="66">
        <f t="shared" si="370"/>
        <v>0</v>
      </c>
      <c r="AB929" s="139"/>
      <c r="AC929" s="139"/>
    </row>
    <row r="930">
      <c r="A930" s="11">
        <v>46155.0</v>
      </c>
      <c r="B930" s="13" t="s">
        <v>9</v>
      </c>
      <c r="C930" s="13">
        <f t="shared" si="371"/>
        <v>56</v>
      </c>
      <c r="D930" s="6"/>
      <c r="F930" s="13">
        <f t="shared" si="368"/>
        <v>50</v>
      </c>
      <c r="G930" s="6">
        <f t="shared" si="369"/>
        <v>6</v>
      </c>
      <c r="I930" s="13">
        <v>2.0</v>
      </c>
      <c r="K930" s="4">
        <v>5.0</v>
      </c>
      <c r="L930" s="4">
        <v>7.0</v>
      </c>
      <c r="M930" s="4">
        <v>9.0</v>
      </c>
      <c r="N930" s="13">
        <v>4.0</v>
      </c>
      <c r="O930" s="4">
        <v>7.0</v>
      </c>
      <c r="P930" s="4">
        <v>7.0</v>
      </c>
      <c r="Q930" s="4">
        <v>9.0</v>
      </c>
      <c r="R930" s="90" t="s">
        <v>9</v>
      </c>
      <c r="S930" s="82">
        <v>11.0</v>
      </c>
      <c r="T930" s="66">
        <f t="shared" si="370"/>
        <v>1</v>
      </c>
      <c r="Z930" s="4">
        <v>1.0</v>
      </c>
      <c r="AB930" s="140"/>
      <c r="AC930" s="140"/>
    </row>
    <row r="931">
      <c r="A931" s="11">
        <v>46155.0</v>
      </c>
      <c r="B931" s="114" t="s">
        <v>10</v>
      </c>
      <c r="C931" s="114">
        <f t="shared" si="371"/>
        <v>34</v>
      </c>
      <c r="D931" s="6"/>
      <c r="F931" s="13">
        <f t="shared" si="368"/>
        <v>31</v>
      </c>
      <c r="G931" s="6">
        <f t="shared" si="369"/>
        <v>3</v>
      </c>
      <c r="I931" s="115">
        <v>2.0</v>
      </c>
      <c r="J931" s="115"/>
      <c r="K931" s="115">
        <v>3.0</v>
      </c>
      <c r="L931" s="115">
        <v>5.0</v>
      </c>
      <c r="M931" s="115">
        <v>5.0</v>
      </c>
      <c r="N931" s="115">
        <v>3.0</v>
      </c>
      <c r="O931" s="115">
        <v>4.0</v>
      </c>
      <c r="P931" s="115">
        <v>4.0</v>
      </c>
      <c r="Q931" s="115">
        <v>5.0</v>
      </c>
      <c r="R931" s="90" t="s">
        <v>10</v>
      </c>
      <c r="S931" s="82">
        <v>5.0</v>
      </c>
      <c r="T931" s="66">
        <f t="shared" si="370"/>
        <v>4</v>
      </c>
      <c r="Z931" s="4">
        <v>3.0</v>
      </c>
      <c r="AB931" s="139">
        <v>1.0</v>
      </c>
      <c r="AC931" s="139"/>
    </row>
    <row r="932">
      <c r="A932" s="11">
        <v>46155.0</v>
      </c>
      <c r="B932" s="13" t="s">
        <v>11</v>
      </c>
      <c r="C932" s="13">
        <f t="shared" si="371"/>
        <v>31</v>
      </c>
      <c r="D932" s="6"/>
      <c r="F932" s="13">
        <f t="shared" si="368"/>
        <v>28</v>
      </c>
      <c r="G932" s="6">
        <f t="shared" si="369"/>
        <v>3</v>
      </c>
      <c r="I932" s="13">
        <v>2.0</v>
      </c>
      <c r="K932" s="13">
        <v>5.0</v>
      </c>
      <c r="L932" s="4">
        <v>5.0</v>
      </c>
      <c r="M932" s="13">
        <v>5.0</v>
      </c>
      <c r="N932" s="13">
        <v>2.0</v>
      </c>
      <c r="O932" s="13">
        <v>2.0</v>
      </c>
      <c r="P932" s="4">
        <v>3.0</v>
      </c>
      <c r="Q932" s="4">
        <v>4.0</v>
      </c>
      <c r="R932" s="90" t="s">
        <v>11</v>
      </c>
      <c r="S932" s="82">
        <v>1.0</v>
      </c>
      <c r="T932" s="66">
        <f t="shared" si="370"/>
        <v>4</v>
      </c>
      <c r="U932" s="4">
        <v>1.0</v>
      </c>
      <c r="Y932" s="4">
        <v>1.0</v>
      </c>
      <c r="AA932" s="4">
        <v>2.0</v>
      </c>
      <c r="AB932" s="140">
        <v>1.0</v>
      </c>
      <c r="AC932" s="140"/>
    </row>
    <row r="933">
      <c r="A933" s="11">
        <v>46155.0</v>
      </c>
      <c r="B933" s="114" t="s">
        <v>12</v>
      </c>
      <c r="C933" s="114">
        <f t="shared" si="371"/>
        <v>32</v>
      </c>
      <c r="D933" s="6"/>
      <c r="F933" s="13">
        <f t="shared" si="368"/>
        <v>27</v>
      </c>
      <c r="G933" s="6">
        <f t="shared" si="369"/>
        <v>5</v>
      </c>
      <c r="I933" s="115">
        <v>2.0</v>
      </c>
      <c r="J933" s="115"/>
      <c r="K933" s="115">
        <v>3.0</v>
      </c>
      <c r="L933" s="115">
        <v>4.0</v>
      </c>
      <c r="M933" s="115">
        <v>5.0</v>
      </c>
      <c r="N933" s="115">
        <v>2.0</v>
      </c>
      <c r="O933" s="115">
        <v>3.0</v>
      </c>
      <c r="P933" s="115">
        <v>4.0</v>
      </c>
      <c r="Q933" s="115">
        <v>4.0</v>
      </c>
      <c r="R933" s="90" t="s">
        <v>12</v>
      </c>
      <c r="S933" s="82">
        <v>6.0</v>
      </c>
      <c r="T933" s="66">
        <f t="shared" si="370"/>
        <v>4</v>
      </c>
      <c r="U933" s="4">
        <v>1.0</v>
      </c>
      <c r="Z933" s="4">
        <v>1.0</v>
      </c>
      <c r="AA933" s="4">
        <v>3.0</v>
      </c>
      <c r="AB933" s="139"/>
      <c r="AC933" s="139"/>
    </row>
    <row r="934">
      <c r="A934" s="11">
        <v>46155.0</v>
      </c>
      <c r="B934" s="13" t="s">
        <v>13</v>
      </c>
      <c r="C934" s="13">
        <f t="shared" si="371"/>
        <v>44</v>
      </c>
      <c r="D934" s="82"/>
      <c r="F934" s="13">
        <f t="shared" si="368"/>
        <v>35</v>
      </c>
      <c r="G934" s="6">
        <f t="shared" si="369"/>
        <v>9</v>
      </c>
      <c r="I934" s="4">
        <v>3.0</v>
      </c>
      <c r="K934" s="4">
        <v>2.0</v>
      </c>
      <c r="L934" s="4">
        <v>5.0</v>
      </c>
      <c r="M934" s="4">
        <v>9.0</v>
      </c>
      <c r="N934" s="13">
        <v>2.0</v>
      </c>
      <c r="O934" s="4">
        <v>5.0</v>
      </c>
      <c r="P934" s="4">
        <v>4.0</v>
      </c>
      <c r="Q934" s="4">
        <v>5.0</v>
      </c>
      <c r="R934" s="90" t="s">
        <v>13</v>
      </c>
      <c r="S934" s="82">
        <v>1.0</v>
      </c>
      <c r="T934" s="66">
        <f t="shared" si="370"/>
        <v>0</v>
      </c>
      <c r="U934" s="4">
        <v>2.0</v>
      </c>
      <c r="AB934" s="140"/>
      <c r="AC934" s="140"/>
    </row>
    <row r="935">
      <c r="A935" s="11">
        <v>46155.0</v>
      </c>
      <c r="B935" s="114" t="s">
        <v>14</v>
      </c>
      <c r="C935" s="114">
        <f t="shared" si="371"/>
        <v>30</v>
      </c>
      <c r="D935" s="6"/>
      <c r="F935" s="13">
        <f t="shared" si="368"/>
        <v>27</v>
      </c>
      <c r="G935" s="6">
        <f t="shared" si="369"/>
        <v>3</v>
      </c>
      <c r="I935" s="115">
        <v>2.0</v>
      </c>
      <c r="J935" s="115"/>
      <c r="K935" s="115">
        <v>4.0</v>
      </c>
      <c r="L935" s="115">
        <v>5.0</v>
      </c>
      <c r="M935" s="115">
        <v>6.0</v>
      </c>
      <c r="N935" s="115">
        <v>1.0</v>
      </c>
      <c r="O935" s="115">
        <v>3.0</v>
      </c>
      <c r="P935" s="115">
        <v>2.0</v>
      </c>
      <c r="Q935" s="115">
        <v>4.0</v>
      </c>
      <c r="R935" s="90" t="s">
        <v>14</v>
      </c>
      <c r="S935" s="82">
        <v>3.0</v>
      </c>
      <c r="T935" s="66">
        <f t="shared" si="370"/>
        <v>5</v>
      </c>
      <c r="Y935" s="4">
        <v>2.0</v>
      </c>
      <c r="Z935" s="4">
        <v>1.0</v>
      </c>
      <c r="AA935" s="4">
        <v>2.0</v>
      </c>
      <c r="AB935" s="139"/>
      <c r="AC935" s="139"/>
    </row>
    <row r="936">
      <c r="A936" s="11">
        <v>46155.0</v>
      </c>
      <c r="B936" s="13" t="s">
        <v>15</v>
      </c>
      <c r="C936" s="4">
        <v>260.0</v>
      </c>
      <c r="D936" s="82">
        <v>56.0</v>
      </c>
      <c r="F936" s="13">
        <f t="shared" si="368"/>
        <v>263</v>
      </c>
      <c r="G936" s="6">
        <f t="shared" si="369"/>
        <v>53</v>
      </c>
      <c r="I936" s="4">
        <v>20.0</v>
      </c>
      <c r="K936" s="4">
        <v>30.0</v>
      </c>
      <c r="L936" s="4">
        <v>37.0</v>
      </c>
      <c r="M936" s="4">
        <v>50.0</v>
      </c>
      <c r="N936" s="4">
        <v>25.0</v>
      </c>
      <c r="O936" s="4">
        <v>36.0</v>
      </c>
      <c r="P936" s="4">
        <v>25.0</v>
      </c>
      <c r="Q936" s="4">
        <v>40.0</v>
      </c>
      <c r="R936" s="90" t="s">
        <v>15</v>
      </c>
      <c r="S936" s="82">
        <v>52.0</v>
      </c>
      <c r="T936" s="66">
        <f t="shared" si="370"/>
        <v>27</v>
      </c>
      <c r="Z936" s="4">
        <v>9.0</v>
      </c>
      <c r="AA936" s="4">
        <v>7.0</v>
      </c>
      <c r="AB936" s="140">
        <v>11.0</v>
      </c>
      <c r="AC936" s="140"/>
    </row>
    <row r="937">
      <c r="A937" s="11">
        <v>46155.0</v>
      </c>
      <c r="B937" s="4" t="s">
        <v>16</v>
      </c>
      <c r="C937" s="13">
        <f>sum(C925:C936)</f>
        <v>694</v>
      </c>
      <c r="D937" s="6"/>
      <c r="F937" s="13">
        <f t="shared" ref="F937:G937" si="372">sum(F925:F936)</f>
        <v>641</v>
      </c>
      <c r="G937" s="6">
        <f t="shared" si="372"/>
        <v>115</v>
      </c>
      <c r="I937" s="157">
        <f t="shared" ref="I937:Q937" si="373">sum(I925:I936)</f>
        <v>44</v>
      </c>
      <c r="J937" s="157">
        <f t="shared" si="373"/>
        <v>0</v>
      </c>
      <c r="K937" s="157">
        <f t="shared" si="373"/>
        <v>68</v>
      </c>
      <c r="L937" s="157">
        <f t="shared" si="373"/>
        <v>95</v>
      </c>
      <c r="M937" s="157">
        <f t="shared" si="373"/>
        <v>122</v>
      </c>
      <c r="N937" s="157">
        <f t="shared" si="373"/>
        <v>55</v>
      </c>
      <c r="O937" s="157">
        <f t="shared" si="373"/>
        <v>81</v>
      </c>
      <c r="P937" s="157">
        <f t="shared" si="373"/>
        <v>75</v>
      </c>
      <c r="Q937" s="157">
        <f t="shared" si="373"/>
        <v>101</v>
      </c>
      <c r="R937" s="135"/>
      <c r="S937" s="158">
        <f t="shared" ref="S937:AC937" si="374">sum(S925:S936)</f>
        <v>130</v>
      </c>
      <c r="T937" s="136">
        <f t="shared" si="374"/>
        <v>53</v>
      </c>
      <c r="U937" s="135">
        <f t="shared" si="374"/>
        <v>4</v>
      </c>
      <c r="V937" s="135">
        <f t="shared" si="374"/>
        <v>0</v>
      </c>
      <c r="W937" s="135">
        <f t="shared" si="374"/>
        <v>0</v>
      </c>
      <c r="X937" s="135">
        <f t="shared" si="374"/>
        <v>0</v>
      </c>
      <c r="Y937" s="135">
        <f t="shared" si="374"/>
        <v>5</v>
      </c>
      <c r="Z937" s="135">
        <f t="shared" si="374"/>
        <v>19</v>
      </c>
      <c r="AA937" s="135">
        <f t="shared" si="374"/>
        <v>16</v>
      </c>
      <c r="AB937" s="135">
        <f t="shared" si="374"/>
        <v>13</v>
      </c>
      <c r="AC937" s="135">
        <f t="shared" si="374"/>
        <v>0</v>
      </c>
    </row>
    <row r="938">
      <c r="D938" s="6"/>
      <c r="I938" s="13">
        <f t="shared" ref="I938:Q938" si="375">I937-U937</f>
        <v>40</v>
      </c>
      <c r="J938" s="13">
        <f t="shared" si="375"/>
        <v>0</v>
      </c>
      <c r="K938" s="13">
        <f t="shared" si="375"/>
        <v>68</v>
      </c>
      <c r="L938" s="13">
        <f t="shared" si="375"/>
        <v>95</v>
      </c>
      <c r="M938" s="13">
        <f t="shared" si="375"/>
        <v>117</v>
      </c>
      <c r="N938" s="13">
        <f t="shared" si="375"/>
        <v>36</v>
      </c>
      <c r="O938" s="13">
        <f t="shared" si="375"/>
        <v>65</v>
      </c>
      <c r="P938" s="13">
        <f t="shared" si="375"/>
        <v>62</v>
      </c>
      <c r="Q938" s="13">
        <f t="shared" si="375"/>
        <v>101</v>
      </c>
    </row>
    <row r="939">
      <c r="D939" s="6"/>
      <c r="H939" s="149"/>
      <c r="I939" s="149" t="s">
        <v>114</v>
      </c>
      <c r="O939" s="149"/>
    </row>
    <row r="940">
      <c r="D940" s="6"/>
      <c r="E940" s="4" t="s">
        <v>272</v>
      </c>
      <c r="F940" s="4" t="s">
        <v>16</v>
      </c>
      <c r="G940" s="4" t="s">
        <v>251</v>
      </c>
      <c r="H940" s="75" t="s">
        <v>253</v>
      </c>
      <c r="I940" s="4" t="s">
        <v>93</v>
      </c>
      <c r="J940" s="4" t="s">
        <v>227</v>
      </c>
      <c r="K940" s="4" t="s">
        <v>89</v>
      </c>
      <c r="L940" s="4" t="s">
        <v>80</v>
      </c>
      <c r="M940" s="4" t="s">
        <v>81</v>
      </c>
      <c r="N940" s="4" t="s">
        <v>232</v>
      </c>
      <c r="O940" s="4" t="s">
        <v>180</v>
      </c>
      <c r="P940" s="4" t="s">
        <v>264</v>
      </c>
      <c r="Q940" s="4" t="s">
        <v>280</v>
      </c>
      <c r="R940" s="127" t="s">
        <v>236</v>
      </c>
      <c r="S940" s="128" t="s">
        <v>233</v>
      </c>
      <c r="T940" s="128" t="s">
        <v>234</v>
      </c>
      <c r="U940" s="128" t="s">
        <v>238</v>
      </c>
      <c r="V940" s="128" t="s">
        <v>231</v>
      </c>
      <c r="W940" s="128" t="s">
        <v>239</v>
      </c>
      <c r="X940" s="128" t="s">
        <v>246</v>
      </c>
      <c r="Y940" s="128" t="s">
        <v>247</v>
      </c>
      <c r="Z940" s="128" t="s">
        <v>248</v>
      </c>
      <c r="AA940" s="128" t="s">
        <v>267</v>
      </c>
      <c r="AB940" s="130" t="s">
        <v>268</v>
      </c>
      <c r="AC940" s="130" t="s">
        <v>169</v>
      </c>
    </row>
    <row r="941">
      <c r="B941" s="114" t="s">
        <v>4</v>
      </c>
      <c r="D941" s="6"/>
      <c r="E941" s="4">
        <v>1.0</v>
      </c>
      <c r="F941" s="13">
        <f t="shared" ref="F941:F952" si="376">sum(I941:Q941)</f>
        <v>10</v>
      </c>
      <c r="G941" s="6">
        <f t="shared" ref="G941:G952" si="377">S925+T925</f>
        <v>19</v>
      </c>
      <c r="H941" s="159">
        <f t="shared" ref="H941:H952" si="378">G941-sum(I941:Q941)</f>
        <v>9</v>
      </c>
      <c r="K941" s="67">
        <v>3.0</v>
      </c>
      <c r="L941" s="150"/>
      <c r="M941" s="67"/>
      <c r="O941" s="67">
        <v>3.0</v>
      </c>
      <c r="Q941" s="4">
        <v>4.0</v>
      </c>
      <c r="R941" s="154" t="s">
        <v>4</v>
      </c>
      <c r="S941" s="67"/>
      <c r="T941" s="66">
        <f t="shared" ref="T941:T952" si="379">sum(U941:AC941)</f>
        <v>0</v>
      </c>
      <c r="V941" s="67"/>
      <c r="AB941" s="138"/>
      <c r="AC941" s="138"/>
    </row>
    <row r="942">
      <c r="B942" s="13" t="s">
        <v>5</v>
      </c>
      <c r="D942" s="6"/>
      <c r="E942" s="4">
        <v>3.0</v>
      </c>
      <c r="F942" s="13">
        <f t="shared" si="376"/>
        <v>5</v>
      </c>
      <c r="G942" s="6">
        <f t="shared" si="377"/>
        <v>10</v>
      </c>
      <c r="H942" s="159">
        <f t="shared" si="378"/>
        <v>5</v>
      </c>
      <c r="K942" s="67">
        <v>1.0</v>
      </c>
      <c r="L942" s="150"/>
      <c r="M942" s="67"/>
      <c r="O942" s="4">
        <v>1.0</v>
      </c>
      <c r="Q942" s="4">
        <v>3.0</v>
      </c>
      <c r="R942" s="154" t="s">
        <v>5</v>
      </c>
      <c r="S942" s="67"/>
      <c r="T942" s="66">
        <f t="shared" si="379"/>
        <v>0</v>
      </c>
      <c r="V942" s="67"/>
      <c r="AB942" s="140"/>
      <c r="AC942" s="140"/>
    </row>
    <row r="943">
      <c r="B943" s="114" t="s">
        <v>6</v>
      </c>
      <c r="D943" s="6"/>
      <c r="E943" s="4">
        <v>3.0</v>
      </c>
      <c r="F943" s="13">
        <f t="shared" si="376"/>
        <v>5</v>
      </c>
      <c r="G943" s="6">
        <f t="shared" si="377"/>
        <v>9</v>
      </c>
      <c r="H943" s="159">
        <f t="shared" si="378"/>
        <v>4</v>
      </c>
      <c r="K943" s="67">
        <v>1.0</v>
      </c>
      <c r="L943" s="150"/>
      <c r="M943" s="67"/>
      <c r="O943" s="67">
        <v>2.0</v>
      </c>
      <c r="Q943" s="4">
        <v>2.0</v>
      </c>
      <c r="R943" s="154" t="s">
        <v>6</v>
      </c>
      <c r="S943" s="67"/>
      <c r="T943" s="66">
        <f t="shared" si="379"/>
        <v>0</v>
      </c>
      <c r="V943" s="67"/>
      <c r="AB943" s="139"/>
      <c r="AC943" s="139"/>
    </row>
    <row r="944">
      <c r="B944" s="13" t="s">
        <v>7</v>
      </c>
      <c r="D944" s="6"/>
      <c r="E944" s="4">
        <v>2.0</v>
      </c>
      <c r="F944" s="13">
        <f t="shared" si="376"/>
        <v>3</v>
      </c>
      <c r="G944" s="6">
        <f t="shared" si="377"/>
        <v>9</v>
      </c>
      <c r="H944" s="159">
        <f t="shared" si="378"/>
        <v>6</v>
      </c>
      <c r="K944" s="67">
        <v>1.0</v>
      </c>
      <c r="L944" s="150"/>
      <c r="M944" s="67"/>
      <c r="O944" s="67">
        <v>1.0</v>
      </c>
      <c r="Q944" s="4">
        <v>1.0</v>
      </c>
      <c r="R944" s="154" t="s">
        <v>7</v>
      </c>
      <c r="S944" s="67"/>
      <c r="T944" s="66">
        <f t="shared" si="379"/>
        <v>0</v>
      </c>
      <c r="V944" s="67"/>
      <c r="AB944" s="140"/>
      <c r="AC944" s="140"/>
    </row>
    <row r="945">
      <c r="B945" s="114" t="s">
        <v>8</v>
      </c>
      <c r="D945" s="6"/>
      <c r="E945" s="4">
        <v>4.0</v>
      </c>
      <c r="F945" s="13">
        <f t="shared" si="376"/>
        <v>6</v>
      </c>
      <c r="G945" s="6">
        <f t="shared" si="377"/>
        <v>12</v>
      </c>
      <c r="H945" s="159">
        <f t="shared" si="378"/>
        <v>6</v>
      </c>
      <c r="K945" s="67">
        <v>2.0</v>
      </c>
      <c r="L945" s="150"/>
      <c r="M945" s="67"/>
      <c r="O945" s="67">
        <v>2.0</v>
      </c>
      <c r="Q945" s="4">
        <v>2.0</v>
      </c>
      <c r="R945" s="154" t="s">
        <v>8</v>
      </c>
      <c r="S945" s="67"/>
      <c r="T945" s="66">
        <f t="shared" si="379"/>
        <v>0</v>
      </c>
      <c r="V945" s="67"/>
      <c r="AB945" s="134"/>
      <c r="AC945" s="134"/>
    </row>
    <row r="946">
      <c r="B946" s="13" t="s">
        <v>9</v>
      </c>
      <c r="D946" s="6"/>
      <c r="F946" s="13">
        <f t="shared" si="376"/>
        <v>6</v>
      </c>
      <c r="G946" s="6">
        <f t="shared" si="377"/>
        <v>12</v>
      </c>
      <c r="H946" s="159">
        <f t="shared" si="378"/>
        <v>6</v>
      </c>
      <c r="K946" s="4">
        <v>2.0</v>
      </c>
      <c r="L946" s="150"/>
      <c r="O946" s="67">
        <v>2.0</v>
      </c>
      <c r="Q946" s="4">
        <v>2.0</v>
      </c>
      <c r="R946" s="154" t="s">
        <v>9</v>
      </c>
      <c r="S946" s="67"/>
      <c r="T946" s="66">
        <f t="shared" si="379"/>
        <v>0</v>
      </c>
      <c r="V946" s="67"/>
      <c r="AB946" s="133"/>
      <c r="AC946" s="133"/>
    </row>
    <row r="947">
      <c r="B947" s="114" t="s">
        <v>10</v>
      </c>
      <c r="D947" s="6"/>
      <c r="E947" s="4">
        <v>1.0</v>
      </c>
      <c r="F947" s="13">
        <f t="shared" si="376"/>
        <v>3</v>
      </c>
      <c r="G947" s="6">
        <f t="shared" si="377"/>
        <v>9</v>
      </c>
      <c r="H947" s="159">
        <f t="shared" si="378"/>
        <v>6</v>
      </c>
      <c r="K947" s="67">
        <v>1.0</v>
      </c>
      <c r="L947" s="150"/>
      <c r="M947" s="67"/>
      <c r="O947" s="67">
        <v>1.0</v>
      </c>
      <c r="Q947" s="4">
        <v>1.0</v>
      </c>
      <c r="R947" s="154" t="s">
        <v>10</v>
      </c>
      <c r="S947" s="67"/>
      <c r="T947" s="66">
        <f t="shared" si="379"/>
        <v>0</v>
      </c>
      <c r="V947" s="67"/>
      <c r="AB947" s="134"/>
      <c r="AC947" s="134"/>
    </row>
    <row r="948">
      <c r="B948" s="13" t="s">
        <v>11</v>
      </c>
      <c r="D948" s="6"/>
      <c r="F948" s="13">
        <f t="shared" si="376"/>
        <v>3</v>
      </c>
      <c r="G948" s="6">
        <f t="shared" si="377"/>
        <v>5</v>
      </c>
      <c r="H948" s="159">
        <f t="shared" si="378"/>
        <v>2</v>
      </c>
      <c r="K948" s="67">
        <v>1.0</v>
      </c>
      <c r="L948" s="150"/>
      <c r="M948" s="67"/>
      <c r="O948" s="67">
        <v>1.0</v>
      </c>
      <c r="Q948" s="4">
        <v>1.0</v>
      </c>
      <c r="R948" s="154" t="s">
        <v>11</v>
      </c>
      <c r="S948" s="67"/>
      <c r="T948" s="66">
        <f t="shared" si="379"/>
        <v>0</v>
      </c>
      <c r="V948" s="67"/>
      <c r="AB948" s="140"/>
      <c r="AC948" s="140"/>
    </row>
    <row r="949">
      <c r="B949" s="114" t="s">
        <v>12</v>
      </c>
      <c r="D949" s="6"/>
      <c r="E949" s="4">
        <v>1.0</v>
      </c>
      <c r="F949" s="13">
        <f t="shared" si="376"/>
        <v>5</v>
      </c>
      <c r="G949" s="6">
        <f t="shared" si="377"/>
        <v>10</v>
      </c>
      <c r="H949" s="159">
        <f t="shared" si="378"/>
        <v>5</v>
      </c>
      <c r="K949" s="4">
        <v>2.0</v>
      </c>
      <c r="L949" s="152"/>
      <c r="O949" s="67">
        <v>1.0</v>
      </c>
      <c r="Q949" s="4">
        <v>2.0</v>
      </c>
      <c r="R949" s="154" t="s">
        <v>12</v>
      </c>
      <c r="S949" s="67"/>
      <c r="T949" s="66">
        <f t="shared" si="379"/>
        <v>0</v>
      </c>
      <c r="V949" s="66"/>
      <c r="AB949" s="139"/>
      <c r="AC949" s="139"/>
    </row>
    <row r="950">
      <c r="B950" s="13" t="s">
        <v>13</v>
      </c>
      <c r="D950" s="6"/>
      <c r="E950" s="4">
        <v>3.0</v>
      </c>
      <c r="F950" s="13">
        <f t="shared" si="376"/>
        <v>9</v>
      </c>
      <c r="G950" s="6">
        <f t="shared" si="377"/>
        <v>1</v>
      </c>
      <c r="H950" s="159">
        <f t="shared" si="378"/>
        <v>-8</v>
      </c>
      <c r="K950" s="4">
        <v>3.0</v>
      </c>
      <c r="L950" s="150"/>
      <c r="O950" s="4">
        <v>3.0</v>
      </c>
      <c r="Q950" s="4">
        <v>3.0</v>
      </c>
      <c r="R950" s="154" t="s">
        <v>13</v>
      </c>
      <c r="S950" s="67"/>
      <c r="T950" s="66">
        <f t="shared" si="379"/>
        <v>0</v>
      </c>
      <c r="V950" s="67"/>
      <c r="AB950" s="140"/>
      <c r="AC950" s="140"/>
    </row>
    <row r="951">
      <c r="B951" s="114" t="s">
        <v>14</v>
      </c>
      <c r="F951" s="13">
        <f t="shared" si="376"/>
        <v>3</v>
      </c>
      <c r="G951" s="6">
        <f t="shared" si="377"/>
        <v>8</v>
      </c>
      <c r="H951" s="159">
        <f t="shared" si="378"/>
        <v>5</v>
      </c>
      <c r="K951" s="4">
        <v>1.0</v>
      </c>
      <c r="L951" s="152"/>
      <c r="O951" s="67">
        <v>1.0</v>
      </c>
      <c r="Q951" s="4">
        <v>1.0</v>
      </c>
      <c r="R951" s="154" t="s">
        <v>14</v>
      </c>
      <c r="S951" s="67"/>
      <c r="T951" s="66">
        <f t="shared" si="379"/>
        <v>0</v>
      </c>
      <c r="V951" s="67"/>
      <c r="AB951" s="134"/>
      <c r="AC951" s="134"/>
    </row>
    <row r="952">
      <c r="B952" s="13" t="s">
        <v>15</v>
      </c>
      <c r="F952" s="13">
        <f t="shared" si="376"/>
        <v>50</v>
      </c>
      <c r="G952" s="6">
        <f t="shared" si="377"/>
        <v>79</v>
      </c>
      <c r="H952" s="159">
        <f t="shared" si="378"/>
        <v>29</v>
      </c>
      <c r="K952" s="4">
        <v>15.0</v>
      </c>
      <c r="L952" s="150"/>
      <c r="O952" s="67">
        <v>20.0</v>
      </c>
      <c r="Q952" s="4">
        <v>15.0</v>
      </c>
      <c r="R952" s="154" t="s">
        <v>15</v>
      </c>
      <c r="S952" s="67"/>
      <c r="T952" s="66">
        <f t="shared" si="379"/>
        <v>0</v>
      </c>
      <c r="V952" s="67"/>
      <c r="AB952" s="140"/>
      <c r="AC952" s="140"/>
    </row>
    <row r="953">
      <c r="E953" s="13">
        <f t="shared" ref="E953:Q953" si="380">sum(E941:E952)</f>
        <v>18</v>
      </c>
      <c r="F953" s="13">
        <f t="shared" si="380"/>
        <v>108</v>
      </c>
      <c r="G953" s="6">
        <f t="shared" si="380"/>
        <v>183</v>
      </c>
      <c r="H953" s="6">
        <f t="shared" si="380"/>
        <v>75</v>
      </c>
      <c r="I953" s="97">
        <f t="shared" si="380"/>
        <v>0</v>
      </c>
      <c r="J953" s="97">
        <f t="shared" si="380"/>
        <v>0</v>
      </c>
      <c r="K953" s="118">
        <f t="shared" si="380"/>
        <v>33</v>
      </c>
      <c r="L953" s="153">
        <f t="shared" si="380"/>
        <v>0</v>
      </c>
      <c r="M953" s="118">
        <f t="shared" si="380"/>
        <v>0</v>
      </c>
      <c r="N953" s="97">
        <f t="shared" si="380"/>
        <v>0</v>
      </c>
      <c r="O953" s="118">
        <f t="shared" si="380"/>
        <v>38</v>
      </c>
      <c r="P953" s="97">
        <f t="shared" si="380"/>
        <v>0</v>
      </c>
      <c r="Q953" s="97">
        <f t="shared" si="380"/>
        <v>37</v>
      </c>
      <c r="R953" s="135"/>
      <c r="S953" s="136">
        <f t="shared" ref="S953:V953" si="381">sum(S941:S952)</f>
        <v>0</v>
      </c>
      <c r="T953" s="136">
        <f t="shared" si="381"/>
        <v>0</v>
      </c>
      <c r="U953" s="135">
        <f t="shared" si="381"/>
        <v>0</v>
      </c>
      <c r="V953" s="136">
        <f t="shared" si="381"/>
        <v>0</v>
      </c>
      <c r="W953" s="137">
        <v>4.0</v>
      </c>
      <c r="X953" s="135">
        <f t="shared" ref="X953:AC953" si="382">sum(X941:X952)</f>
        <v>0</v>
      </c>
      <c r="Y953" s="135">
        <f t="shared" si="382"/>
        <v>0</v>
      </c>
      <c r="Z953" s="135">
        <f t="shared" si="382"/>
        <v>0</v>
      </c>
      <c r="AA953" s="135">
        <f t="shared" si="382"/>
        <v>0</v>
      </c>
      <c r="AB953" s="135">
        <f t="shared" si="382"/>
        <v>0</v>
      </c>
      <c r="AC953" s="135">
        <f t="shared" si="382"/>
        <v>0</v>
      </c>
    </row>
    <row r="954">
      <c r="D954" s="6"/>
    </row>
    <row r="955">
      <c r="C955" s="4" t="s">
        <v>270</v>
      </c>
      <c r="D955" s="82" t="s">
        <v>2</v>
      </c>
      <c r="E955" s="4" t="s">
        <v>272</v>
      </c>
      <c r="F955" s="4" t="s">
        <v>16</v>
      </c>
      <c r="G955" s="4" t="s">
        <v>276</v>
      </c>
      <c r="H955" s="4" t="s">
        <v>277</v>
      </c>
      <c r="I955" s="4" t="s">
        <v>93</v>
      </c>
      <c r="J955" s="4" t="s">
        <v>227</v>
      </c>
      <c r="K955" s="4" t="s">
        <v>89</v>
      </c>
      <c r="L955" s="4" t="s">
        <v>80</v>
      </c>
      <c r="M955" s="4" t="s">
        <v>81</v>
      </c>
      <c r="N955" s="4" t="s">
        <v>232</v>
      </c>
      <c r="O955" s="4" t="s">
        <v>180</v>
      </c>
      <c r="P955" s="4" t="s">
        <v>264</v>
      </c>
      <c r="Q955" s="4" t="s">
        <v>169</v>
      </c>
      <c r="R955" s="127" t="s">
        <v>236</v>
      </c>
      <c r="S955" s="128" t="s">
        <v>233</v>
      </c>
      <c r="T955" s="128" t="s">
        <v>234</v>
      </c>
      <c r="U955" s="128" t="s">
        <v>238</v>
      </c>
      <c r="V955" s="128" t="s">
        <v>231</v>
      </c>
      <c r="W955" s="128" t="s">
        <v>239</v>
      </c>
      <c r="X955" s="128" t="s">
        <v>246</v>
      </c>
      <c r="Y955" s="128" t="s">
        <v>247</v>
      </c>
      <c r="Z955" s="128" t="s">
        <v>248</v>
      </c>
      <c r="AA955" s="128" t="s">
        <v>282</v>
      </c>
      <c r="AB955" s="130" t="s">
        <v>268</v>
      </c>
      <c r="AC955" s="130" t="s">
        <v>169</v>
      </c>
    </row>
    <row r="956">
      <c r="A956" s="11">
        <v>46156.0</v>
      </c>
      <c r="B956" s="114" t="s">
        <v>4</v>
      </c>
      <c r="C956" s="115">
        <v>40.0</v>
      </c>
      <c r="D956" s="82">
        <v>1.0</v>
      </c>
      <c r="F956" s="13">
        <f t="shared" ref="F956:F967" si="383">sum(H956:P956)+Q956</f>
        <v>43</v>
      </c>
      <c r="G956" s="6">
        <f t="shared" ref="G956:G967" si="384">C956+D956-F956+E956</f>
        <v>-2</v>
      </c>
      <c r="I956" s="115">
        <v>2.0</v>
      </c>
      <c r="J956" s="115"/>
      <c r="K956" s="115">
        <v>5.0</v>
      </c>
      <c r="L956" s="115">
        <v>9.0</v>
      </c>
      <c r="M956" s="115">
        <v>7.0</v>
      </c>
      <c r="N956" s="115">
        <v>3.0</v>
      </c>
      <c r="O956" s="115">
        <v>3.0</v>
      </c>
      <c r="P956" s="115">
        <v>7.0</v>
      </c>
      <c r="Q956" s="115">
        <v>7.0</v>
      </c>
      <c r="R956" s="90" t="s">
        <v>4</v>
      </c>
      <c r="S956" s="82">
        <v>5.0</v>
      </c>
      <c r="T956" s="66">
        <f t="shared" ref="T956:T967" si="385">sum(V956:AC956)</f>
        <v>1</v>
      </c>
      <c r="W956" s="4">
        <v>1.0</v>
      </c>
      <c r="AB956" s="138"/>
      <c r="AC956" s="138"/>
    </row>
    <row r="957">
      <c r="A957" s="11">
        <v>46156.0</v>
      </c>
      <c r="B957" s="13" t="s">
        <v>5</v>
      </c>
      <c r="C957" s="4">
        <v>25.0</v>
      </c>
      <c r="D957" s="82"/>
      <c r="F957" s="13">
        <f t="shared" si="383"/>
        <v>25</v>
      </c>
      <c r="G957" s="6">
        <f t="shared" si="384"/>
        <v>0</v>
      </c>
      <c r="I957" s="4">
        <v>2.0</v>
      </c>
      <c r="K957" s="4">
        <v>3.0</v>
      </c>
      <c r="L957" s="4">
        <v>5.0</v>
      </c>
      <c r="M957" s="4">
        <v>5.0</v>
      </c>
      <c r="N957" s="4">
        <v>1.0</v>
      </c>
      <c r="O957" s="13">
        <v>3.0</v>
      </c>
      <c r="P957" s="4">
        <v>3.0</v>
      </c>
      <c r="Q957" s="4">
        <v>3.0</v>
      </c>
      <c r="R957" s="90" t="s">
        <v>5</v>
      </c>
      <c r="S957" s="82"/>
      <c r="T957" s="66">
        <f t="shared" si="385"/>
        <v>4</v>
      </c>
      <c r="W957" s="4">
        <v>3.0</v>
      </c>
      <c r="X957" s="4">
        <v>1.0</v>
      </c>
      <c r="AB957" s="140"/>
      <c r="AC957" s="140"/>
    </row>
    <row r="958">
      <c r="A958" s="11">
        <v>46156.0</v>
      </c>
      <c r="B958" s="114" t="s">
        <v>6</v>
      </c>
      <c r="C958" s="115">
        <v>21.0</v>
      </c>
      <c r="D958" s="6"/>
      <c r="F958" s="13">
        <f t="shared" si="383"/>
        <v>22</v>
      </c>
      <c r="G958" s="6">
        <f t="shared" si="384"/>
        <v>-1</v>
      </c>
      <c r="I958" s="115">
        <v>1.0</v>
      </c>
      <c r="J958" s="115"/>
      <c r="K958" s="115">
        <v>4.0</v>
      </c>
      <c r="L958" s="115">
        <v>4.0</v>
      </c>
      <c r="M958" s="115">
        <v>5.0</v>
      </c>
      <c r="N958" s="115"/>
      <c r="O958" s="115">
        <v>3.0</v>
      </c>
      <c r="P958" s="115">
        <v>2.0</v>
      </c>
      <c r="Q958" s="115">
        <v>3.0</v>
      </c>
      <c r="R958" s="90" t="s">
        <v>6</v>
      </c>
      <c r="S958" s="82">
        <v>4.0</v>
      </c>
      <c r="T958" s="66">
        <f t="shared" si="385"/>
        <v>1</v>
      </c>
      <c r="X958" s="4">
        <v>1.0</v>
      </c>
      <c r="AB958" s="139"/>
      <c r="AC958" s="139"/>
    </row>
    <row r="959">
      <c r="A959" s="11">
        <v>46156.0</v>
      </c>
      <c r="B959" s="13" t="s">
        <v>7</v>
      </c>
      <c r="C959" s="4">
        <v>24.0</v>
      </c>
      <c r="D959" s="6"/>
      <c r="F959" s="13">
        <f t="shared" si="383"/>
        <v>24</v>
      </c>
      <c r="G959" s="6">
        <f t="shared" si="384"/>
        <v>0</v>
      </c>
      <c r="I959" s="4">
        <v>2.0</v>
      </c>
      <c r="K959" s="4">
        <v>3.0</v>
      </c>
      <c r="L959" s="4">
        <v>4.0</v>
      </c>
      <c r="M959" s="4">
        <v>5.0</v>
      </c>
      <c r="O959" s="4">
        <v>3.0</v>
      </c>
      <c r="P959" s="4">
        <v>4.0</v>
      </c>
      <c r="Q959" s="4">
        <v>3.0</v>
      </c>
      <c r="R959" s="90" t="s">
        <v>7</v>
      </c>
      <c r="S959" s="82">
        <v>5.0</v>
      </c>
      <c r="T959" s="66">
        <f t="shared" si="385"/>
        <v>1</v>
      </c>
      <c r="X959" s="4">
        <v>1.0</v>
      </c>
      <c r="AB959" s="140"/>
      <c r="AC959" s="140"/>
    </row>
    <row r="960">
      <c r="A960" s="11">
        <v>46156.0</v>
      </c>
      <c r="B960" s="114" t="s">
        <v>8</v>
      </c>
      <c r="C960" s="115">
        <v>45.0</v>
      </c>
      <c r="D960" s="82">
        <v>5.0</v>
      </c>
      <c r="F960" s="13">
        <f t="shared" si="383"/>
        <v>56</v>
      </c>
      <c r="G960" s="6">
        <f t="shared" si="384"/>
        <v>-6</v>
      </c>
      <c r="I960" s="115">
        <v>2.0</v>
      </c>
      <c r="J960" s="115"/>
      <c r="K960" s="115">
        <v>5.0</v>
      </c>
      <c r="L960" s="115">
        <v>9.0</v>
      </c>
      <c r="M960" s="115">
        <v>9.0</v>
      </c>
      <c r="N960" s="115">
        <v>3.0</v>
      </c>
      <c r="O960" s="115">
        <v>7.0</v>
      </c>
      <c r="P960" s="115">
        <v>9.0</v>
      </c>
      <c r="Q960" s="115">
        <v>12.0</v>
      </c>
      <c r="R960" s="90" t="s">
        <v>8</v>
      </c>
      <c r="S960" s="82">
        <v>17.0</v>
      </c>
      <c r="T960" s="66">
        <f t="shared" si="385"/>
        <v>1</v>
      </c>
      <c r="W960" s="4">
        <v>1.0</v>
      </c>
      <c r="AB960" s="139"/>
      <c r="AC960" s="139"/>
    </row>
    <row r="961">
      <c r="A961" s="11">
        <v>46156.0</v>
      </c>
      <c r="B961" s="13" t="s">
        <v>9</v>
      </c>
      <c r="C961" s="4">
        <v>45.0</v>
      </c>
      <c r="D961" s="82"/>
      <c r="F961" s="13">
        <f t="shared" si="383"/>
        <v>47</v>
      </c>
      <c r="G961" s="6">
        <f t="shared" si="384"/>
        <v>-2</v>
      </c>
      <c r="I961" s="4">
        <v>2.0</v>
      </c>
      <c r="K961" s="4">
        <v>5.0</v>
      </c>
      <c r="L961" s="4">
        <v>7.0</v>
      </c>
      <c r="M961" s="4">
        <v>9.0</v>
      </c>
      <c r="N961" s="4">
        <v>3.0</v>
      </c>
      <c r="O961" s="4">
        <v>5.0</v>
      </c>
      <c r="P961" s="4">
        <v>7.0</v>
      </c>
      <c r="Q961" s="4">
        <v>9.0</v>
      </c>
      <c r="R961" s="90" t="s">
        <v>9</v>
      </c>
      <c r="S961" s="82">
        <v>8.0</v>
      </c>
      <c r="T961" s="66">
        <f t="shared" si="385"/>
        <v>0</v>
      </c>
      <c r="AB961" s="140"/>
      <c r="AC961" s="140"/>
    </row>
    <row r="962">
      <c r="A962" s="11">
        <v>46156.0</v>
      </c>
      <c r="B962" s="114" t="s">
        <v>10</v>
      </c>
      <c r="C962" s="115">
        <v>27.0</v>
      </c>
      <c r="D962" s="6"/>
      <c r="F962" s="13">
        <f t="shared" si="383"/>
        <v>29</v>
      </c>
      <c r="G962" s="6">
        <f t="shared" si="384"/>
        <v>-2</v>
      </c>
      <c r="I962" s="115">
        <v>2.0</v>
      </c>
      <c r="J962" s="115"/>
      <c r="K962" s="115">
        <v>3.0</v>
      </c>
      <c r="L962" s="115">
        <v>5.0</v>
      </c>
      <c r="M962" s="115">
        <v>5.0</v>
      </c>
      <c r="N962" s="115">
        <v>2.0</v>
      </c>
      <c r="O962" s="115">
        <v>3.0</v>
      </c>
      <c r="P962" s="115">
        <v>5.0</v>
      </c>
      <c r="Q962" s="115">
        <v>4.0</v>
      </c>
      <c r="R962" s="90" t="s">
        <v>10</v>
      </c>
      <c r="S962" s="82">
        <v>2.0</v>
      </c>
      <c r="T962" s="66">
        <f t="shared" si="385"/>
        <v>0</v>
      </c>
      <c r="AB962" s="139"/>
      <c r="AC962" s="139"/>
    </row>
    <row r="963">
      <c r="A963" s="11">
        <v>46156.0</v>
      </c>
      <c r="B963" s="13" t="s">
        <v>11</v>
      </c>
      <c r="C963" s="4">
        <v>23.0</v>
      </c>
      <c r="D963" s="82">
        <v>5.0</v>
      </c>
      <c r="F963" s="13">
        <f t="shared" si="383"/>
        <v>24</v>
      </c>
      <c r="G963" s="6">
        <f t="shared" si="384"/>
        <v>4</v>
      </c>
      <c r="I963" s="4">
        <v>1.0</v>
      </c>
      <c r="K963" s="13">
        <v>5.0</v>
      </c>
      <c r="L963" s="4">
        <v>5.0</v>
      </c>
      <c r="M963" s="4">
        <v>5.0</v>
      </c>
      <c r="N963" s="4">
        <v>1.0</v>
      </c>
      <c r="O963" s="13">
        <v>2.0</v>
      </c>
      <c r="P963" s="4">
        <v>2.0</v>
      </c>
      <c r="Q963" s="4">
        <v>3.0</v>
      </c>
      <c r="R963" s="90" t="s">
        <v>11</v>
      </c>
      <c r="S963" s="82">
        <v>7.0</v>
      </c>
      <c r="T963" s="66">
        <f t="shared" si="385"/>
        <v>0</v>
      </c>
      <c r="AB963" s="140"/>
      <c r="AC963" s="140"/>
    </row>
    <row r="964">
      <c r="A964" s="11">
        <v>46156.0</v>
      </c>
      <c r="B964" s="114" t="s">
        <v>12</v>
      </c>
      <c r="C964" s="115">
        <v>20.0</v>
      </c>
      <c r="D964" s="6"/>
      <c r="F964" s="13">
        <f t="shared" si="383"/>
        <v>23</v>
      </c>
      <c r="G964" s="6">
        <f t="shared" si="384"/>
        <v>-3</v>
      </c>
      <c r="I964" s="115">
        <v>1.0</v>
      </c>
      <c r="J964" s="115"/>
      <c r="K964" s="115">
        <v>3.0</v>
      </c>
      <c r="L964" s="115">
        <v>7.0</v>
      </c>
      <c r="M964" s="115">
        <v>5.0</v>
      </c>
      <c r="N964" s="115">
        <v>1.0</v>
      </c>
      <c r="O964" s="115">
        <v>1.0</v>
      </c>
      <c r="P964" s="115">
        <v>2.0</v>
      </c>
      <c r="Q964" s="115">
        <v>3.0</v>
      </c>
      <c r="R964" s="90" t="s">
        <v>12</v>
      </c>
      <c r="S964" s="82">
        <v>4.0</v>
      </c>
      <c r="T964" s="66">
        <f t="shared" si="385"/>
        <v>2</v>
      </c>
      <c r="W964" s="4">
        <v>1.0</v>
      </c>
      <c r="X964" s="4">
        <v>1.0</v>
      </c>
      <c r="AB964" s="139"/>
      <c r="AC964" s="139"/>
    </row>
    <row r="965">
      <c r="A965" s="11">
        <v>46156.0</v>
      </c>
      <c r="B965" s="13" t="s">
        <v>13</v>
      </c>
      <c r="C965" s="4">
        <v>26.0</v>
      </c>
      <c r="D965" s="82">
        <v>5.0</v>
      </c>
      <c r="F965" s="13">
        <f t="shared" si="383"/>
        <v>28</v>
      </c>
      <c r="G965" s="6">
        <f t="shared" si="384"/>
        <v>3</v>
      </c>
      <c r="I965" s="4">
        <v>1.0</v>
      </c>
      <c r="K965" s="4">
        <v>5.0</v>
      </c>
      <c r="L965" s="4">
        <v>5.0</v>
      </c>
      <c r="M965" s="4">
        <v>4.0</v>
      </c>
      <c r="N965" s="4">
        <v>1.0</v>
      </c>
      <c r="O965" s="4">
        <v>5.0</v>
      </c>
      <c r="P965" s="4">
        <v>3.0</v>
      </c>
      <c r="Q965" s="4">
        <v>4.0</v>
      </c>
      <c r="R965" s="90" t="s">
        <v>13</v>
      </c>
      <c r="S965" s="82">
        <v>2.0</v>
      </c>
      <c r="T965" s="66">
        <f t="shared" si="385"/>
        <v>1</v>
      </c>
      <c r="W965" s="4">
        <v>1.0</v>
      </c>
      <c r="AB965" s="140"/>
      <c r="AC965" s="140"/>
    </row>
    <row r="966">
      <c r="A966" s="11">
        <v>46156.0</v>
      </c>
      <c r="B966" s="114" t="s">
        <v>14</v>
      </c>
      <c r="C966" s="115">
        <v>20.0</v>
      </c>
      <c r="D966" s="6"/>
      <c r="F966" s="13">
        <f t="shared" si="383"/>
        <v>23</v>
      </c>
      <c r="G966" s="6">
        <f t="shared" si="384"/>
        <v>-3</v>
      </c>
      <c r="I966" s="115">
        <v>2.0</v>
      </c>
      <c r="J966" s="115"/>
      <c r="K966" s="115">
        <v>4.0</v>
      </c>
      <c r="L966" s="115">
        <v>5.0</v>
      </c>
      <c r="M966" s="115">
        <v>5.0</v>
      </c>
      <c r="N966" s="115">
        <v>1.0</v>
      </c>
      <c r="O966" s="115">
        <v>1.0</v>
      </c>
      <c r="P966" s="115">
        <v>1.0</v>
      </c>
      <c r="Q966" s="115">
        <v>4.0</v>
      </c>
      <c r="R966" s="90" t="s">
        <v>14</v>
      </c>
      <c r="S966" s="82">
        <v>2.0</v>
      </c>
      <c r="T966" s="66">
        <f t="shared" si="385"/>
        <v>0</v>
      </c>
      <c r="AB966" s="139"/>
      <c r="AC966" s="139"/>
    </row>
    <row r="967">
      <c r="A967" s="11">
        <v>46156.0</v>
      </c>
      <c r="B967" s="13" t="s">
        <v>15</v>
      </c>
      <c r="C967" s="4">
        <v>250.0</v>
      </c>
      <c r="D967" s="82"/>
      <c r="F967" s="13">
        <f t="shared" si="383"/>
        <v>250</v>
      </c>
      <c r="G967" s="6">
        <f t="shared" si="384"/>
        <v>0</v>
      </c>
      <c r="I967" s="4">
        <v>20.0</v>
      </c>
      <c r="K967" s="4">
        <v>30.0</v>
      </c>
      <c r="L967" s="4">
        <v>38.0</v>
      </c>
      <c r="M967" s="4">
        <v>50.0</v>
      </c>
      <c r="N967" s="4">
        <v>25.0</v>
      </c>
      <c r="O967" s="4">
        <v>27.0</v>
      </c>
      <c r="P967" s="4">
        <v>20.0</v>
      </c>
      <c r="Q967" s="4">
        <v>40.0</v>
      </c>
      <c r="R967" s="90" t="s">
        <v>15</v>
      </c>
      <c r="S967" s="82">
        <v>20.0</v>
      </c>
      <c r="T967" s="66">
        <f t="shared" si="385"/>
        <v>1</v>
      </c>
      <c r="W967" s="4">
        <v>1.0</v>
      </c>
      <c r="AB967" s="140"/>
      <c r="AC967" s="140"/>
    </row>
    <row r="968">
      <c r="A968" s="11">
        <v>46156.0</v>
      </c>
      <c r="B968" s="4" t="s">
        <v>16</v>
      </c>
      <c r="C968" s="13">
        <f t="shared" ref="C968:D968" si="386">sum(C956:C967)</f>
        <v>566</v>
      </c>
      <c r="D968" s="6">
        <f t="shared" si="386"/>
        <v>16</v>
      </c>
      <c r="F968" s="13">
        <f t="shared" ref="F968:G968" si="387">sum(F956:F967)</f>
        <v>594</v>
      </c>
      <c r="G968" s="6">
        <f t="shared" si="387"/>
        <v>-12</v>
      </c>
      <c r="I968" s="157">
        <f t="shared" ref="I968:Q968" si="388">sum(I956:I967)</f>
        <v>38</v>
      </c>
      <c r="J968" s="157">
        <f t="shared" si="388"/>
        <v>0</v>
      </c>
      <c r="K968" s="157">
        <f t="shared" si="388"/>
        <v>75</v>
      </c>
      <c r="L968" s="157">
        <f t="shared" si="388"/>
        <v>103</v>
      </c>
      <c r="M968" s="157">
        <f t="shared" si="388"/>
        <v>114</v>
      </c>
      <c r="N968" s="157">
        <f t="shared" si="388"/>
        <v>41</v>
      </c>
      <c r="O968" s="157">
        <f t="shared" si="388"/>
        <v>63</v>
      </c>
      <c r="P968" s="157">
        <f t="shared" si="388"/>
        <v>65</v>
      </c>
      <c r="Q968" s="157">
        <f t="shared" si="388"/>
        <v>95</v>
      </c>
      <c r="R968" s="135"/>
      <c r="S968" s="158">
        <f t="shared" ref="S968:AC968" si="389">sum(S956:S967)</f>
        <v>76</v>
      </c>
      <c r="T968" s="136">
        <f t="shared" si="389"/>
        <v>12</v>
      </c>
      <c r="U968" s="135">
        <f t="shared" si="389"/>
        <v>0</v>
      </c>
      <c r="V968" s="135">
        <f t="shared" si="389"/>
        <v>0</v>
      </c>
      <c r="W968" s="135">
        <f t="shared" si="389"/>
        <v>8</v>
      </c>
      <c r="X968" s="135">
        <f t="shared" si="389"/>
        <v>4</v>
      </c>
      <c r="Y968" s="135">
        <f t="shared" si="389"/>
        <v>0</v>
      </c>
      <c r="Z968" s="135">
        <f t="shared" si="389"/>
        <v>0</v>
      </c>
      <c r="AA968" s="135">
        <f t="shared" si="389"/>
        <v>0</v>
      </c>
      <c r="AB968" s="135">
        <f t="shared" si="389"/>
        <v>0</v>
      </c>
      <c r="AC968" s="135">
        <f t="shared" si="389"/>
        <v>0</v>
      </c>
    </row>
    <row r="969">
      <c r="D969" s="6"/>
      <c r="I969" s="13">
        <f t="shared" ref="I969:Q969" si="390">I968-U968</f>
        <v>38</v>
      </c>
      <c r="J969" s="13">
        <f t="shared" si="390"/>
        <v>0</v>
      </c>
      <c r="K969" s="13">
        <f t="shared" si="390"/>
        <v>67</v>
      </c>
      <c r="L969" s="13">
        <f t="shared" si="390"/>
        <v>99</v>
      </c>
      <c r="M969" s="13">
        <f t="shared" si="390"/>
        <v>114</v>
      </c>
      <c r="N969" s="13">
        <f t="shared" si="390"/>
        <v>41</v>
      </c>
      <c r="O969" s="13">
        <f t="shared" si="390"/>
        <v>63</v>
      </c>
      <c r="P969" s="13">
        <f t="shared" si="390"/>
        <v>65</v>
      </c>
      <c r="Q969" s="13">
        <f t="shared" si="390"/>
        <v>95</v>
      </c>
    </row>
    <row r="970">
      <c r="D970" s="6"/>
      <c r="H970" s="149"/>
      <c r="I970" s="149" t="s">
        <v>114</v>
      </c>
      <c r="O970" s="149"/>
    </row>
    <row r="971">
      <c r="D971" s="6"/>
      <c r="E971" s="4" t="s">
        <v>272</v>
      </c>
      <c r="F971" s="4" t="s">
        <v>16</v>
      </c>
      <c r="G971" s="4" t="s">
        <v>251</v>
      </c>
      <c r="H971" s="75" t="s">
        <v>253</v>
      </c>
      <c r="I971" s="4" t="s">
        <v>93</v>
      </c>
      <c r="J971" s="4" t="s">
        <v>227</v>
      </c>
      <c r="K971" s="4" t="s">
        <v>89</v>
      </c>
      <c r="L971" s="4" t="s">
        <v>80</v>
      </c>
      <c r="M971" s="4" t="s">
        <v>81</v>
      </c>
      <c r="N971" s="4" t="s">
        <v>232</v>
      </c>
      <c r="O971" s="4" t="s">
        <v>180</v>
      </c>
      <c r="P971" s="4" t="s">
        <v>264</v>
      </c>
      <c r="Q971" s="4" t="s">
        <v>280</v>
      </c>
      <c r="R971" s="127" t="s">
        <v>236</v>
      </c>
      <c r="S971" s="128" t="s">
        <v>233</v>
      </c>
      <c r="T971" s="128" t="s">
        <v>234</v>
      </c>
      <c r="U971" s="128" t="s">
        <v>238</v>
      </c>
      <c r="V971" s="128" t="s">
        <v>231</v>
      </c>
      <c r="W971" s="128" t="s">
        <v>239</v>
      </c>
      <c r="X971" s="128" t="s">
        <v>246</v>
      </c>
      <c r="Y971" s="128" t="s">
        <v>247</v>
      </c>
      <c r="Z971" s="128" t="s">
        <v>248</v>
      </c>
      <c r="AA971" s="128" t="s">
        <v>267</v>
      </c>
      <c r="AB971" s="130" t="s">
        <v>268</v>
      </c>
      <c r="AC971" s="130" t="s">
        <v>169</v>
      </c>
    </row>
    <row r="972">
      <c r="B972" s="114" t="s">
        <v>4</v>
      </c>
      <c r="D972" s="6"/>
      <c r="F972" s="13">
        <f t="shared" ref="F972:F983" si="391">sum(I972:Q972)</f>
        <v>6</v>
      </c>
      <c r="G972" s="6">
        <f t="shared" ref="G972:G983" si="392">S956+T956</f>
        <v>6</v>
      </c>
      <c r="H972" s="159">
        <f t="shared" ref="H972:H983" si="393">G972-sum(I972:Q972)</f>
        <v>0</v>
      </c>
      <c r="K972" s="4">
        <v>2.0</v>
      </c>
      <c r="L972" s="150"/>
      <c r="O972" s="67">
        <v>2.0</v>
      </c>
      <c r="Q972" s="4">
        <v>2.0</v>
      </c>
      <c r="R972" s="154" t="s">
        <v>4</v>
      </c>
      <c r="S972" s="67"/>
      <c r="T972" s="66">
        <f t="shared" ref="T972:T983" si="394">sum(U972:AC972)</f>
        <v>0</v>
      </c>
      <c r="V972" s="67"/>
      <c r="AB972" s="138"/>
      <c r="AC972" s="138"/>
    </row>
    <row r="973">
      <c r="B973" s="13" t="s">
        <v>5</v>
      </c>
      <c r="D973" s="6"/>
      <c r="F973" s="13">
        <f t="shared" si="391"/>
        <v>4</v>
      </c>
      <c r="G973" s="6">
        <f t="shared" si="392"/>
        <v>4</v>
      </c>
      <c r="H973" s="159">
        <f t="shared" si="393"/>
        <v>0</v>
      </c>
      <c r="K973" s="4">
        <v>1.0</v>
      </c>
      <c r="L973" s="150"/>
      <c r="O973" s="4">
        <v>1.0</v>
      </c>
      <c r="Q973" s="4">
        <v>2.0</v>
      </c>
      <c r="R973" s="154" t="s">
        <v>5</v>
      </c>
      <c r="S973" s="67"/>
      <c r="T973" s="66">
        <f t="shared" si="394"/>
        <v>0</v>
      </c>
      <c r="V973" s="67"/>
      <c r="AB973" s="140"/>
      <c r="AC973" s="140"/>
    </row>
    <row r="974">
      <c r="B974" s="114" t="s">
        <v>6</v>
      </c>
      <c r="D974" s="6"/>
      <c r="F974" s="13">
        <f t="shared" si="391"/>
        <v>5</v>
      </c>
      <c r="G974" s="6">
        <f t="shared" si="392"/>
        <v>5</v>
      </c>
      <c r="H974" s="159">
        <f t="shared" si="393"/>
        <v>0</v>
      </c>
      <c r="K974" s="4">
        <v>1.0</v>
      </c>
      <c r="L974" s="150"/>
      <c r="O974" s="67">
        <v>2.0</v>
      </c>
      <c r="Q974" s="4">
        <v>2.0</v>
      </c>
      <c r="R974" s="154" t="s">
        <v>6</v>
      </c>
      <c r="S974" s="67"/>
      <c r="T974" s="66">
        <f t="shared" si="394"/>
        <v>0</v>
      </c>
      <c r="V974" s="67"/>
      <c r="AB974" s="139"/>
      <c r="AC974" s="139"/>
    </row>
    <row r="975">
      <c r="B975" s="13" t="s">
        <v>7</v>
      </c>
      <c r="D975" s="6"/>
      <c r="F975" s="13">
        <f t="shared" si="391"/>
        <v>6</v>
      </c>
      <c r="G975" s="6">
        <f t="shared" si="392"/>
        <v>6</v>
      </c>
      <c r="H975" s="159">
        <f t="shared" si="393"/>
        <v>0</v>
      </c>
      <c r="K975" s="4">
        <v>2.0</v>
      </c>
      <c r="L975" s="150"/>
      <c r="O975" s="67">
        <v>2.0</v>
      </c>
      <c r="Q975" s="4">
        <v>2.0</v>
      </c>
      <c r="R975" s="154" t="s">
        <v>7</v>
      </c>
      <c r="S975" s="67"/>
      <c r="T975" s="66">
        <f t="shared" si="394"/>
        <v>0</v>
      </c>
      <c r="V975" s="67"/>
      <c r="AB975" s="140"/>
      <c r="AC975" s="140"/>
    </row>
    <row r="976">
      <c r="B976" s="114" t="s">
        <v>8</v>
      </c>
      <c r="D976" s="6"/>
      <c r="F976" s="13">
        <f t="shared" si="391"/>
        <v>18</v>
      </c>
      <c r="G976" s="6">
        <f t="shared" si="392"/>
        <v>18</v>
      </c>
      <c r="H976" s="159">
        <f t="shared" si="393"/>
        <v>0</v>
      </c>
      <c r="K976" s="4">
        <v>2.0</v>
      </c>
      <c r="L976" s="150"/>
      <c r="O976" s="67">
        <v>8.0</v>
      </c>
      <c r="Q976" s="4">
        <v>8.0</v>
      </c>
      <c r="R976" s="154" t="s">
        <v>8</v>
      </c>
      <c r="S976" s="67"/>
      <c r="T976" s="66">
        <f t="shared" si="394"/>
        <v>0</v>
      </c>
      <c r="V976" s="67"/>
      <c r="AB976" s="134"/>
      <c r="AC976" s="134"/>
    </row>
    <row r="977">
      <c r="B977" s="13" t="s">
        <v>9</v>
      </c>
      <c r="D977" s="6"/>
      <c r="F977" s="13">
        <f t="shared" si="391"/>
        <v>8</v>
      </c>
      <c r="G977" s="6">
        <f t="shared" si="392"/>
        <v>8</v>
      </c>
      <c r="H977" s="159">
        <f t="shared" si="393"/>
        <v>0</v>
      </c>
      <c r="K977" s="4">
        <v>2.0</v>
      </c>
      <c r="L977" s="150"/>
      <c r="O977" s="67">
        <v>3.0</v>
      </c>
      <c r="Q977" s="4">
        <v>3.0</v>
      </c>
      <c r="R977" s="154" t="s">
        <v>9</v>
      </c>
      <c r="S977" s="67"/>
      <c r="T977" s="66">
        <f t="shared" si="394"/>
        <v>0</v>
      </c>
      <c r="V977" s="67"/>
      <c r="AB977" s="133"/>
      <c r="AC977" s="133"/>
    </row>
    <row r="978">
      <c r="B978" s="114" t="s">
        <v>10</v>
      </c>
      <c r="D978" s="6"/>
      <c r="F978" s="13">
        <f t="shared" si="391"/>
        <v>2</v>
      </c>
      <c r="G978" s="6">
        <f t="shared" si="392"/>
        <v>2</v>
      </c>
      <c r="H978" s="159">
        <f t="shared" si="393"/>
        <v>0</v>
      </c>
      <c r="L978" s="150"/>
      <c r="O978" s="67">
        <v>1.0</v>
      </c>
      <c r="Q978" s="4">
        <v>1.0</v>
      </c>
      <c r="R978" s="154" t="s">
        <v>10</v>
      </c>
      <c r="S978" s="67"/>
      <c r="T978" s="66">
        <f t="shared" si="394"/>
        <v>0</v>
      </c>
      <c r="V978" s="67"/>
      <c r="AB978" s="134"/>
      <c r="AC978" s="134"/>
    </row>
    <row r="979">
      <c r="B979" s="13" t="s">
        <v>11</v>
      </c>
      <c r="D979" s="6"/>
      <c r="F979" s="13">
        <f t="shared" si="391"/>
        <v>7</v>
      </c>
      <c r="G979" s="6">
        <f t="shared" si="392"/>
        <v>7</v>
      </c>
      <c r="H979" s="159">
        <f t="shared" si="393"/>
        <v>0</v>
      </c>
      <c r="K979" s="4">
        <v>2.0</v>
      </c>
      <c r="L979" s="150"/>
      <c r="O979" s="67">
        <v>3.0</v>
      </c>
      <c r="Q979" s="4">
        <v>2.0</v>
      </c>
      <c r="R979" s="154" t="s">
        <v>11</v>
      </c>
      <c r="S979" s="67"/>
      <c r="T979" s="66">
        <f t="shared" si="394"/>
        <v>0</v>
      </c>
      <c r="V979" s="67"/>
      <c r="AB979" s="140"/>
      <c r="AC979" s="140"/>
    </row>
    <row r="980">
      <c r="B980" s="114" t="s">
        <v>12</v>
      </c>
      <c r="D980" s="6"/>
      <c r="F980" s="13">
        <f t="shared" si="391"/>
        <v>6</v>
      </c>
      <c r="G980" s="6">
        <f t="shared" si="392"/>
        <v>6</v>
      </c>
      <c r="H980" s="159">
        <f t="shared" si="393"/>
        <v>0</v>
      </c>
      <c r="K980" s="4">
        <v>1.0</v>
      </c>
      <c r="L980" s="152"/>
      <c r="O980" s="67">
        <v>3.0</v>
      </c>
      <c r="Q980" s="4">
        <v>2.0</v>
      </c>
      <c r="R980" s="154" t="s">
        <v>12</v>
      </c>
      <c r="S980" s="67"/>
      <c r="T980" s="66">
        <f t="shared" si="394"/>
        <v>0</v>
      </c>
      <c r="V980" s="66"/>
      <c r="AB980" s="139"/>
      <c r="AC980" s="139"/>
    </row>
    <row r="981">
      <c r="B981" s="13" t="s">
        <v>13</v>
      </c>
      <c r="D981" s="6"/>
      <c r="F981" s="13">
        <f t="shared" si="391"/>
        <v>3</v>
      </c>
      <c r="G981" s="6">
        <f t="shared" si="392"/>
        <v>3</v>
      </c>
      <c r="H981" s="159">
        <f t="shared" si="393"/>
        <v>0</v>
      </c>
      <c r="K981" s="4">
        <v>1.0</v>
      </c>
      <c r="L981" s="150"/>
      <c r="O981" s="4">
        <v>1.0</v>
      </c>
      <c r="Q981" s="4">
        <v>1.0</v>
      </c>
      <c r="R981" s="154" t="s">
        <v>13</v>
      </c>
      <c r="S981" s="67"/>
      <c r="T981" s="66">
        <f t="shared" si="394"/>
        <v>0</v>
      </c>
      <c r="V981" s="67"/>
      <c r="AB981" s="140"/>
      <c r="AC981" s="140"/>
    </row>
    <row r="982">
      <c r="B982" s="114" t="s">
        <v>14</v>
      </c>
      <c r="F982" s="13">
        <f t="shared" si="391"/>
        <v>2</v>
      </c>
      <c r="G982" s="6">
        <f t="shared" si="392"/>
        <v>2</v>
      </c>
      <c r="H982" s="159">
        <f t="shared" si="393"/>
        <v>0</v>
      </c>
      <c r="L982" s="152"/>
      <c r="O982" s="67">
        <v>1.0</v>
      </c>
      <c r="Q982" s="4">
        <v>1.0</v>
      </c>
      <c r="R982" s="154" t="s">
        <v>14</v>
      </c>
      <c r="S982" s="67"/>
      <c r="T982" s="66">
        <f t="shared" si="394"/>
        <v>0</v>
      </c>
      <c r="V982" s="67"/>
      <c r="AB982" s="134"/>
      <c r="AC982" s="134"/>
    </row>
    <row r="983">
      <c r="B983" s="13" t="s">
        <v>15</v>
      </c>
      <c r="F983" s="13">
        <f t="shared" si="391"/>
        <v>21</v>
      </c>
      <c r="G983" s="6">
        <f t="shared" si="392"/>
        <v>21</v>
      </c>
      <c r="H983" s="159">
        <f t="shared" si="393"/>
        <v>0</v>
      </c>
      <c r="K983" s="4">
        <v>9.0</v>
      </c>
      <c r="L983" s="150"/>
      <c r="O983" s="67">
        <v>6.0</v>
      </c>
      <c r="Q983" s="4">
        <v>6.0</v>
      </c>
      <c r="R983" s="154" t="s">
        <v>15</v>
      </c>
      <c r="S983" s="67"/>
      <c r="T983" s="66">
        <f t="shared" si="394"/>
        <v>0</v>
      </c>
      <c r="V983" s="67"/>
      <c r="AB983" s="140"/>
      <c r="AC983" s="140"/>
    </row>
    <row r="984">
      <c r="E984" s="13">
        <f t="shared" ref="E984:Q984" si="395">sum(E972:E983)</f>
        <v>0</v>
      </c>
      <c r="F984" s="13">
        <f t="shared" si="395"/>
        <v>88</v>
      </c>
      <c r="G984" s="6">
        <f t="shared" si="395"/>
        <v>88</v>
      </c>
      <c r="H984" s="6">
        <f t="shared" si="395"/>
        <v>0</v>
      </c>
      <c r="I984" s="97">
        <f t="shared" si="395"/>
        <v>0</v>
      </c>
      <c r="J984" s="97">
        <f t="shared" si="395"/>
        <v>0</v>
      </c>
      <c r="K984" s="97">
        <f t="shared" si="395"/>
        <v>23</v>
      </c>
      <c r="L984" s="153">
        <f t="shared" si="395"/>
        <v>0</v>
      </c>
      <c r="M984" s="97">
        <f t="shared" si="395"/>
        <v>0</v>
      </c>
      <c r="N984" s="97">
        <f t="shared" si="395"/>
        <v>0</v>
      </c>
      <c r="O984" s="118">
        <f t="shared" si="395"/>
        <v>33</v>
      </c>
      <c r="P984" s="97">
        <f t="shared" si="395"/>
        <v>0</v>
      </c>
      <c r="Q984" s="97">
        <f t="shared" si="395"/>
        <v>32</v>
      </c>
      <c r="R984" s="135"/>
      <c r="S984" s="136">
        <f t="shared" ref="S984:V984" si="396">sum(S972:S983)</f>
        <v>0</v>
      </c>
      <c r="T984" s="136">
        <f t="shared" si="396"/>
        <v>0</v>
      </c>
      <c r="U984" s="135">
        <f t="shared" si="396"/>
        <v>0</v>
      </c>
      <c r="V984" s="136">
        <f t="shared" si="396"/>
        <v>0</v>
      </c>
      <c r="W984" s="137">
        <v>4.0</v>
      </c>
      <c r="X984" s="135">
        <f t="shared" ref="X984:AC984" si="397">sum(X972:X983)</f>
        <v>0</v>
      </c>
      <c r="Y984" s="135">
        <f t="shared" si="397"/>
        <v>0</v>
      </c>
      <c r="Z984" s="135">
        <f t="shared" si="397"/>
        <v>0</v>
      </c>
      <c r="AA984" s="135">
        <f t="shared" si="397"/>
        <v>0</v>
      </c>
      <c r="AB984" s="135">
        <f t="shared" si="397"/>
        <v>0</v>
      </c>
      <c r="AC984" s="135">
        <f t="shared" si="397"/>
        <v>0</v>
      </c>
    </row>
    <row r="985">
      <c r="D985" s="6"/>
    </row>
    <row r="986">
      <c r="A986" s="56"/>
      <c r="B986" s="56"/>
      <c r="C986" s="56"/>
      <c r="D986" s="148"/>
      <c r="E986" s="56"/>
      <c r="F986" s="56"/>
      <c r="G986" s="56"/>
      <c r="H986" s="56"/>
      <c r="I986" s="56"/>
      <c r="J986" s="56"/>
      <c r="K986" s="56"/>
      <c r="L986" s="56"/>
      <c r="M986" s="56"/>
      <c r="N986" s="56"/>
      <c r="O986" s="56"/>
      <c r="P986" s="56"/>
      <c r="Q986" s="56"/>
      <c r="R986" s="56"/>
      <c r="S986" s="56"/>
      <c r="T986" s="56"/>
    </row>
    <row r="987">
      <c r="D987" s="6"/>
      <c r="K987" s="67"/>
      <c r="M987" s="67"/>
    </row>
    <row r="988">
      <c r="C988" s="4" t="s">
        <v>270</v>
      </c>
      <c r="D988" s="82" t="s">
        <v>2</v>
      </c>
      <c r="E988" s="4" t="s">
        <v>272</v>
      </c>
      <c r="F988" s="4" t="s">
        <v>16</v>
      </c>
      <c r="G988" s="4" t="s">
        <v>276</v>
      </c>
      <c r="H988" s="4" t="s">
        <v>277</v>
      </c>
      <c r="I988" s="4" t="s">
        <v>93</v>
      </c>
      <c r="J988" s="4" t="s">
        <v>227</v>
      </c>
      <c r="K988" s="4" t="s">
        <v>89</v>
      </c>
      <c r="L988" s="4" t="s">
        <v>80</v>
      </c>
      <c r="M988" s="4" t="s">
        <v>81</v>
      </c>
      <c r="N988" s="4" t="s">
        <v>232</v>
      </c>
      <c r="O988" s="4" t="s">
        <v>180</v>
      </c>
      <c r="P988" s="4" t="s">
        <v>264</v>
      </c>
      <c r="Q988" s="4" t="s">
        <v>169</v>
      </c>
      <c r="R988" s="127" t="s">
        <v>236</v>
      </c>
      <c r="S988" s="128" t="s">
        <v>233</v>
      </c>
      <c r="T988" s="128" t="s">
        <v>234</v>
      </c>
      <c r="U988" s="128" t="s">
        <v>238</v>
      </c>
      <c r="V988" s="128" t="s">
        <v>231</v>
      </c>
      <c r="W988" s="128" t="s">
        <v>239</v>
      </c>
      <c r="X988" s="128" t="s">
        <v>246</v>
      </c>
      <c r="Y988" s="128" t="s">
        <v>247</v>
      </c>
      <c r="Z988" s="128" t="s">
        <v>248</v>
      </c>
      <c r="AA988" s="128" t="s">
        <v>283</v>
      </c>
      <c r="AB988" s="130" t="s">
        <v>268</v>
      </c>
      <c r="AC988" s="130" t="s">
        <v>169</v>
      </c>
    </row>
    <row r="989">
      <c r="A989" s="11">
        <v>46159.0</v>
      </c>
      <c r="B989" s="114" t="s">
        <v>4</v>
      </c>
      <c r="C989" s="115">
        <v>55.0</v>
      </c>
      <c r="D989" s="82">
        <v>11.0</v>
      </c>
      <c r="F989" s="13">
        <f t="shared" ref="F989:F1000" si="399">sum(H989:P989)+Q989</f>
        <v>41</v>
      </c>
      <c r="G989" s="6">
        <f t="shared" ref="G989:G1000" si="400">C989+D989-F989+E989</f>
        <v>25</v>
      </c>
      <c r="I989" s="115"/>
      <c r="J989" s="115"/>
      <c r="K989" s="115">
        <f t="shared" ref="K989:M989" si="398">K831-W831</f>
        <v>7</v>
      </c>
      <c r="L989" s="115">
        <f t="shared" si="398"/>
        <v>7</v>
      </c>
      <c r="M989" s="115">
        <f t="shared" si="398"/>
        <v>7</v>
      </c>
      <c r="N989" s="115">
        <v>3.0</v>
      </c>
      <c r="O989" s="115">
        <v>3.0</v>
      </c>
      <c r="P989" s="115">
        <f t="shared" ref="P989:P991" si="402">P831-AB831</f>
        <v>7</v>
      </c>
      <c r="Q989" s="115">
        <v>7.0</v>
      </c>
      <c r="R989" s="90" t="s">
        <v>4</v>
      </c>
      <c r="S989" s="67">
        <v>25.0</v>
      </c>
      <c r="T989" s="66">
        <f t="shared" ref="T989:T1000" si="403">sum(U989:AC989)</f>
        <v>2</v>
      </c>
      <c r="V989" s="67"/>
      <c r="W989" s="4">
        <v>2.0</v>
      </c>
      <c r="AB989" s="138"/>
      <c r="AC989" s="138"/>
    </row>
    <row r="990">
      <c r="A990" s="11">
        <v>46159.0</v>
      </c>
      <c r="B990" s="13" t="s">
        <v>5</v>
      </c>
      <c r="C990" s="4">
        <v>33.0</v>
      </c>
      <c r="D990" s="82"/>
      <c r="F990" s="13">
        <f t="shared" si="399"/>
        <v>23</v>
      </c>
      <c r="G990" s="6">
        <f t="shared" si="400"/>
        <v>10</v>
      </c>
      <c r="K990" s="13">
        <f t="shared" ref="K990:M990" si="401">K832-W832</f>
        <v>2</v>
      </c>
      <c r="L990" s="13">
        <f t="shared" si="401"/>
        <v>5</v>
      </c>
      <c r="M990" s="13">
        <f t="shared" si="401"/>
        <v>5</v>
      </c>
      <c r="N990" s="13">
        <v>1.0</v>
      </c>
      <c r="O990" s="13">
        <v>3.0</v>
      </c>
      <c r="P990" s="13">
        <f t="shared" si="402"/>
        <v>4</v>
      </c>
      <c r="Q990" s="13">
        <f>Q832-AC832</f>
        <v>3</v>
      </c>
      <c r="R990" s="90" t="s">
        <v>5</v>
      </c>
      <c r="S990" s="67">
        <v>10.0</v>
      </c>
      <c r="T990" s="66">
        <f t="shared" si="403"/>
        <v>1</v>
      </c>
      <c r="V990" s="67"/>
      <c r="X990" s="4">
        <v>1.0</v>
      </c>
      <c r="AB990" s="140"/>
      <c r="AC990" s="140"/>
    </row>
    <row r="991">
      <c r="A991" s="11">
        <v>46159.0</v>
      </c>
      <c r="B991" s="114" t="s">
        <v>6</v>
      </c>
      <c r="C991" s="115">
        <v>26.0</v>
      </c>
      <c r="D991" s="6"/>
      <c r="F991" s="13">
        <f t="shared" si="399"/>
        <v>24</v>
      </c>
      <c r="G991" s="6">
        <f t="shared" si="400"/>
        <v>2</v>
      </c>
      <c r="I991" s="115"/>
      <c r="J991" s="115"/>
      <c r="K991" s="115">
        <f t="shared" ref="K991:K999" si="404">K833-W833</f>
        <v>3</v>
      </c>
      <c r="L991" s="115">
        <v>4.0</v>
      </c>
      <c r="M991" s="115">
        <f>M833-Y833</f>
        <v>5</v>
      </c>
      <c r="N991" s="115">
        <v>2.0</v>
      </c>
      <c r="O991" s="115">
        <v>3.0</v>
      </c>
      <c r="P991" s="115">
        <f t="shared" si="402"/>
        <v>3</v>
      </c>
      <c r="Q991" s="115">
        <v>4.0</v>
      </c>
      <c r="R991" s="90" t="s">
        <v>6</v>
      </c>
      <c r="S991" s="67"/>
      <c r="T991" s="66">
        <f t="shared" si="403"/>
        <v>6</v>
      </c>
      <c r="V991" s="67"/>
      <c r="W991" s="4">
        <v>1.0</v>
      </c>
      <c r="X991" s="4">
        <v>2.0</v>
      </c>
      <c r="AB991" s="139"/>
      <c r="AC991" s="139">
        <v>3.0</v>
      </c>
    </row>
    <row r="992">
      <c r="A992" s="11">
        <v>46159.0</v>
      </c>
      <c r="B992" s="13" t="s">
        <v>7</v>
      </c>
      <c r="C992" s="4">
        <v>28.0</v>
      </c>
      <c r="D992" s="6"/>
      <c r="F992" s="13">
        <f t="shared" si="399"/>
        <v>23</v>
      </c>
      <c r="G992" s="6">
        <f t="shared" si="400"/>
        <v>5</v>
      </c>
      <c r="K992" s="13">
        <f t="shared" si="404"/>
        <v>2</v>
      </c>
      <c r="L992" s="13">
        <f t="shared" ref="L992:M992" si="405">L834-X834</f>
        <v>4</v>
      </c>
      <c r="M992" s="13">
        <f t="shared" si="405"/>
        <v>5</v>
      </c>
      <c r="N992" s="13">
        <v>1.0</v>
      </c>
      <c r="O992" s="4">
        <v>3.0</v>
      </c>
      <c r="P992" s="4">
        <v>4.0</v>
      </c>
      <c r="Q992" s="4">
        <v>4.0</v>
      </c>
      <c r="R992" s="90" t="s">
        <v>7</v>
      </c>
      <c r="S992" s="67">
        <v>5.0</v>
      </c>
      <c r="T992" s="66">
        <f t="shared" si="403"/>
        <v>1</v>
      </c>
      <c r="V992" s="67"/>
      <c r="AB992" s="140"/>
      <c r="AC992" s="140">
        <v>1.0</v>
      </c>
    </row>
    <row r="993">
      <c r="A993" s="11">
        <v>46159.0</v>
      </c>
      <c r="B993" s="114" t="s">
        <v>8</v>
      </c>
      <c r="C993" s="115">
        <v>45.0</v>
      </c>
      <c r="D993" s="82">
        <v>11.0</v>
      </c>
      <c r="F993" s="13">
        <f t="shared" si="399"/>
        <v>44</v>
      </c>
      <c r="G993" s="6">
        <f t="shared" si="400"/>
        <v>12</v>
      </c>
      <c r="I993" s="115"/>
      <c r="J993" s="115"/>
      <c r="K993" s="115">
        <f t="shared" si="404"/>
        <v>5</v>
      </c>
      <c r="L993" s="115">
        <v>7.0</v>
      </c>
      <c r="M993" s="115">
        <f t="shared" ref="M993:M994" si="406">M835-Y835</f>
        <v>7</v>
      </c>
      <c r="N993" s="115">
        <v>2.0</v>
      </c>
      <c r="O993" s="115">
        <v>7.0</v>
      </c>
      <c r="P993" s="115">
        <v>7.0</v>
      </c>
      <c r="Q993" s="115">
        <v>9.0</v>
      </c>
      <c r="R993" s="90" t="s">
        <v>8</v>
      </c>
      <c r="S993" s="67">
        <v>12.0</v>
      </c>
      <c r="T993" s="66">
        <f t="shared" si="403"/>
        <v>1</v>
      </c>
      <c r="V993" s="67"/>
      <c r="AB993" s="139"/>
      <c r="AC993" s="139">
        <v>1.0</v>
      </c>
    </row>
    <row r="994">
      <c r="A994" s="11">
        <v>46159.0</v>
      </c>
      <c r="B994" s="13" t="s">
        <v>9</v>
      </c>
      <c r="C994" s="4">
        <v>45.0</v>
      </c>
      <c r="D994" s="82">
        <v>11.0</v>
      </c>
      <c r="F994" s="13">
        <f t="shared" si="399"/>
        <v>43</v>
      </c>
      <c r="G994" s="6">
        <f t="shared" si="400"/>
        <v>13</v>
      </c>
      <c r="K994" s="13">
        <f t="shared" si="404"/>
        <v>4</v>
      </c>
      <c r="L994" s="4">
        <v>7.0</v>
      </c>
      <c r="M994" s="13">
        <f t="shared" si="406"/>
        <v>7</v>
      </c>
      <c r="N994" s="13">
        <v>3.0</v>
      </c>
      <c r="O994" s="4">
        <v>5.0</v>
      </c>
      <c r="P994" s="4">
        <v>7.0</v>
      </c>
      <c r="Q994" s="4">
        <v>10.0</v>
      </c>
      <c r="R994" s="90" t="s">
        <v>9</v>
      </c>
      <c r="S994" s="67">
        <v>1.0</v>
      </c>
      <c r="T994" s="66">
        <f t="shared" si="403"/>
        <v>3</v>
      </c>
      <c r="V994" s="67"/>
      <c r="AB994" s="140"/>
      <c r="AC994" s="140">
        <v>3.0</v>
      </c>
    </row>
    <row r="995">
      <c r="A995" s="11">
        <v>46159.0</v>
      </c>
      <c r="B995" s="114" t="s">
        <v>10</v>
      </c>
      <c r="C995" s="115">
        <v>31.0</v>
      </c>
      <c r="D995" s="6"/>
      <c r="F995" s="13">
        <f t="shared" si="399"/>
        <v>26</v>
      </c>
      <c r="G995" s="6">
        <f t="shared" si="400"/>
        <v>5</v>
      </c>
      <c r="I995" s="115"/>
      <c r="J995" s="115"/>
      <c r="K995" s="115">
        <f t="shared" si="404"/>
        <v>4</v>
      </c>
      <c r="L995" s="115">
        <f t="shared" ref="L995:M995" si="407">L837-X837</f>
        <v>5</v>
      </c>
      <c r="M995" s="115">
        <f t="shared" si="407"/>
        <v>5</v>
      </c>
      <c r="N995" s="115">
        <v>2.0</v>
      </c>
      <c r="O995" s="115">
        <v>3.0</v>
      </c>
      <c r="P995" s="115">
        <f t="shared" ref="P995:Q995" si="408">P837-AB837</f>
        <v>3</v>
      </c>
      <c r="Q995" s="115">
        <f t="shared" si="408"/>
        <v>4</v>
      </c>
      <c r="R995" s="90" t="s">
        <v>10</v>
      </c>
      <c r="S995" s="67">
        <v>6.0</v>
      </c>
      <c r="T995" s="66">
        <f t="shared" si="403"/>
        <v>2</v>
      </c>
      <c r="V995" s="67"/>
      <c r="W995" s="4">
        <v>2.0</v>
      </c>
      <c r="AB995" s="139"/>
      <c r="AC995" s="139"/>
    </row>
    <row r="996">
      <c r="A996" s="11">
        <v>46159.0</v>
      </c>
      <c r="B996" s="13" t="s">
        <v>11</v>
      </c>
      <c r="C996" s="4">
        <v>22.0</v>
      </c>
      <c r="D996" s="6"/>
      <c r="F996" s="13">
        <f t="shared" si="399"/>
        <v>20</v>
      </c>
      <c r="G996" s="6">
        <f t="shared" si="400"/>
        <v>2</v>
      </c>
      <c r="K996" s="13">
        <f t="shared" si="404"/>
        <v>4</v>
      </c>
      <c r="L996" s="13">
        <f t="shared" ref="L996:L1000" si="409">L838-X838</f>
        <v>3</v>
      </c>
      <c r="M996" s="4">
        <v>4.0</v>
      </c>
      <c r="N996" s="13">
        <v>1.0</v>
      </c>
      <c r="O996" s="13">
        <v>2.0</v>
      </c>
      <c r="P996" s="13">
        <f t="shared" ref="P996:P1000" si="410">P838-AB838</f>
        <v>2</v>
      </c>
      <c r="Q996" s="4">
        <v>4.0</v>
      </c>
      <c r="R996" s="90" t="s">
        <v>11</v>
      </c>
      <c r="S996" s="67">
        <v>1.0</v>
      </c>
      <c r="T996" s="66">
        <f t="shared" si="403"/>
        <v>0</v>
      </c>
      <c r="V996" s="67"/>
      <c r="AB996" s="140"/>
      <c r="AC996" s="140"/>
    </row>
    <row r="997">
      <c r="A997" s="11">
        <v>46159.0</v>
      </c>
      <c r="B997" s="114" t="s">
        <v>12</v>
      </c>
      <c r="C997" s="114">
        <f>F997+F1013</f>
        <v>24</v>
      </c>
      <c r="D997" s="6"/>
      <c r="F997" s="13">
        <f t="shared" si="399"/>
        <v>18</v>
      </c>
      <c r="G997" s="6">
        <f t="shared" si="400"/>
        <v>6</v>
      </c>
      <c r="I997" s="115"/>
      <c r="J997" s="115"/>
      <c r="K997" s="115">
        <f t="shared" si="404"/>
        <v>1</v>
      </c>
      <c r="L997" s="115">
        <f t="shared" si="409"/>
        <v>4</v>
      </c>
      <c r="M997" s="115">
        <f t="shared" ref="M997:M1000" si="411">M839-Y839</f>
        <v>3</v>
      </c>
      <c r="N997" s="115">
        <v>2.0</v>
      </c>
      <c r="O997" s="115">
        <v>1.0</v>
      </c>
      <c r="P997" s="115">
        <f t="shared" si="410"/>
        <v>3</v>
      </c>
      <c r="Q997" s="115">
        <v>4.0</v>
      </c>
      <c r="R997" s="90" t="s">
        <v>12</v>
      </c>
      <c r="S997" s="67">
        <v>6.0</v>
      </c>
      <c r="T997" s="66">
        <f t="shared" si="403"/>
        <v>0</v>
      </c>
      <c r="V997" s="67"/>
      <c r="AB997" s="139"/>
      <c r="AC997" s="139"/>
    </row>
    <row r="998">
      <c r="A998" s="11">
        <v>46159.0</v>
      </c>
      <c r="B998" s="13" t="s">
        <v>13</v>
      </c>
      <c r="C998" s="4">
        <v>35.0</v>
      </c>
      <c r="D998" s="82"/>
      <c r="F998" s="13">
        <f t="shared" si="399"/>
        <v>32</v>
      </c>
      <c r="G998" s="6">
        <f t="shared" si="400"/>
        <v>3</v>
      </c>
      <c r="K998" s="13">
        <f t="shared" si="404"/>
        <v>4</v>
      </c>
      <c r="L998" s="13">
        <f t="shared" si="409"/>
        <v>5</v>
      </c>
      <c r="M998" s="13">
        <f t="shared" si="411"/>
        <v>7</v>
      </c>
      <c r="N998" s="13">
        <v>2.0</v>
      </c>
      <c r="O998" s="4">
        <v>5.0</v>
      </c>
      <c r="P998" s="13">
        <f t="shared" si="410"/>
        <v>4</v>
      </c>
      <c r="Q998" s="4">
        <v>5.0</v>
      </c>
      <c r="R998" s="90" t="s">
        <v>13</v>
      </c>
      <c r="S998" s="67">
        <v>11.0</v>
      </c>
      <c r="T998" s="66">
        <f t="shared" si="403"/>
        <v>2</v>
      </c>
      <c r="V998" s="67"/>
      <c r="X998" s="4">
        <v>2.0</v>
      </c>
      <c r="AB998" s="140"/>
      <c r="AC998" s="140"/>
    </row>
    <row r="999">
      <c r="A999" s="11">
        <v>46159.0</v>
      </c>
      <c r="B999" s="114" t="s">
        <v>14</v>
      </c>
      <c r="C999" s="114">
        <f>F999+F1015</f>
        <v>26</v>
      </c>
      <c r="D999" s="6"/>
      <c r="F999" s="13">
        <f t="shared" si="399"/>
        <v>21</v>
      </c>
      <c r="G999" s="6">
        <f t="shared" si="400"/>
        <v>5</v>
      </c>
      <c r="I999" s="115"/>
      <c r="J999" s="115"/>
      <c r="K999" s="115">
        <f t="shared" si="404"/>
        <v>3</v>
      </c>
      <c r="L999" s="115">
        <f t="shared" si="409"/>
        <v>5</v>
      </c>
      <c r="M999" s="115">
        <f t="shared" si="411"/>
        <v>5</v>
      </c>
      <c r="N999" s="115">
        <v>1.0</v>
      </c>
      <c r="O999" s="115">
        <v>1.0</v>
      </c>
      <c r="P999" s="115">
        <f t="shared" si="410"/>
        <v>2</v>
      </c>
      <c r="Q999" s="115">
        <v>4.0</v>
      </c>
      <c r="R999" s="90" t="s">
        <v>14</v>
      </c>
      <c r="S999" s="67">
        <v>4.0</v>
      </c>
      <c r="T999" s="66">
        <f t="shared" si="403"/>
        <v>1</v>
      </c>
      <c r="V999" s="67"/>
      <c r="AB999" s="139"/>
      <c r="AC999" s="139">
        <v>1.0</v>
      </c>
    </row>
    <row r="1000">
      <c r="A1000" s="11">
        <v>46159.0</v>
      </c>
      <c r="B1000" s="13" t="s">
        <v>15</v>
      </c>
      <c r="C1000" s="4">
        <v>280.0</v>
      </c>
      <c r="D1000" s="82">
        <v>11.0</v>
      </c>
      <c r="F1000" s="13">
        <f t="shared" si="399"/>
        <v>233</v>
      </c>
      <c r="G1000" s="6">
        <f t="shared" si="400"/>
        <v>58</v>
      </c>
      <c r="K1000" s="4">
        <v>38.0</v>
      </c>
      <c r="L1000" s="13">
        <f t="shared" si="409"/>
        <v>35</v>
      </c>
      <c r="M1000" s="13">
        <f t="shared" si="411"/>
        <v>45</v>
      </c>
      <c r="N1000" s="13">
        <v>25.0</v>
      </c>
      <c r="O1000" s="4">
        <v>30.0</v>
      </c>
      <c r="P1000" s="13">
        <f t="shared" si="410"/>
        <v>20</v>
      </c>
      <c r="Q1000" s="4">
        <v>40.0</v>
      </c>
      <c r="R1000" s="90" t="s">
        <v>15</v>
      </c>
      <c r="S1000" s="67">
        <f>30+22</f>
        <v>52</v>
      </c>
      <c r="T1000" s="66">
        <f t="shared" si="403"/>
        <v>20</v>
      </c>
      <c r="V1000" s="67"/>
      <c r="W1000" s="4">
        <v>4.0</v>
      </c>
      <c r="X1000" s="4">
        <v>13.0</v>
      </c>
      <c r="AB1000" s="140"/>
      <c r="AC1000" s="140">
        <v>3.0</v>
      </c>
    </row>
    <row r="1001">
      <c r="A1001" s="11">
        <v>46159.0</v>
      </c>
      <c r="B1001" s="4" t="s">
        <v>16</v>
      </c>
      <c r="C1001" s="13">
        <f>sum(C989:C1000)</f>
        <v>650</v>
      </c>
      <c r="D1001" s="6"/>
      <c r="F1001" s="13">
        <f t="shared" ref="F1001:G1001" si="412">sum(F989:F1000)</f>
        <v>548</v>
      </c>
      <c r="G1001" s="6">
        <f t="shared" si="412"/>
        <v>146</v>
      </c>
      <c r="I1001" s="157">
        <f t="shared" ref="I1001:Q1001" si="413">sum(I989:I1000)</f>
        <v>0</v>
      </c>
      <c r="J1001" s="157">
        <f t="shared" si="413"/>
        <v>0</v>
      </c>
      <c r="K1001" s="157">
        <f t="shared" si="413"/>
        <v>77</v>
      </c>
      <c r="L1001" s="157">
        <f t="shared" si="413"/>
        <v>91</v>
      </c>
      <c r="M1001" s="157">
        <f t="shared" si="413"/>
        <v>105</v>
      </c>
      <c r="N1001" s="157">
        <f t="shared" si="413"/>
        <v>45</v>
      </c>
      <c r="O1001" s="157">
        <f t="shared" si="413"/>
        <v>66</v>
      </c>
      <c r="P1001" s="157">
        <f t="shared" si="413"/>
        <v>66</v>
      </c>
      <c r="Q1001" s="157">
        <f t="shared" si="413"/>
        <v>98</v>
      </c>
      <c r="R1001" s="135"/>
      <c r="S1001" s="136">
        <f t="shared" ref="S1001:AC1001" si="414">sum(S989:S1000)</f>
        <v>133</v>
      </c>
      <c r="T1001" s="136">
        <f t="shared" si="414"/>
        <v>39</v>
      </c>
      <c r="U1001" s="135">
        <f t="shared" si="414"/>
        <v>0</v>
      </c>
      <c r="V1001" s="136">
        <f t="shared" si="414"/>
        <v>0</v>
      </c>
      <c r="W1001" s="135">
        <f t="shared" si="414"/>
        <v>9</v>
      </c>
      <c r="X1001" s="135">
        <f t="shared" si="414"/>
        <v>18</v>
      </c>
      <c r="Y1001" s="135">
        <f t="shared" si="414"/>
        <v>0</v>
      </c>
      <c r="Z1001" s="135">
        <f t="shared" si="414"/>
        <v>0</v>
      </c>
      <c r="AA1001" s="135">
        <f t="shared" si="414"/>
        <v>0</v>
      </c>
      <c r="AB1001" s="135">
        <f t="shared" si="414"/>
        <v>0</v>
      </c>
      <c r="AC1001" s="135">
        <f t="shared" si="414"/>
        <v>12</v>
      </c>
    </row>
    <row r="1002">
      <c r="D1002" s="6"/>
      <c r="I1002" s="13">
        <f t="shared" ref="I1002:Q1002" si="415">I1001-U1001</f>
        <v>0</v>
      </c>
      <c r="J1002" s="66">
        <f t="shared" si="415"/>
        <v>0</v>
      </c>
      <c r="K1002" s="13">
        <f t="shared" si="415"/>
        <v>68</v>
      </c>
      <c r="L1002" s="13">
        <f t="shared" si="415"/>
        <v>73</v>
      </c>
      <c r="M1002" s="13">
        <f t="shared" si="415"/>
        <v>105</v>
      </c>
      <c r="N1002" s="13">
        <f t="shared" si="415"/>
        <v>45</v>
      </c>
      <c r="O1002" s="13">
        <f t="shared" si="415"/>
        <v>66</v>
      </c>
      <c r="P1002" s="13">
        <f t="shared" si="415"/>
        <v>66</v>
      </c>
      <c r="Q1002" s="13">
        <f t="shared" si="415"/>
        <v>86</v>
      </c>
    </row>
    <row r="1003">
      <c r="D1003" s="6"/>
    </row>
    <row r="1004">
      <c r="D1004" s="6"/>
      <c r="F1004" s="4" t="s">
        <v>16</v>
      </c>
      <c r="G1004" s="4" t="s">
        <v>251</v>
      </c>
      <c r="H1004" s="75" t="s">
        <v>253</v>
      </c>
      <c r="I1004" s="4" t="s">
        <v>93</v>
      </c>
      <c r="J1004" s="4" t="s">
        <v>227</v>
      </c>
      <c r="K1004" s="4" t="s">
        <v>89</v>
      </c>
      <c r="L1004" s="4" t="s">
        <v>80</v>
      </c>
      <c r="M1004" s="4" t="s">
        <v>81</v>
      </c>
      <c r="N1004" s="4" t="s">
        <v>232</v>
      </c>
      <c r="O1004" s="4" t="s">
        <v>180</v>
      </c>
      <c r="P1004" s="4" t="s">
        <v>264</v>
      </c>
      <c r="Q1004" s="4" t="s">
        <v>280</v>
      </c>
      <c r="R1004" s="127" t="s">
        <v>236</v>
      </c>
      <c r="S1004" s="128" t="s">
        <v>233</v>
      </c>
      <c r="T1004" s="128" t="s">
        <v>234</v>
      </c>
      <c r="U1004" s="128" t="s">
        <v>238</v>
      </c>
      <c r="V1004" s="128" t="s">
        <v>231</v>
      </c>
      <c r="W1004" s="128" t="s">
        <v>239</v>
      </c>
      <c r="X1004" s="128" t="s">
        <v>246</v>
      </c>
      <c r="Y1004" s="128" t="s">
        <v>247</v>
      </c>
      <c r="Z1004" s="128" t="s">
        <v>248</v>
      </c>
      <c r="AA1004" s="128" t="s">
        <v>267</v>
      </c>
      <c r="AB1004" s="130" t="s">
        <v>268</v>
      </c>
      <c r="AC1004" s="130" t="s">
        <v>169</v>
      </c>
    </row>
    <row r="1005">
      <c r="B1005" s="114" t="s">
        <v>4</v>
      </c>
      <c r="D1005" s="6"/>
      <c r="F1005" s="13">
        <f t="shared" ref="F1005:F1016" si="416">sum(I1005:Q1005)</f>
        <v>27</v>
      </c>
      <c r="G1005" s="66">
        <f t="shared" ref="G1005:G1016" si="417">S989+T989</f>
        <v>27</v>
      </c>
      <c r="H1005" s="119">
        <f t="shared" ref="H1005:H1016" si="418">G1005-sum(I1005:Q1005)</f>
        <v>0</v>
      </c>
      <c r="K1005" s="4">
        <v>3.0</v>
      </c>
      <c r="L1005" s="150"/>
      <c r="M1005" s="67">
        <v>5.0</v>
      </c>
      <c r="O1005" s="67">
        <v>9.0</v>
      </c>
      <c r="P1005" s="4">
        <v>5.0</v>
      </c>
      <c r="Q1005" s="4">
        <v>5.0</v>
      </c>
      <c r="R1005" s="154" t="s">
        <v>4</v>
      </c>
      <c r="S1005" s="67"/>
      <c r="T1005" s="66"/>
      <c r="V1005" s="67"/>
      <c r="W1005" s="4">
        <v>1.0</v>
      </c>
      <c r="Y1005" s="138">
        <v>2.0</v>
      </c>
      <c r="AB1005" s="4">
        <v>5.0</v>
      </c>
      <c r="AC1005" s="138">
        <v>1.0</v>
      </c>
    </row>
    <row r="1006">
      <c r="B1006" s="13" t="s">
        <v>5</v>
      </c>
      <c r="D1006" s="6"/>
      <c r="F1006" s="13">
        <f t="shared" si="416"/>
        <v>11</v>
      </c>
      <c r="G1006" s="66">
        <f t="shared" si="417"/>
        <v>11</v>
      </c>
      <c r="H1006" s="119">
        <f t="shared" si="418"/>
        <v>0</v>
      </c>
      <c r="K1006" s="4">
        <v>2.0</v>
      </c>
      <c r="L1006" s="150"/>
      <c r="M1006" s="67">
        <v>2.0</v>
      </c>
      <c r="O1006" s="4">
        <v>2.0</v>
      </c>
      <c r="P1006" s="4">
        <v>2.0</v>
      </c>
      <c r="Q1006" s="4">
        <v>3.0</v>
      </c>
      <c r="R1006" s="154" t="s">
        <v>5</v>
      </c>
      <c r="S1006" s="67"/>
      <c r="T1006" s="67">
        <v>3.0</v>
      </c>
      <c r="V1006" s="67"/>
      <c r="Y1006" s="140">
        <v>1.0</v>
      </c>
      <c r="AB1006" s="4">
        <v>2.0</v>
      </c>
      <c r="AC1006" s="140"/>
    </row>
    <row r="1007">
      <c r="B1007" s="114" t="s">
        <v>6</v>
      </c>
      <c r="D1007" s="6"/>
      <c r="F1007" s="13">
        <f t="shared" si="416"/>
        <v>6</v>
      </c>
      <c r="G1007" s="66">
        <f t="shared" si="417"/>
        <v>6</v>
      </c>
      <c r="H1007" s="119">
        <f t="shared" si="418"/>
        <v>0</v>
      </c>
      <c r="K1007" s="4">
        <v>2.0</v>
      </c>
      <c r="L1007" s="150"/>
      <c r="M1007" s="67">
        <v>1.0</v>
      </c>
      <c r="O1007" s="67">
        <v>1.0</v>
      </c>
      <c r="P1007" s="4">
        <v>1.0</v>
      </c>
      <c r="Q1007" s="4">
        <v>1.0</v>
      </c>
      <c r="R1007" s="154" t="s">
        <v>6</v>
      </c>
      <c r="S1007" s="67"/>
      <c r="T1007" s="67">
        <v>1.0</v>
      </c>
      <c r="V1007" s="67"/>
      <c r="W1007" s="4">
        <v>1.0</v>
      </c>
      <c r="Y1007" s="139">
        <v>1.0</v>
      </c>
      <c r="AB1007" s="4">
        <v>1.0</v>
      </c>
      <c r="AC1007" s="139"/>
    </row>
    <row r="1008">
      <c r="B1008" s="13" t="s">
        <v>7</v>
      </c>
      <c r="D1008" s="6"/>
      <c r="F1008" s="13">
        <f t="shared" si="416"/>
        <v>6</v>
      </c>
      <c r="G1008" s="66">
        <f t="shared" si="417"/>
        <v>6</v>
      </c>
      <c r="H1008" s="119">
        <f t="shared" si="418"/>
        <v>0</v>
      </c>
      <c r="K1008" s="4">
        <v>1.0</v>
      </c>
      <c r="L1008" s="150"/>
      <c r="M1008" s="67">
        <v>2.0</v>
      </c>
      <c r="O1008" s="67">
        <v>1.0</v>
      </c>
      <c r="Q1008" s="4">
        <v>2.0</v>
      </c>
      <c r="R1008" s="154" t="s">
        <v>7</v>
      </c>
      <c r="S1008" s="67"/>
      <c r="T1008" s="66"/>
      <c r="V1008" s="67"/>
      <c r="W1008" s="4">
        <v>1.0</v>
      </c>
      <c r="Y1008" s="140">
        <v>1.0</v>
      </c>
      <c r="AC1008" s="140"/>
    </row>
    <row r="1009">
      <c r="B1009" s="114" t="s">
        <v>8</v>
      </c>
      <c r="D1009" s="6"/>
      <c r="F1009" s="13">
        <f t="shared" si="416"/>
        <v>13</v>
      </c>
      <c r="G1009" s="66">
        <f t="shared" si="417"/>
        <v>13</v>
      </c>
      <c r="H1009" s="119">
        <f t="shared" si="418"/>
        <v>0</v>
      </c>
      <c r="K1009" s="4">
        <v>2.0</v>
      </c>
      <c r="L1009" s="150"/>
      <c r="M1009" s="67">
        <v>2.0</v>
      </c>
      <c r="O1009" s="67">
        <v>3.0</v>
      </c>
      <c r="P1009" s="4">
        <v>3.0</v>
      </c>
      <c r="Q1009" s="4">
        <v>3.0</v>
      </c>
      <c r="R1009" s="154" t="s">
        <v>8</v>
      </c>
      <c r="S1009" s="67"/>
      <c r="T1009" s="67">
        <v>1.0</v>
      </c>
      <c r="V1009" s="67"/>
      <c r="W1009" s="4">
        <v>2.0</v>
      </c>
      <c r="Y1009" s="134"/>
      <c r="AC1009" s="134"/>
    </row>
    <row r="1010">
      <c r="B1010" s="13" t="s">
        <v>9</v>
      </c>
      <c r="D1010" s="6"/>
      <c r="F1010" s="13">
        <f t="shared" si="416"/>
        <v>4</v>
      </c>
      <c r="G1010" s="66">
        <f t="shared" si="417"/>
        <v>4</v>
      </c>
      <c r="H1010" s="119">
        <f t="shared" si="418"/>
        <v>0</v>
      </c>
      <c r="K1010" s="4">
        <v>1.0</v>
      </c>
      <c r="L1010" s="150"/>
      <c r="M1010" s="4">
        <v>1.0</v>
      </c>
      <c r="O1010" s="67">
        <v>1.0</v>
      </c>
      <c r="Q1010" s="4">
        <v>1.0</v>
      </c>
      <c r="R1010" s="154" t="s">
        <v>9</v>
      </c>
      <c r="S1010" s="67"/>
      <c r="T1010" s="67">
        <v>2.0</v>
      </c>
      <c r="V1010" s="67"/>
      <c r="Y1010" s="133"/>
      <c r="AC1010" s="133"/>
    </row>
    <row r="1011">
      <c r="B1011" s="114" t="s">
        <v>10</v>
      </c>
      <c r="D1011" s="6"/>
      <c r="F1011" s="13">
        <f t="shared" si="416"/>
        <v>8</v>
      </c>
      <c r="G1011" s="66">
        <f t="shared" si="417"/>
        <v>8</v>
      </c>
      <c r="H1011" s="119">
        <f t="shared" si="418"/>
        <v>0</v>
      </c>
      <c r="K1011" s="4">
        <v>2.0</v>
      </c>
      <c r="L1011" s="150"/>
      <c r="M1011" s="67">
        <v>1.0</v>
      </c>
      <c r="O1011" s="67">
        <v>2.0</v>
      </c>
      <c r="P1011" s="4">
        <v>1.0</v>
      </c>
      <c r="Q1011" s="4">
        <v>2.0</v>
      </c>
      <c r="R1011" s="154" t="s">
        <v>10</v>
      </c>
      <c r="S1011" s="67"/>
      <c r="T1011" s="67">
        <v>2.0</v>
      </c>
      <c r="V1011" s="67"/>
      <c r="W1011" s="4">
        <v>2.0</v>
      </c>
      <c r="Y1011" s="134"/>
      <c r="AC1011" s="134"/>
    </row>
    <row r="1012">
      <c r="B1012" s="13" t="s">
        <v>11</v>
      </c>
      <c r="D1012" s="6"/>
      <c r="F1012" s="13">
        <f t="shared" si="416"/>
        <v>1</v>
      </c>
      <c r="G1012" s="66">
        <f t="shared" si="417"/>
        <v>1</v>
      </c>
      <c r="H1012" s="119">
        <f t="shared" si="418"/>
        <v>0</v>
      </c>
      <c r="L1012" s="150"/>
      <c r="M1012" s="67">
        <v>1.0</v>
      </c>
      <c r="O1012" s="67"/>
      <c r="R1012" s="154" t="s">
        <v>11</v>
      </c>
      <c r="S1012" s="67"/>
      <c r="T1012" s="67">
        <v>2.0</v>
      </c>
      <c r="V1012" s="67"/>
      <c r="Y1012" s="140">
        <v>1.0</v>
      </c>
      <c r="AC1012" s="140"/>
    </row>
    <row r="1013">
      <c r="B1013" s="114" t="s">
        <v>12</v>
      </c>
      <c r="D1013" s="6"/>
      <c r="F1013" s="13">
        <f t="shared" si="416"/>
        <v>6</v>
      </c>
      <c r="G1013" s="66">
        <f t="shared" si="417"/>
        <v>6</v>
      </c>
      <c r="H1013" s="119">
        <f t="shared" si="418"/>
        <v>0</v>
      </c>
      <c r="K1013" s="4">
        <v>1.0</v>
      </c>
      <c r="L1013" s="152"/>
      <c r="M1013" s="4">
        <v>1.0</v>
      </c>
      <c r="O1013" s="67">
        <v>2.0</v>
      </c>
      <c r="P1013" s="4">
        <v>1.0</v>
      </c>
      <c r="Q1013" s="4">
        <v>1.0</v>
      </c>
      <c r="R1013" s="154" t="s">
        <v>12</v>
      </c>
      <c r="S1013" s="67"/>
      <c r="T1013" s="67">
        <v>3.0</v>
      </c>
      <c r="V1013" s="66"/>
      <c r="Y1013" s="139">
        <v>1.0</v>
      </c>
      <c r="AC1013" s="139">
        <v>1.0</v>
      </c>
    </row>
    <row r="1014">
      <c r="B1014" s="13" t="s">
        <v>13</v>
      </c>
      <c r="D1014" s="6"/>
      <c r="F1014" s="13">
        <f t="shared" si="416"/>
        <v>13</v>
      </c>
      <c r="G1014" s="66">
        <f t="shared" si="417"/>
        <v>13</v>
      </c>
      <c r="H1014" s="119">
        <f t="shared" si="418"/>
        <v>0</v>
      </c>
      <c r="K1014" s="4">
        <v>2.0</v>
      </c>
      <c r="L1014" s="150"/>
      <c r="M1014" s="4">
        <v>2.0</v>
      </c>
      <c r="O1014" s="4">
        <v>3.0</v>
      </c>
      <c r="P1014" s="4">
        <v>3.0</v>
      </c>
      <c r="Q1014" s="4">
        <v>3.0</v>
      </c>
      <c r="R1014" s="154" t="s">
        <v>13</v>
      </c>
      <c r="S1014" s="67"/>
      <c r="T1014" s="67">
        <v>1.0</v>
      </c>
      <c r="V1014" s="67"/>
      <c r="W1014" s="4">
        <v>1.0</v>
      </c>
      <c r="Y1014" s="140">
        <v>2.0</v>
      </c>
      <c r="AB1014" s="4">
        <v>3.0</v>
      </c>
      <c r="AC1014" s="140"/>
    </row>
    <row r="1015">
      <c r="B1015" s="114" t="s">
        <v>14</v>
      </c>
      <c r="F1015" s="13">
        <f t="shared" si="416"/>
        <v>5</v>
      </c>
      <c r="G1015" s="66">
        <f t="shared" si="417"/>
        <v>5</v>
      </c>
      <c r="H1015" s="119">
        <f t="shared" si="418"/>
        <v>0</v>
      </c>
      <c r="K1015" s="67">
        <v>1.0</v>
      </c>
      <c r="L1015" s="152"/>
      <c r="M1015" s="4">
        <v>1.0</v>
      </c>
      <c r="O1015" s="67">
        <v>1.0</v>
      </c>
      <c r="Q1015" s="4">
        <v>2.0</v>
      </c>
      <c r="R1015" s="154" t="s">
        <v>14</v>
      </c>
      <c r="S1015" s="67"/>
      <c r="T1015" s="67">
        <v>4.0</v>
      </c>
      <c r="V1015" s="67"/>
      <c r="Y1015" s="134"/>
      <c r="AC1015" s="134"/>
    </row>
    <row r="1016">
      <c r="B1016" s="13" t="s">
        <v>15</v>
      </c>
      <c r="F1016" s="13">
        <f t="shared" si="416"/>
        <v>72</v>
      </c>
      <c r="G1016" s="66">
        <f t="shared" si="417"/>
        <v>72</v>
      </c>
      <c r="H1016" s="119">
        <f t="shared" si="418"/>
        <v>0</v>
      </c>
      <c r="K1016" s="4">
        <v>15.0</v>
      </c>
      <c r="L1016" s="150"/>
      <c r="M1016" s="4">
        <v>15.0</v>
      </c>
      <c r="O1016" s="67">
        <v>14.0</v>
      </c>
      <c r="P1016" s="4">
        <v>14.0</v>
      </c>
      <c r="Q1016" s="4">
        <v>14.0</v>
      </c>
      <c r="R1016" s="154" t="s">
        <v>15</v>
      </c>
      <c r="S1016" s="67"/>
      <c r="T1016" s="67">
        <v>36.0</v>
      </c>
      <c r="V1016" s="67"/>
      <c r="W1016" s="4">
        <v>5.0</v>
      </c>
      <c r="Y1016" s="140">
        <v>9.0</v>
      </c>
      <c r="AB1016" s="4">
        <v>9.0</v>
      </c>
      <c r="AC1016" s="140"/>
    </row>
    <row r="1017">
      <c r="G1017" s="66">
        <f t="shared" ref="G1017:Q1017" si="419">sum(G1005:G1016)</f>
        <v>172</v>
      </c>
      <c r="H1017" s="66">
        <f t="shared" si="419"/>
        <v>0</v>
      </c>
      <c r="I1017" s="97">
        <f t="shared" si="419"/>
        <v>0</v>
      </c>
      <c r="J1017" s="97">
        <f t="shared" si="419"/>
        <v>0</v>
      </c>
      <c r="K1017" s="97">
        <f t="shared" si="419"/>
        <v>32</v>
      </c>
      <c r="L1017" s="153">
        <f t="shared" si="419"/>
        <v>0</v>
      </c>
      <c r="M1017" s="118">
        <f t="shared" si="419"/>
        <v>34</v>
      </c>
      <c r="N1017" s="97">
        <f t="shared" si="419"/>
        <v>0</v>
      </c>
      <c r="O1017" s="118">
        <f t="shared" si="419"/>
        <v>39</v>
      </c>
      <c r="P1017" s="97">
        <f t="shared" si="419"/>
        <v>30</v>
      </c>
      <c r="Q1017" s="97">
        <f t="shared" si="419"/>
        <v>37</v>
      </c>
      <c r="R1017" s="135"/>
      <c r="S1017" s="136">
        <f t="shared" ref="S1017:V1017" si="420">sum(S1005:S1016)</f>
        <v>0</v>
      </c>
      <c r="T1017" s="136">
        <f t="shared" si="420"/>
        <v>55</v>
      </c>
      <c r="U1017" s="135">
        <f t="shared" si="420"/>
        <v>0</v>
      </c>
      <c r="V1017" s="136">
        <f t="shared" si="420"/>
        <v>0</v>
      </c>
      <c r="W1017" s="137">
        <v>4.0</v>
      </c>
      <c r="X1017" s="135">
        <f t="shared" ref="X1017:AA1017" si="421">sum(X1005:X1016)</f>
        <v>0</v>
      </c>
      <c r="Y1017" s="135">
        <f t="shared" si="421"/>
        <v>18</v>
      </c>
      <c r="Z1017" s="135">
        <f t="shared" si="421"/>
        <v>0</v>
      </c>
      <c r="AA1017" s="135">
        <f t="shared" si="421"/>
        <v>0</v>
      </c>
      <c r="AB1017" s="135">
        <f>sum(Y1005:Y1016)</f>
        <v>18</v>
      </c>
      <c r="AC1017" s="135">
        <f>sum(AC1005:AC1016)</f>
        <v>2</v>
      </c>
    </row>
    <row r="1018">
      <c r="I1018" s="97"/>
      <c r="J1018" s="97"/>
      <c r="K1018" s="97"/>
      <c r="L1018" s="160"/>
      <c r="M1018" s="97"/>
      <c r="N1018" s="97"/>
      <c r="O1018" s="97"/>
      <c r="P1018" s="97"/>
      <c r="Q1018" s="97"/>
      <c r="R1018" s="160"/>
      <c r="S1018" s="160"/>
      <c r="T1018" s="160"/>
      <c r="U1018" s="160"/>
      <c r="V1018" s="160"/>
      <c r="W1018" s="160"/>
      <c r="X1018" s="160"/>
      <c r="Y1018" s="160"/>
      <c r="Z1018" s="160"/>
      <c r="AA1018" s="160"/>
      <c r="AB1018" s="160"/>
      <c r="AC1018" s="160"/>
      <c r="AD1018" s="160"/>
      <c r="AE1018" s="160"/>
    </row>
    <row r="1019">
      <c r="C1019" s="4" t="s">
        <v>270</v>
      </c>
      <c r="D1019" s="82" t="s">
        <v>2</v>
      </c>
      <c r="E1019" s="4" t="s">
        <v>272</v>
      </c>
      <c r="F1019" s="4" t="s">
        <v>16</v>
      </c>
      <c r="G1019" s="4" t="s">
        <v>276</v>
      </c>
      <c r="H1019" s="4" t="s">
        <v>277</v>
      </c>
      <c r="I1019" s="4" t="s">
        <v>93</v>
      </c>
      <c r="J1019" s="4" t="s">
        <v>227</v>
      </c>
      <c r="K1019" s="4" t="s">
        <v>89</v>
      </c>
      <c r="L1019" s="4" t="s">
        <v>80</v>
      </c>
      <c r="M1019" s="4" t="s">
        <v>81</v>
      </c>
      <c r="N1019" s="4" t="s">
        <v>232</v>
      </c>
      <c r="O1019" s="4" t="s">
        <v>180</v>
      </c>
      <c r="P1019" s="4" t="s">
        <v>264</v>
      </c>
      <c r="Q1019" s="4" t="s">
        <v>169</v>
      </c>
      <c r="R1019" s="127" t="s">
        <v>236</v>
      </c>
      <c r="S1019" s="128" t="s">
        <v>233</v>
      </c>
      <c r="T1019" s="128" t="s">
        <v>234</v>
      </c>
      <c r="U1019" s="128" t="s">
        <v>238</v>
      </c>
      <c r="V1019" s="128" t="s">
        <v>231</v>
      </c>
      <c r="W1019" s="128" t="s">
        <v>239</v>
      </c>
      <c r="X1019" s="128" t="s">
        <v>246</v>
      </c>
      <c r="Y1019" s="128" t="s">
        <v>247</v>
      </c>
      <c r="Z1019" s="128" t="s">
        <v>248</v>
      </c>
      <c r="AA1019" s="128" t="s">
        <v>283</v>
      </c>
      <c r="AB1019" s="130" t="s">
        <v>268</v>
      </c>
      <c r="AC1019" s="130" t="s">
        <v>169</v>
      </c>
      <c r="AD1019" s="160"/>
      <c r="AE1019" s="160"/>
    </row>
    <row r="1020">
      <c r="A1020" s="11">
        <v>46160.0</v>
      </c>
      <c r="B1020" s="114" t="s">
        <v>4</v>
      </c>
      <c r="C1020" s="115">
        <v>55.0</v>
      </c>
      <c r="D1020" s="82">
        <v>5.0</v>
      </c>
      <c r="F1020" s="13">
        <f t="shared" ref="F1020:F1031" si="422">sum(H1020:P1020)+Q1020</f>
        <v>48</v>
      </c>
      <c r="G1020" s="6">
        <f t="shared" ref="G1020:G1031" si="423">C1020+D1020-F1020+E1020</f>
        <v>12</v>
      </c>
      <c r="I1020" s="115">
        <v>3.0</v>
      </c>
      <c r="J1020" s="115"/>
      <c r="K1020" s="115">
        <v>5.0</v>
      </c>
      <c r="L1020" s="115">
        <v>7.0</v>
      </c>
      <c r="M1020" s="115">
        <v>9.0</v>
      </c>
      <c r="N1020" s="115">
        <v>3.0</v>
      </c>
      <c r="O1020" s="115">
        <v>7.0</v>
      </c>
      <c r="P1020" s="115">
        <v>7.0</v>
      </c>
      <c r="Q1020" s="115">
        <v>7.0</v>
      </c>
      <c r="R1020" s="90" t="s">
        <v>4</v>
      </c>
      <c r="S1020" s="67">
        <v>21.0</v>
      </c>
      <c r="T1020" s="66">
        <f t="shared" ref="T1020:T1031" si="424">sum(U1020:AC1020)</f>
        <v>0</v>
      </c>
      <c r="V1020" s="67"/>
      <c r="AB1020" s="138"/>
      <c r="AC1020" s="138"/>
      <c r="AD1020" s="160"/>
      <c r="AE1020" s="160"/>
    </row>
    <row r="1021">
      <c r="A1021" s="11">
        <v>46160.0</v>
      </c>
      <c r="B1021" s="13" t="s">
        <v>5</v>
      </c>
      <c r="C1021" s="4">
        <v>30.0</v>
      </c>
      <c r="D1021" s="82">
        <v>6.0</v>
      </c>
      <c r="F1021" s="13">
        <f t="shared" si="422"/>
        <v>29</v>
      </c>
      <c r="G1021" s="6">
        <f t="shared" si="423"/>
        <v>7</v>
      </c>
      <c r="I1021" s="4">
        <v>2.0</v>
      </c>
      <c r="K1021" s="4">
        <v>3.0</v>
      </c>
      <c r="L1021" s="13">
        <v>5.0</v>
      </c>
      <c r="M1021" s="13">
        <v>5.0</v>
      </c>
      <c r="N1021" s="13">
        <v>1.0</v>
      </c>
      <c r="O1021" s="4">
        <v>4.0</v>
      </c>
      <c r="P1021" s="13">
        <v>4.0</v>
      </c>
      <c r="Q1021" s="4">
        <v>5.0</v>
      </c>
      <c r="R1021" s="90" t="s">
        <v>5</v>
      </c>
      <c r="S1021" s="67">
        <v>10.0</v>
      </c>
      <c r="T1021" s="66">
        <f t="shared" si="424"/>
        <v>4</v>
      </c>
      <c r="V1021" s="67"/>
      <c r="Y1021" s="4">
        <v>2.0</v>
      </c>
      <c r="AB1021" s="140">
        <v>2.0</v>
      </c>
      <c r="AC1021" s="140"/>
      <c r="AD1021" s="160"/>
      <c r="AE1021" s="160"/>
    </row>
    <row r="1022">
      <c r="A1022" s="11">
        <v>46160.0</v>
      </c>
      <c r="B1022" s="114" t="s">
        <v>6</v>
      </c>
      <c r="C1022" s="115">
        <v>29.0</v>
      </c>
      <c r="D1022" s="6"/>
      <c r="F1022" s="13">
        <f t="shared" si="422"/>
        <v>25</v>
      </c>
      <c r="G1022" s="6">
        <f t="shared" si="423"/>
        <v>4</v>
      </c>
      <c r="I1022" s="115">
        <v>1.0</v>
      </c>
      <c r="J1022" s="115"/>
      <c r="K1022" s="115">
        <v>2.0</v>
      </c>
      <c r="L1022" s="115">
        <v>4.0</v>
      </c>
      <c r="M1022" s="115">
        <v>5.0</v>
      </c>
      <c r="N1022" s="115">
        <v>2.0</v>
      </c>
      <c r="O1022" s="115">
        <v>3.0</v>
      </c>
      <c r="P1022" s="115">
        <v>4.0</v>
      </c>
      <c r="Q1022" s="115">
        <v>4.0</v>
      </c>
      <c r="R1022" s="90" t="s">
        <v>6</v>
      </c>
      <c r="S1022" s="67"/>
      <c r="T1022" s="66">
        <f t="shared" si="424"/>
        <v>1</v>
      </c>
      <c r="V1022" s="67"/>
      <c r="Y1022" s="4">
        <v>1.0</v>
      </c>
      <c r="AB1022" s="139"/>
      <c r="AC1022" s="139"/>
      <c r="AD1022" s="160"/>
      <c r="AE1022" s="160"/>
    </row>
    <row r="1023">
      <c r="A1023" s="11">
        <v>46160.0</v>
      </c>
      <c r="B1023" s="13" t="s">
        <v>7</v>
      </c>
      <c r="C1023" s="4">
        <v>32.0</v>
      </c>
      <c r="D1023" s="82">
        <v>2.0</v>
      </c>
      <c r="F1023" s="13">
        <f t="shared" si="422"/>
        <v>26</v>
      </c>
      <c r="G1023" s="6">
        <f t="shared" si="423"/>
        <v>8</v>
      </c>
      <c r="I1023" s="4">
        <v>2.0</v>
      </c>
      <c r="K1023" s="4">
        <v>3.0</v>
      </c>
      <c r="L1023" s="13">
        <v>4.0</v>
      </c>
      <c r="M1023" s="4">
        <v>5.0</v>
      </c>
      <c r="N1023" s="13">
        <v>1.0</v>
      </c>
      <c r="O1023" s="4">
        <v>3.0</v>
      </c>
      <c r="P1023" s="4">
        <v>4.0</v>
      </c>
      <c r="Q1023" s="4">
        <v>4.0</v>
      </c>
      <c r="R1023" s="90" t="s">
        <v>7</v>
      </c>
      <c r="S1023" s="67">
        <v>9.0</v>
      </c>
      <c r="T1023" s="66">
        <f t="shared" si="424"/>
        <v>1</v>
      </c>
      <c r="V1023" s="67"/>
      <c r="Y1023" s="4">
        <v>1.0</v>
      </c>
      <c r="AB1023" s="140"/>
      <c r="AC1023" s="140"/>
      <c r="AD1023" s="160"/>
      <c r="AE1023" s="160"/>
    </row>
    <row r="1024">
      <c r="A1024" s="11">
        <v>46160.0</v>
      </c>
      <c r="B1024" s="114" t="s">
        <v>8</v>
      </c>
      <c r="C1024" s="115">
        <v>56.0</v>
      </c>
      <c r="D1024" s="82">
        <v>1.0</v>
      </c>
      <c r="F1024" s="13">
        <f t="shared" si="422"/>
        <v>48</v>
      </c>
      <c r="G1024" s="6">
        <f t="shared" si="423"/>
        <v>9</v>
      </c>
      <c r="I1024" s="115">
        <v>2.0</v>
      </c>
      <c r="J1024" s="115"/>
      <c r="K1024" s="115">
        <v>5.0</v>
      </c>
      <c r="L1024" s="115">
        <v>7.0</v>
      </c>
      <c r="M1024" s="115">
        <v>9.0</v>
      </c>
      <c r="N1024" s="115">
        <v>2.0</v>
      </c>
      <c r="O1024" s="115">
        <v>7.0</v>
      </c>
      <c r="P1024" s="115">
        <v>7.0</v>
      </c>
      <c r="Q1024" s="115">
        <v>9.0</v>
      </c>
      <c r="R1024" s="90" t="s">
        <v>8</v>
      </c>
      <c r="S1024" s="67">
        <v>12.0</v>
      </c>
      <c r="T1024" s="66">
        <f t="shared" si="424"/>
        <v>0</v>
      </c>
      <c r="V1024" s="67"/>
      <c r="AB1024" s="139"/>
      <c r="AC1024" s="139"/>
      <c r="AD1024" s="160"/>
      <c r="AE1024" s="160"/>
    </row>
    <row r="1025">
      <c r="A1025" s="11">
        <v>46160.0</v>
      </c>
      <c r="B1025" s="13" t="s">
        <v>9</v>
      </c>
      <c r="C1025" s="13">
        <f>F1025+F1041</f>
        <v>56</v>
      </c>
      <c r="D1025" s="82">
        <v>4.0</v>
      </c>
      <c r="F1025" s="13">
        <f t="shared" si="422"/>
        <v>51</v>
      </c>
      <c r="G1025" s="6">
        <f t="shared" si="423"/>
        <v>9</v>
      </c>
      <c r="I1025" s="4">
        <v>2.0</v>
      </c>
      <c r="K1025" s="4">
        <v>5.0</v>
      </c>
      <c r="L1025" s="4">
        <v>7.0</v>
      </c>
      <c r="M1025" s="4">
        <v>9.0</v>
      </c>
      <c r="N1025" s="13">
        <v>3.0</v>
      </c>
      <c r="O1025" s="4">
        <v>9.0</v>
      </c>
      <c r="P1025" s="4">
        <v>7.0</v>
      </c>
      <c r="Q1025" s="4">
        <v>9.0</v>
      </c>
      <c r="R1025" s="90" t="s">
        <v>9</v>
      </c>
      <c r="S1025" s="67">
        <v>4.0</v>
      </c>
      <c r="T1025" s="66">
        <f t="shared" si="424"/>
        <v>4</v>
      </c>
      <c r="V1025" s="67"/>
      <c r="Y1025" s="4">
        <v>3.0</v>
      </c>
      <c r="AB1025" s="140">
        <v>1.0</v>
      </c>
      <c r="AC1025" s="140"/>
      <c r="AD1025" s="160"/>
      <c r="AE1025" s="160"/>
    </row>
    <row r="1026">
      <c r="A1026" s="11">
        <v>46160.0</v>
      </c>
      <c r="B1026" s="114" t="s">
        <v>10</v>
      </c>
      <c r="C1026" s="115">
        <v>34.0</v>
      </c>
      <c r="D1026" s="6"/>
      <c r="F1026" s="13">
        <f t="shared" si="422"/>
        <v>29</v>
      </c>
      <c r="G1026" s="6">
        <f t="shared" si="423"/>
        <v>5</v>
      </c>
      <c r="I1026" s="115">
        <v>2.0</v>
      </c>
      <c r="J1026" s="115"/>
      <c r="K1026" s="115">
        <v>3.0</v>
      </c>
      <c r="L1026" s="115">
        <v>5.0</v>
      </c>
      <c r="M1026" s="115">
        <v>5.0</v>
      </c>
      <c r="N1026" s="115">
        <v>2.0</v>
      </c>
      <c r="O1026" s="115">
        <v>3.0</v>
      </c>
      <c r="P1026" s="115">
        <v>4.0</v>
      </c>
      <c r="Q1026" s="115">
        <v>5.0</v>
      </c>
      <c r="R1026" s="90" t="s">
        <v>10</v>
      </c>
      <c r="S1026" s="67">
        <v>7.0</v>
      </c>
      <c r="T1026" s="66">
        <f t="shared" si="424"/>
        <v>2</v>
      </c>
      <c r="V1026" s="67"/>
      <c r="AB1026" s="139">
        <v>2.0</v>
      </c>
      <c r="AC1026" s="139"/>
      <c r="AD1026" s="160"/>
      <c r="AE1026" s="160"/>
    </row>
    <row r="1027">
      <c r="A1027" s="11">
        <v>46160.0</v>
      </c>
      <c r="B1027" s="13" t="s">
        <v>11</v>
      </c>
      <c r="C1027" s="4">
        <v>24.0</v>
      </c>
      <c r="D1027" s="6"/>
      <c r="F1027" s="13">
        <f t="shared" si="422"/>
        <v>25</v>
      </c>
      <c r="G1027" s="6">
        <f t="shared" si="423"/>
        <v>-1</v>
      </c>
      <c r="I1027" s="4">
        <v>1.0</v>
      </c>
      <c r="K1027" s="4">
        <v>3.0</v>
      </c>
      <c r="L1027" s="4">
        <v>4.0</v>
      </c>
      <c r="M1027" s="13">
        <v>5.0</v>
      </c>
      <c r="N1027" s="13">
        <v>1.0</v>
      </c>
      <c r="O1027" s="13">
        <v>2.0</v>
      </c>
      <c r="P1027" s="4">
        <v>4.0</v>
      </c>
      <c r="Q1027" s="4">
        <v>5.0</v>
      </c>
      <c r="R1027" s="90" t="s">
        <v>11</v>
      </c>
      <c r="S1027" s="67"/>
      <c r="T1027" s="66">
        <f t="shared" si="424"/>
        <v>2</v>
      </c>
      <c r="V1027" s="67"/>
      <c r="AB1027" s="140">
        <v>2.0</v>
      </c>
      <c r="AC1027" s="140"/>
      <c r="AD1027" s="160"/>
      <c r="AE1027" s="160"/>
    </row>
    <row r="1028">
      <c r="A1028" s="11">
        <v>46160.0</v>
      </c>
      <c r="B1028" s="114" t="s">
        <v>12</v>
      </c>
      <c r="C1028" s="115">
        <v>30.0</v>
      </c>
      <c r="D1028" s="6"/>
      <c r="F1028" s="13">
        <f t="shared" si="422"/>
        <v>28</v>
      </c>
      <c r="G1028" s="6">
        <f t="shared" si="423"/>
        <v>2</v>
      </c>
      <c r="I1028" s="115">
        <v>1.0</v>
      </c>
      <c r="J1028" s="115"/>
      <c r="K1028" s="115">
        <v>3.0</v>
      </c>
      <c r="L1028" s="115">
        <v>5.0</v>
      </c>
      <c r="M1028" s="115">
        <v>5.0</v>
      </c>
      <c r="N1028" s="115">
        <v>2.0</v>
      </c>
      <c r="O1028" s="115">
        <v>5.0</v>
      </c>
      <c r="P1028" s="115">
        <v>3.0</v>
      </c>
      <c r="Q1028" s="115">
        <v>4.0</v>
      </c>
      <c r="R1028" s="90" t="s">
        <v>12</v>
      </c>
      <c r="S1028" s="67">
        <v>3.0</v>
      </c>
      <c r="T1028" s="66">
        <f t="shared" si="424"/>
        <v>1</v>
      </c>
      <c r="V1028" s="67"/>
      <c r="AA1028" s="4">
        <v>1.0</v>
      </c>
      <c r="AB1028" s="139"/>
      <c r="AC1028" s="139"/>
      <c r="AD1028" s="160"/>
      <c r="AE1028" s="160"/>
    </row>
    <row r="1029">
      <c r="A1029" s="11">
        <v>46160.0</v>
      </c>
      <c r="B1029" s="13" t="s">
        <v>13</v>
      </c>
      <c r="C1029" s="4">
        <v>42.0</v>
      </c>
      <c r="D1029" s="82">
        <v>4.0</v>
      </c>
      <c r="F1029" s="13">
        <f t="shared" si="422"/>
        <v>36</v>
      </c>
      <c r="G1029" s="6">
        <f t="shared" si="423"/>
        <v>10</v>
      </c>
      <c r="I1029" s="4">
        <v>1.0</v>
      </c>
      <c r="K1029" s="13">
        <v>4.0</v>
      </c>
      <c r="L1029" s="13">
        <v>5.0</v>
      </c>
      <c r="M1029" s="4">
        <v>9.0</v>
      </c>
      <c r="N1029" s="13">
        <v>2.0</v>
      </c>
      <c r="O1029" s="4">
        <v>5.0</v>
      </c>
      <c r="P1029" s="4">
        <v>5.0</v>
      </c>
      <c r="Q1029" s="4">
        <v>5.0</v>
      </c>
      <c r="R1029" s="90" t="s">
        <v>13</v>
      </c>
      <c r="S1029" s="67">
        <v>16.0</v>
      </c>
      <c r="T1029" s="66">
        <f t="shared" si="424"/>
        <v>4</v>
      </c>
      <c r="V1029" s="67"/>
      <c r="Y1029" s="4">
        <v>4.0</v>
      </c>
      <c r="AB1029" s="140"/>
      <c r="AC1029" s="140"/>
      <c r="AD1029" s="160"/>
      <c r="AE1029" s="160"/>
    </row>
    <row r="1030">
      <c r="A1030" s="11">
        <v>46160.0</v>
      </c>
      <c r="B1030" s="114" t="s">
        <v>14</v>
      </c>
      <c r="C1030" s="115">
        <v>29.0</v>
      </c>
      <c r="D1030" s="6"/>
      <c r="F1030" s="13">
        <f t="shared" si="422"/>
        <v>28</v>
      </c>
      <c r="G1030" s="6">
        <f t="shared" si="423"/>
        <v>1</v>
      </c>
      <c r="I1030" s="115">
        <v>2.0</v>
      </c>
      <c r="J1030" s="115"/>
      <c r="K1030" s="115">
        <v>4.0</v>
      </c>
      <c r="L1030" s="115">
        <v>5.0</v>
      </c>
      <c r="M1030" s="115">
        <v>6.0</v>
      </c>
      <c r="N1030" s="115">
        <v>1.0</v>
      </c>
      <c r="O1030" s="115">
        <v>3.0</v>
      </c>
      <c r="P1030" s="115">
        <v>3.0</v>
      </c>
      <c r="Q1030" s="115">
        <v>4.0</v>
      </c>
      <c r="R1030" s="90" t="s">
        <v>14</v>
      </c>
      <c r="S1030" s="67">
        <v>1.0</v>
      </c>
      <c r="T1030" s="66">
        <f t="shared" si="424"/>
        <v>2</v>
      </c>
      <c r="V1030" s="67"/>
      <c r="Y1030" s="4">
        <v>1.0</v>
      </c>
      <c r="AB1030" s="139">
        <v>1.0</v>
      </c>
      <c r="AC1030" s="139"/>
      <c r="AD1030" s="160"/>
      <c r="AE1030" s="160"/>
    </row>
    <row r="1031">
      <c r="A1031" s="11">
        <v>46160.0</v>
      </c>
      <c r="B1031" s="13" t="s">
        <v>15</v>
      </c>
      <c r="C1031" s="4">
        <v>315.0</v>
      </c>
      <c r="D1031" s="82"/>
      <c r="F1031" s="13">
        <f t="shared" si="422"/>
        <v>271</v>
      </c>
      <c r="G1031" s="6">
        <f t="shared" si="423"/>
        <v>44</v>
      </c>
      <c r="I1031" s="4">
        <v>20.0</v>
      </c>
      <c r="K1031" s="4">
        <v>35.0</v>
      </c>
      <c r="L1031" s="13">
        <v>35.0</v>
      </c>
      <c r="M1031" s="4">
        <v>60.0</v>
      </c>
      <c r="N1031" s="13">
        <v>25.0</v>
      </c>
      <c r="O1031" s="4">
        <v>35.0</v>
      </c>
      <c r="P1031" s="4">
        <v>21.0</v>
      </c>
      <c r="Q1031" s="4">
        <v>40.0</v>
      </c>
      <c r="R1031" s="90" t="s">
        <v>15</v>
      </c>
      <c r="S1031" s="67">
        <v>67.0</v>
      </c>
      <c r="T1031" s="66">
        <f t="shared" si="424"/>
        <v>43</v>
      </c>
      <c r="V1031" s="67"/>
      <c r="W1031" s="4">
        <v>9.0</v>
      </c>
      <c r="Y1031" s="4">
        <v>14.0</v>
      </c>
      <c r="Z1031" s="4">
        <v>8.0</v>
      </c>
      <c r="AA1031" s="4">
        <v>7.0</v>
      </c>
      <c r="AB1031" s="140">
        <v>5.0</v>
      </c>
      <c r="AC1031" s="140"/>
      <c r="AD1031" s="160"/>
      <c r="AE1031" s="160"/>
    </row>
    <row r="1032">
      <c r="A1032" s="11">
        <v>46160.0</v>
      </c>
      <c r="B1032" s="4" t="s">
        <v>16</v>
      </c>
      <c r="C1032" s="13">
        <f t="shared" ref="C1032:D1032" si="425">sum(C1020:C1031)</f>
        <v>732</v>
      </c>
      <c r="D1032" s="6">
        <f t="shared" si="425"/>
        <v>22</v>
      </c>
      <c r="F1032" s="13">
        <f t="shared" ref="F1032:G1032" si="426">sum(F1020:F1031)</f>
        <v>644</v>
      </c>
      <c r="G1032" s="6">
        <f t="shared" si="426"/>
        <v>110</v>
      </c>
      <c r="I1032" s="157">
        <f t="shared" ref="I1032:Q1032" si="427">sum(I1020:I1031)</f>
        <v>39</v>
      </c>
      <c r="J1032" s="157">
        <f t="shared" si="427"/>
        <v>0</v>
      </c>
      <c r="K1032" s="157">
        <f t="shared" si="427"/>
        <v>75</v>
      </c>
      <c r="L1032" s="157">
        <f t="shared" si="427"/>
        <v>93</v>
      </c>
      <c r="M1032" s="157">
        <f t="shared" si="427"/>
        <v>132</v>
      </c>
      <c r="N1032" s="157">
        <f t="shared" si="427"/>
        <v>45</v>
      </c>
      <c r="O1032" s="157">
        <f t="shared" si="427"/>
        <v>86</v>
      </c>
      <c r="P1032" s="157">
        <f t="shared" si="427"/>
        <v>73</v>
      </c>
      <c r="Q1032" s="157">
        <f t="shared" si="427"/>
        <v>101</v>
      </c>
      <c r="R1032" s="135"/>
      <c r="S1032" s="136">
        <f t="shared" ref="S1032:AC1032" si="428">sum(S1020:S1031)</f>
        <v>150</v>
      </c>
      <c r="T1032" s="136">
        <f t="shared" si="428"/>
        <v>64</v>
      </c>
      <c r="U1032" s="135">
        <f t="shared" si="428"/>
        <v>0</v>
      </c>
      <c r="V1032" s="136">
        <f t="shared" si="428"/>
        <v>0</v>
      </c>
      <c r="W1032" s="135">
        <f t="shared" si="428"/>
        <v>9</v>
      </c>
      <c r="X1032" s="135">
        <f t="shared" si="428"/>
        <v>0</v>
      </c>
      <c r="Y1032" s="135">
        <f t="shared" si="428"/>
        <v>26</v>
      </c>
      <c r="Z1032" s="135">
        <f t="shared" si="428"/>
        <v>8</v>
      </c>
      <c r="AA1032" s="135">
        <f t="shared" si="428"/>
        <v>8</v>
      </c>
      <c r="AB1032" s="135">
        <f t="shared" si="428"/>
        <v>13</v>
      </c>
      <c r="AC1032" s="135">
        <f t="shared" si="428"/>
        <v>0</v>
      </c>
      <c r="AD1032" s="160"/>
      <c r="AE1032" s="160"/>
    </row>
    <row r="1033">
      <c r="D1033" s="6"/>
      <c r="I1033" s="13">
        <f t="shared" ref="I1033:Q1033" si="429">I1032-U1032</f>
        <v>39</v>
      </c>
      <c r="J1033" s="66">
        <f t="shared" si="429"/>
        <v>0</v>
      </c>
      <c r="K1033" s="13">
        <f t="shared" si="429"/>
        <v>66</v>
      </c>
      <c r="L1033" s="13">
        <f t="shared" si="429"/>
        <v>93</v>
      </c>
      <c r="M1033" s="13">
        <f t="shared" si="429"/>
        <v>106</v>
      </c>
      <c r="N1033" s="13">
        <f t="shared" si="429"/>
        <v>37</v>
      </c>
      <c r="O1033" s="13">
        <f t="shared" si="429"/>
        <v>78</v>
      </c>
      <c r="P1033" s="13">
        <f t="shared" si="429"/>
        <v>60</v>
      </c>
      <c r="Q1033" s="13">
        <f t="shared" si="429"/>
        <v>101</v>
      </c>
      <c r="AD1033" s="160"/>
      <c r="AE1033" s="160"/>
    </row>
    <row r="1034">
      <c r="I1034" s="97"/>
      <c r="J1034" s="97"/>
      <c r="K1034" s="97"/>
      <c r="L1034" s="160"/>
      <c r="M1034" s="97"/>
      <c r="N1034" s="97"/>
      <c r="O1034" s="97"/>
      <c r="P1034" s="97"/>
      <c r="Q1034" s="97"/>
      <c r="R1034" s="160"/>
      <c r="S1034" s="160"/>
      <c r="T1034" s="160"/>
      <c r="U1034" s="160"/>
      <c r="V1034" s="160"/>
      <c r="W1034" s="160"/>
      <c r="X1034" s="160"/>
      <c r="Y1034" s="160"/>
      <c r="Z1034" s="160"/>
      <c r="AA1034" s="160"/>
      <c r="AB1034" s="160"/>
      <c r="AC1034" s="160"/>
      <c r="AD1034" s="160"/>
      <c r="AE1034" s="160"/>
    </row>
    <row r="1035">
      <c r="D1035" s="6"/>
      <c r="F1035" s="4" t="s">
        <v>16</v>
      </c>
      <c r="G1035" s="4" t="s">
        <v>251</v>
      </c>
      <c r="H1035" s="75" t="s">
        <v>253</v>
      </c>
      <c r="I1035" s="4" t="s">
        <v>93</v>
      </c>
      <c r="J1035" s="4" t="s">
        <v>227</v>
      </c>
      <c r="K1035" s="4" t="s">
        <v>89</v>
      </c>
      <c r="L1035" s="4" t="s">
        <v>80</v>
      </c>
      <c r="M1035" s="4" t="s">
        <v>81</v>
      </c>
      <c r="N1035" s="4" t="s">
        <v>232</v>
      </c>
      <c r="O1035" s="4" t="s">
        <v>180</v>
      </c>
      <c r="P1035" s="4" t="s">
        <v>264</v>
      </c>
      <c r="Q1035" s="4" t="s">
        <v>280</v>
      </c>
      <c r="R1035" s="127" t="s">
        <v>236</v>
      </c>
      <c r="S1035" s="128" t="s">
        <v>233</v>
      </c>
      <c r="T1035" s="128" t="s">
        <v>234</v>
      </c>
      <c r="U1035" s="128" t="s">
        <v>238</v>
      </c>
      <c r="V1035" s="128" t="s">
        <v>231</v>
      </c>
      <c r="W1035" s="128" t="s">
        <v>239</v>
      </c>
      <c r="X1035" s="128" t="s">
        <v>246</v>
      </c>
      <c r="Y1035" s="128" t="s">
        <v>247</v>
      </c>
      <c r="Z1035" s="128" t="s">
        <v>248</v>
      </c>
      <c r="AA1035" s="128" t="s">
        <v>267</v>
      </c>
      <c r="AB1035" s="130" t="s">
        <v>268</v>
      </c>
      <c r="AC1035" s="130" t="s">
        <v>169</v>
      </c>
      <c r="AD1035" s="160"/>
      <c r="AE1035" s="160"/>
    </row>
    <row r="1036">
      <c r="B1036" s="114" t="s">
        <v>4</v>
      </c>
      <c r="D1036" s="6"/>
      <c r="F1036" s="13">
        <f t="shared" ref="F1036:F1047" si="430">sum(I1036:Q1036)</f>
        <v>13</v>
      </c>
      <c r="G1036" s="66">
        <f t="shared" ref="G1036:G1047" si="431">S1020+T1020</f>
        <v>21</v>
      </c>
      <c r="H1036" s="119">
        <f t="shared" ref="H1036:H1047" si="432">G1036-sum(I1036:Q1036)</f>
        <v>8</v>
      </c>
      <c r="L1036" s="150"/>
      <c r="M1036" s="67">
        <v>3.0</v>
      </c>
      <c r="O1036" s="67">
        <v>5.0</v>
      </c>
      <c r="Q1036" s="4">
        <v>5.0</v>
      </c>
      <c r="R1036" s="154" t="s">
        <v>4</v>
      </c>
      <c r="S1036" s="67"/>
      <c r="T1036" s="66"/>
      <c r="V1036" s="67"/>
      <c r="AB1036" s="138"/>
      <c r="AC1036" s="138"/>
      <c r="AD1036" s="160"/>
      <c r="AE1036" s="160"/>
    </row>
    <row r="1037">
      <c r="B1037" s="13" t="s">
        <v>5</v>
      </c>
      <c r="D1037" s="6"/>
      <c r="F1037" s="13">
        <f t="shared" si="430"/>
        <v>6</v>
      </c>
      <c r="G1037" s="66">
        <f t="shared" si="431"/>
        <v>14</v>
      </c>
      <c r="H1037" s="119">
        <f t="shared" si="432"/>
        <v>8</v>
      </c>
      <c r="L1037" s="150"/>
      <c r="M1037" s="67">
        <v>2.0</v>
      </c>
      <c r="O1037" s="4">
        <v>2.0</v>
      </c>
      <c r="Q1037" s="4">
        <v>2.0</v>
      </c>
      <c r="R1037" s="154" t="s">
        <v>5</v>
      </c>
      <c r="S1037" s="67"/>
      <c r="T1037" s="67">
        <v>3.0</v>
      </c>
      <c r="V1037" s="67"/>
      <c r="AB1037" s="140"/>
      <c r="AC1037" s="140"/>
      <c r="AD1037" s="160"/>
      <c r="AE1037" s="160"/>
    </row>
    <row r="1038">
      <c r="B1038" s="114" t="s">
        <v>6</v>
      </c>
      <c r="D1038" s="6"/>
      <c r="F1038" s="13">
        <f t="shared" si="430"/>
        <v>1</v>
      </c>
      <c r="G1038" s="66">
        <f t="shared" si="431"/>
        <v>1</v>
      </c>
      <c r="H1038" s="119">
        <f t="shared" si="432"/>
        <v>0</v>
      </c>
      <c r="L1038" s="150"/>
      <c r="M1038" s="67"/>
      <c r="O1038" s="67"/>
      <c r="Q1038" s="4">
        <v>1.0</v>
      </c>
      <c r="R1038" s="154" t="s">
        <v>6</v>
      </c>
      <c r="S1038" s="67"/>
      <c r="T1038" s="67">
        <v>1.0</v>
      </c>
      <c r="V1038" s="67"/>
      <c r="AB1038" s="139"/>
      <c r="AC1038" s="139"/>
      <c r="AD1038" s="160"/>
      <c r="AE1038" s="160"/>
    </row>
    <row r="1039">
      <c r="B1039" s="13" t="s">
        <v>7</v>
      </c>
      <c r="D1039" s="6"/>
      <c r="F1039" s="13">
        <f t="shared" si="430"/>
        <v>5</v>
      </c>
      <c r="G1039" s="66">
        <f t="shared" si="431"/>
        <v>10</v>
      </c>
      <c r="H1039" s="119">
        <f t="shared" si="432"/>
        <v>5</v>
      </c>
      <c r="L1039" s="150"/>
      <c r="M1039" s="67">
        <v>2.0</v>
      </c>
      <c r="O1039" s="67">
        <v>1.0</v>
      </c>
      <c r="Q1039" s="4">
        <v>2.0</v>
      </c>
      <c r="R1039" s="154" t="s">
        <v>7</v>
      </c>
      <c r="S1039" s="67"/>
      <c r="T1039" s="66"/>
      <c r="V1039" s="67"/>
      <c r="AB1039" s="140"/>
      <c r="AC1039" s="140"/>
      <c r="AD1039" s="160"/>
      <c r="AE1039" s="160"/>
    </row>
    <row r="1040">
      <c r="B1040" s="114" t="s">
        <v>8</v>
      </c>
      <c r="D1040" s="6"/>
      <c r="F1040" s="13">
        <f t="shared" si="430"/>
        <v>8</v>
      </c>
      <c r="G1040" s="66">
        <f t="shared" si="431"/>
        <v>12</v>
      </c>
      <c r="H1040" s="119">
        <f t="shared" si="432"/>
        <v>4</v>
      </c>
      <c r="L1040" s="150"/>
      <c r="M1040" s="67">
        <v>2.0</v>
      </c>
      <c r="O1040" s="67">
        <v>3.0</v>
      </c>
      <c r="Q1040" s="4">
        <v>3.0</v>
      </c>
      <c r="R1040" s="154" t="s">
        <v>8</v>
      </c>
      <c r="S1040" s="67"/>
      <c r="T1040" s="67">
        <v>1.0</v>
      </c>
      <c r="V1040" s="67"/>
      <c r="AB1040" s="134"/>
      <c r="AC1040" s="134"/>
      <c r="AD1040" s="160"/>
      <c r="AE1040" s="160"/>
    </row>
    <row r="1041">
      <c r="B1041" s="13" t="s">
        <v>9</v>
      </c>
      <c r="D1041" s="6"/>
      <c r="F1041" s="13">
        <f t="shared" si="430"/>
        <v>5</v>
      </c>
      <c r="G1041" s="66">
        <f t="shared" si="431"/>
        <v>8</v>
      </c>
      <c r="H1041" s="119">
        <f t="shared" si="432"/>
        <v>3</v>
      </c>
      <c r="L1041" s="150"/>
      <c r="M1041" s="4">
        <v>3.0</v>
      </c>
      <c r="O1041" s="67">
        <v>1.0</v>
      </c>
      <c r="Q1041" s="4">
        <v>1.0</v>
      </c>
      <c r="R1041" s="154" t="s">
        <v>9</v>
      </c>
      <c r="S1041" s="67"/>
      <c r="T1041" s="67">
        <v>2.0</v>
      </c>
      <c r="V1041" s="67"/>
      <c r="AB1041" s="133"/>
      <c r="AC1041" s="133"/>
      <c r="AD1041" s="160"/>
      <c r="AE1041" s="160"/>
    </row>
    <row r="1042">
      <c r="B1042" s="114" t="s">
        <v>10</v>
      </c>
      <c r="D1042" s="6"/>
      <c r="F1042" s="13">
        <f t="shared" si="430"/>
        <v>6</v>
      </c>
      <c r="G1042" s="66">
        <f t="shared" si="431"/>
        <v>9</v>
      </c>
      <c r="H1042" s="119">
        <f t="shared" si="432"/>
        <v>3</v>
      </c>
      <c r="L1042" s="150"/>
      <c r="M1042" s="67">
        <v>2.0</v>
      </c>
      <c r="O1042" s="67">
        <v>2.0</v>
      </c>
      <c r="Q1042" s="4">
        <v>2.0</v>
      </c>
      <c r="R1042" s="154" t="s">
        <v>10</v>
      </c>
      <c r="S1042" s="67"/>
      <c r="T1042" s="67">
        <v>2.0</v>
      </c>
      <c r="V1042" s="67"/>
      <c r="AB1042" s="134"/>
      <c r="AC1042" s="134"/>
      <c r="AD1042" s="160"/>
      <c r="AE1042" s="160"/>
    </row>
    <row r="1043">
      <c r="B1043" s="13" t="s">
        <v>11</v>
      </c>
      <c r="D1043" s="6"/>
      <c r="F1043" s="13">
        <f t="shared" si="430"/>
        <v>2</v>
      </c>
      <c r="G1043" s="66">
        <f t="shared" si="431"/>
        <v>2</v>
      </c>
      <c r="H1043" s="119">
        <f t="shared" si="432"/>
        <v>0</v>
      </c>
      <c r="L1043" s="150"/>
      <c r="M1043" s="67"/>
      <c r="O1043" s="67">
        <v>1.0</v>
      </c>
      <c r="Q1043" s="4">
        <v>1.0</v>
      </c>
      <c r="R1043" s="154" t="s">
        <v>11</v>
      </c>
      <c r="S1043" s="67"/>
      <c r="T1043" s="67">
        <v>2.0</v>
      </c>
      <c r="V1043" s="67"/>
      <c r="AB1043" s="140"/>
      <c r="AC1043" s="140"/>
      <c r="AD1043" s="160"/>
      <c r="AE1043" s="160"/>
    </row>
    <row r="1044">
      <c r="B1044" s="114" t="s">
        <v>12</v>
      </c>
      <c r="D1044" s="6"/>
      <c r="F1044" s="13">
        <f t="shared" si="430"/>
        <v>4</v>
      </c>
      <c r="G1044" s="66">
        <f t="shared" si="431"/>
        <v>4</v>
      </c>
      <c r="H1044" s="119">
        <f t="shared" si="432"/>
        <v>0</v>
      </c>
      <c r="L1044" s="152"/>
      <c r="M1044" s="4">
        <v>1.0</v>
      </c>
      <c r="O1044" s="67">
        <v>2.0</v>
      </c>
      <c r="Q1044" s="4">
        <v>1.0</v>
      </c>
      <c r="R1044" s="154" t="s">
        <v>12</v>
      </c>
      <c r="S1044" s="67"/>
      <c r="T1044" s="67">
        <v>3.0</v>
      </c>
      <c r="V1044" s="66"/>
      <c r="AB1044" s="139"/>
      <c r="AC1044" s="139"/>
      <c r="AD1044" s="160"/>
      <c r="AE1044" s="160"/>
    </row>
    <row r="1045">
      <c r="B1045" s="13" t="s">
        <v>13</v>
      </c>
      <c r="D1045" s="6"/>
      <c r="F1045" s="13">
        <f t="shared" si="430"/>
        <v>8</v>
      </c>
      <c r="G1045" s="66">
        <f t="shared" si="431"/>
        <v>20</v>
      </c>
      <c r="H1045" s="119">
        <f t="shared" si="432"/>
        <v>12</v>
      </c>
      <c r="L1045" s="150"/>
      <c r="M1045" s="4">
        <v>2.0</v>
      </c>
      <c r="O1045" s="4">
        <v>3.0</v>
      </c>
      <c r="Q1045" s="4">
        <v>3.0</v>
      </c>
      <c r="R1045" s="154" t="s">
        <v>13</v>
      </c>
      <c r="S1045" s="67"/>
      <c r="T1045" s="67">
        <v>1.0</v>
      </c>
      <c r="V1045" s="67"/>
      <c r="AB1045" s="140"/>
      <c r="AC1045" s="140"/>
      <c r="AD1045" s="160"/>
      <c r="AE1045" s="160"/>
    </row>
    <row r="1046">
      <c r="B1046" s="114" t="s">
        <v>14</v>
      </c>
      <c r="F1046" s="13">
        <f t="shared" si="430"/>
        <v>3</v>
      </c>
      <c r="G1046" s="66">
        <f t="shared" si="431"/>
        <v>3</v>
      </c>
      <c r="H1046" s="119">
        <f t="shared" si="432"/>
        <v>0</v>
      </c>
      <c r="K1046" s="67"/>
      <c r="L1046" s="152"/>
      <c r="O1046" s="67">
        <v>1.0</v>
      </c>
      <c r="Q1046" s="4">
        <v>2.0</v>
      </c>
      <c r="R1046" s="154" t="s">
        <v>14</v>
      </c>
      <c r="S1046" s="67"/>
      <c r="T1046" s="67">
        <v>4.0</v>
      </c>
      <c r="V1046" s="67"/>
      <c r="AB1046" s="134"/>
      <c r="AC1046" s="134"/>
      <c r="AD1046" s="160"/>
      <c r="AE1046" s="160"/>
    </row>
    <row r="1047">
      <c r="B1047" s="13" t="s">
        <v>15</v>
      </c>
      <c r="F1047" s="13">
        <f t="shared" si="430"/>
        <v>55</v>
      </c>
      <c r="G1047" s="66">
        <f t="shared" si="431"/>
        <v>110</v>
      </c>
      <c r="H1047" s="119">
        <f t="shared" si="432"/>
        <v>55</v>
      </c>
      <c r="L1047" s="150"/>
      <c r="M1047" s="4">
        <v>15.0</v>
      </c>
      <c r="O1047" s="67">
        <v>20.0</v>
      </c>
      <c r="Q1047" s="4">
        <v>20.0</v>
      </c>
      <c r="R1047" s="154" t="s">
        <v>15</v>
      </c>
      <c r="S1047" s="67"/>
      <c r="T1047" s="67">
        <v>36.0</v>
      </c>
      <c r="V1047" s="67"/>
      <c r="AB1047" s="140"/>
      <c r="AC1047" s="140"/>
      <c r="AD1047" s="160"/>
      <c r="AE1047" s="160"/>
    </row>
    <row r="1048">
      <c r="F1048" s="13">
        <f t="shared" ref="F1048:Q1048" si="433">sum(F1036:F1047)</f>
        <v>116</v>
      </c>
      <c r="G1048" s="66">
        <f t="shared" si="433"/>
        <v>214</v>
      </c>
      <c r="H1048" s="66">
        <f t="shared" si="433"/>
        <v>98</v>
      </c>
      <c r="I1048" s="97">
        <f t="shared" si="433"/>
        <v>0</v>
      </c>
      <c r="J1048" s="97">
        <f t="shared" si="433"/>
        <v>0</v>
      </c>
      <c r="K1048" s="97">
        <f t="shared" si="433"/>
        <v>0</v>
      </c>
      <c r="L1048" s="153">
        <f t="shared" si="433"/>
        <v>0</v>
      </c>
      <c r="M1048" s="118">
        <f t="shared" si="433"/>
        <v>32</v>
      </c>
      <c r="N1048" s="97">
        <f t="shared" si="433"/>
        <v>0</v>
      </c>
      <c r="O1048" s="118">
        <f t="shared" si="433"/>
        <v>41</v>
      </c>
      <c r="P1048" s="97">
        <f t="shared" si="433"/>
        <v>0</v>
      </c>
      <c r="Q1048" s="97">
        <f t="shared" si="433"/>
        <v>43</v>
      </c>
      <c r="R1048" s="135"/>
      <c r="S1048" s="136">
        <f t="shared" ref="S1048:V1048" si="434">sum(S1036:S1047)</f>
        <v>0</v>
      </c>
      <c r="T1048" s="136">
        <f t="shared" si="434"/>
        <v>55</v>
      </c>
      <c r="U1048" s="135">
        <f t="shared" si="434"/>
        <v>0</v>
      </c>
      <c r="V1048" s="136">
        <f t="shared" si="434"/>
        <v>0</v>
      </c>
      <c r="W1048" s="137">
        <v>4.0</v>
      </c>
      <c r="X1048" s="135">
        <f t="shared" ref="X1048:AC1048" si="435">sum(X1036:X1047)</f>
        <v>0</v>
      </c>
      <c r="Y1048" s="135">
        <f t="shared" si="435"/>
        <v>0</v>
      </c>
      <c r="Z1048" s="135">
        <f t="shared" si="435"/>
        <v>0</v>
      </c>
      <c r="AA1048" s="135">
        <f t="shared" si="435"/>
        <v>0</v>
      </c>
      <c r="AB1048" s="135">
        <f t="shared" si="435"/>
        <v>0</v>
      </c>
      <c r="AC1048" s="135">
        <f t="shared" si="435"/>
        <v>0</v>
      </c>
      <c r="AD1048" s="160"/>
      <c r="AE1048" s="160"/>
    </row>
    <row r="1049">
      <c r="I1049" s="97"/>
      <c r="J1049" s="97"/>
      <c r="K1049" s="97"/>
      <c r="L1049" s="160"/>
      <c r="M1049" s="97"/>
      <c r="N1049" s="97"/>
      <c r="O1049" s="97"/>
      <c r="P1049" s="97"/>
      <c r="Q1049" s="97"/>
      <c r="R1049" s="160"/>
      <c r="S1049" s="160"/>
      <c r="T1049" s="160"/>
      <c r="U1049" s="160"/>
      <c r="V1049" s="160"/>
      <c r="W1049" s="160"/>
      <c r="X1049" s="160"/>
      <c r="Y1049" s="160"/>
      <c r="Z1049" s="160"/>
      <c r="AA1049" s="160"/>
      <c r="AB1049" s="160"/>
      <c r="AC1049" s="160"/>
      <c r="AD1049" s="160"/>
      <c r="AE1049" s="160"/>
    </row>
    <row r="1050">
      <c r="C1050" s="4" t="s">
        <v>270</v>
      </c>
      <c r="D1050" s="82" t="s">
        <v>2</v>
      </c>
      <c r="E1050" s="4" t="s">
        <v>272</v>
      </c>
      <c r="F1050" s="4" t="s">
        <v>16</v>
      </c>
      <c r="G1050" s="4" t="s">
        <v>276</v>
      </c>
      <c r="H1050" s="4" t="s">
        <v>277</v>
      </c>
      <c r="I1050" s="4" t="s">
        <v>93</v>
      </c>
      <c r="J1050" s="4" t="s">
        <v>227</v>
      </c>
      <c r="K1050" s="4" t="s">
        <v>89</v>
      </c>
      <c r="L1050" s="4" t="s">
        <v>80</v>
      </c>
      <c r="M1050" s="4" t="s">
        <v>81</v>
      </c>
      <c r="N1050" s="4" t="s">
        <v>232</v>
      </c>
      <c r="O1050" s="4" t="s">
        <v>180</v>
      </c>
      <c r="P1050" s="4" t="s">
        <v>264</v>
      </c>
      <c r="Q1050" s="4" t="s">
        <v>169</v>
      </c>
      <c r="R1050" s="127" t="s">
        <v>236</v>
      </c>
      <c r="S1050" s="128" t="s">
        <v>233</v>
      </c>
      <c r="T1050" s="128" t="s">
        <v>234</v>
      </c>
      <c r="U1050" s="128" t="s">
        <v>238</v>
      </c>
      <c r="V1050" s="128" t="s">
        <v>231</v>
      </c>
      <c r="W1050" s="128" t="s">
        <v>239</v>
      </c>
      <c r="X1050" s="128" t="s">
        <v>246</v>
      </c>
      <c r="Y1050" s="128" t="s">
        <v>247</v>
      </c>
      <c r="Z1050" s="128" t="s">
        <v>248</v>
      </c>
      <c r="AA1050" s="128" t="s">
        <v>283</v>
      </c>
      <c r="AB1050" s="130" t="s">
        <v>268</v>
      </c>
      <c r="AC1050" s="130" t="s">
        <v>169</v>
      </c>
      <c r="AD1050" s="160"/>
      <c r="AE1050" s="160"/>
    </row>
    <row r="1051">
      <c r="A1051" s="11">
        <v>46161.0</v>
      </c>
      <c r="B1051" s="114" t="s">
        <v>4</v>
      </c>
      <c r="C1051" s="115">
        <v>45.0</v>
      </c>
      <c r="D1051" s="82">
        <v>5.0</v>
      </c>
      <c r="F1051" s="13">
        <f t="shared" ref="F1051:F1062" si="436">sum(H1051:P1051)+Q1051</f>
        <v>48</v>
      </c>
      <c r="G1051" s="6">
        <f t="shared" ref="G1051:G1062" si="437">C1051+D1051-F1051+E1051</f>
        <v>2</v>
      </c>
      <c r="I1051" s="115">
        <v>3.0</v>
      </c>
      <c r="J1051" s="115"/>
      <c r="K1051" s="115">
        <v>5.0</v>
      </c>
      <c r="L1051" s="115">
        <v>7.0</v>
      </c>
      <c r="M1051" s="115">
        <v>9.0</v>
      </c>
      <c r="N1051" s="115">
        <v>3.0</v>
      </c>
      <c r="O1051" s="115">
        <v>7.0</v>
      </c>
      <c r="P1051" s="115">
        <v>7.0</v>
      </c>
      <c r="Q1051" s="115">
        <v>7.0</v>
      </c>
      <c r="R1051" s="90" t="s">
        <v>4</v>
      </c>
      <c r="S1051" s="67">
        <v>9.0</v>
      </c>
      <c r="T1051" s="66">
        <f t="shared" ref="T1051:T1062" si="438">sum(U1051:AC1051)</f>
        <v>12</v>
      </c>
      <c r="U1051" s="13">
        <f t="shared" ref="U1051:U1062" si="439">I1051</f>
        <v>3</v>
      </c>
      <c r="V1051" s="67"/>
      <c r="W1051" s="4">
        <v>1.0</v>
      </c>
      <c r="Z1051" s="4">
        <v>2.0</v>
      </c>
      <c r="AB1051" s="138">
        <v>3.0</v>
      </c>
      <c r="AC1051" s="138">
        <v>3.0</v>
      </c>
      <c r="AD1051" s="160"/>
      <c r="AE1051" s="160"/>
    </row>
    <row r="1052">
      <c r="A1052" s="11">
        <v>46161.0</v>
      </c>
      <c r="B1052" s="13" t="s">
        <v>5</v>
      </c>
      <c r="C1052" s="4">
        <v>26.0</v>
      </c>
      <c r="D1052" s="82">
        <v>2.0</v>
      </c>
      <c r="F1052" s="13">
        <f t="shared" si="436"/>
        <v>29</v>
      </c>
      <c r="G1052" s="6">
        <f t="shared" si="437"/>
        <v>-1</v>
      </c>
      <c r="I1052" s="4">
        <v>2.0</v>
      </c>
      <c r="K1052" s="4">
        <v>3.0</v>
      </c>
      <c r="L1052" s="13">
        <v>5.0</v>
      </c>
      <c r="M1052" s="13">
        <v>5.0</v>
      </c>
      <c r="N1052" s="4">
        <v>2.0</v>
      </c>
      <c r="O1052" s="4">
        <v>4.0</v>
      </c>
      <c r="P1052" s="4">
        <v>3.0</v>
      </c>
      <c r="Q1052" s="4">
        <v>5.0</v>
      </c>
      <c r="R1052" s="90" t="s">
        <v>5</v>
      </c>
      <c r="S1052" s="67">
        <v>9.0</v>
      </c>
      <c r="T1052" s="66">
        <f t="shared" si="438"/>
        <v>16</v>
      </c>
      <c r="U1052" s="13">
        <f t="shared" si="439"/>
        <v>2</v>
      </c>
      <c r="V1052" s="67"/>
      <c r="W1052" s="4">
        <v>3.0</v>
      </c>
      <c r="X1052" s="4">
        <v>4.0</v>
      </c>
      <c r="Y1052" s="4">
        <v>1.0</v>
      </c>
      <c r="AB1052" s="140">
        <v>3.0</v>
      </c>
      <c r="AC1052" s="140">
        <v>3.0</v>
      </c>
      <c r="AD1052" s="160"/>
      <c r="AE1052" s="160"/>
    </row>
    <row r="1053">
      <c r="A1053" s="11">
        <v>46161.0</v>
      </c>
      <c r="B1053" s="114" t="s">
        <v>6</v>
      </c>
      <c r="C1053" s="115">
        <v>29.0</v>
      </c>
      <c r="D1053" s="6"/>
      <c r="F1053" s="13">
        <f t="shared" si="436"/>
        <v>25</v>
      </c>
      <c r="G1053" s="6">
        <f t="shared" si="437"/>
        <v>4</v>
      </c>
      <c r="I1053" s="115">
        <v>1.0</v>
      </c>
      <c r="J1053" s="115"/>
      <c r="K1053" s="115">
        <v>2.0</v>
      </c>
      <c r="L1053" s="115">
        <v>4.0</v>
      </c>
      <c r="M1053" s="115">
        <v>5.0</v>
      </c>
      <c r="N1053" s="115">
        <v>2.0</v>
      </c>
      <c r="O1053" s="115">
        <v>3.0</v>
      </c>
      <c r="P1053" s="115">
        <v>4.0</v>
      </c>
      <c r="Q1053" s="115">
        <v>4.0</v>
      </c>
      <c r="R1053" s="90" t="s">
        <v>6</v>
      </c>
      <c r="S1053" s="67">
        <v>5.0</v>
      </c>
      <c r="T1053" s="66">
        <f t="shared" si="438"/>
        <v>6</v>
      </c>
      <c r="U1053" s="13">
        <f t="shared" si="439"/>
        <v>1</v>
      </c>
      <c r="V1053" s="67"/>
      <c r="Y1053" s="4">
        <v>2.0</v>
      </c>
      <c r="Z1053" s="4">
        <v>2.0</v>
      </c>
      <c r="AB1053" s="139"/>
      <c r="AC1053" s="139">
        <v>1.0</v>
      </c>
      <c r="AD1053" s="160"/>
      <c r="AE1053" s="160"/>
    </row>
    <row r="1054">
      <c r="A1054" s="11">
        <v>46161.0</v>
      </c>
      <c r="B1054" s="13" t="s">
        <v>7</v>
      </c>
      <c r="C1054" s="4">
        <v>30.0</v>
      </c>
      <c r="D1054" s="82">
        <v>2.0</v>
      </c>
      <c r="F1054" s="13">
        <f t="shared" si="436"/>
        <v>26</v>
      </c>
      <c r="G1054" s="6">
        <f t="shared" si="437"/>
        <v>6</v>
      </c>
      <c r="I1054" s="4">
        <v>2.0</v>
      </c>
      <c r="K1054" s="4">
        <v>3.0</v>
      </c>
      <c r="L1054" s="13">
        <v>4.0</v>
      </c>
      <c r="M1054" s="4">
        <v>5.0</v>
      </c>
      <c r="N1054" s="13">
        <v>1.0</v>
      </c>
      <c r="O1054" s="4">
        <v>3.0</v>
      </c>
      <c r="P1054" s="4">
        <v>4.0</v>
      </c>
      <c r="Q1054" s="4">
        <v>4.0</v>
      </c>
      <c r="R1054" s="90" t="s">
        <v>7</v>
      </c>
      <c r="S1054" s="67">
        <v>13.0</v>
      </c>
      <c r="T1054" s="66">
        <f t="shared" si="438"/>
        <v>9</v>
      </c>
      <c r="U1054" s="13">
        <f t="shared" si="439"/>
        <v>2</v>
      </c>
      <c r="V1054" s="67"/>
      <c r="W1054" s="4">
        <v>2.0</v>
      </c>
      <c r="X1054" s="4">
        <v>1.0</v>
      </c>
      <c r="Y1054" s="4">
        <v>2.0</v>
      </c>
      <c r="Z1054" s="4">
        <v>1.0</v>
      </c>
      <c r="AB1054" s="140"/>
      <c r="AC1054" s="140">
        <v>1.0</v>
      </c>
      <c r="AD1054" s="160"/>
      <c r="AE1054" s="160"/>
    </row>
    <row r="1055">
      <c r="A1055" s="11">
        <v>46161.0</v>
      </c>
      <c r="B1055" s="114" t="s">
        <v>8</v>
      </c>
      <c r="C1055" s="115">
        <v>50.0</v>
      </c>
      <c r="D1055" s="82">
        <v>2.0</v>
      </c>
      <c r="F1055" s="13">
        <f t="shared" si="436"/>
        <v>50</v>
      </c>
      <c r="G1055" s="6">
        <f t="shared" si="437"/>
        <v>2</v>
      </c>
      <c r="I1055" s="115">
        <v>3.0</v>
      </c>
      <c r="J1055" s="115"/>
      <c r="K1055" s="115">
        <v>5.0</v>
      </c>
      <c r="L1055" s="115">
        <v>7.0</v>
      </c>
      <c r="M1055" s="115">
        <v>9.0</v>
      </c>
      <c r="N1055" s="115">
        <v>3.0</v>
      </c>
      <c r="O1055" s="115">
        <v>7.0</v>
      </c>
      <c r="P1055" s="115">
        <v>7.0</v>
      </c>
      <c r="Q1055" s="115">
        <v>9.0</v>
      </c>
      <c r="R1055" s="90" t="s">
        <v>8</v>
      </c>
      <c r="S1055" s="67">
        <v>7.0</v>
      </c>
      <c r="T1055" s="66">
        <f t="shared" si="438"/>
        <v>10</v>
      </c>
      <c r="U1055" s="13">
        <f t="shared" si="439"/>
        <v>3</v>
      </c>
      <c r="V1055" s="67"/>
      <c r="AB1055" s="139">
        <v>2.0</v>
      </c>
      <c r="AC1055" s="139">
        <v>5.0</v>
      </c>
      <c r="AD1055" s="160"/>
      <c r="AE1055" s="160"/>
    </row>
    <row r="1056">
      <c r="A1056" s="11">
        <v>46161.0</v>
      </c>
      <c r="B1056" s="13" t="s">
        <v>9</v>
      </c>
      <c r="C1056" s="4">
        <v>55.0</v>
      </c>
      <c r="D1056" s="82">
        <v>5.0</v>
      </c>
      <c r="F1056" s="13">
        <f t="shared" si="436"/>
        <v>56</v>
      </c>
      <c r="G1056" s="6">
        <f t="shared" si="437"/>
        <v>4</v>
      </c>
      <c r="I1056" s="4">
        <v>3.0</v>
      </c>
      <c r="K1056" s="4">
        <v>5.0</v>
      </c>
      <c r="L1056" s="4">
        <v>9.0</v>
      </c>
      <c r="M1056" s="4">
        <v>9.0</v>
      </c>
      <c r="N1056" s="13">
        <v>3.0</v>
      </c>
      <c r="O1056" s="4">
        <v>9.0</v>
      </c>
      <c r="P1056" s="4">
        <v>7.0</v>
      </c>
      <c r="Q1056" s="4">
        <v>11.0</v>
      </c>
      <c r="R1056" s="90" t="s">
        <v>9</v>
      </c>
      <c r="S1056" s="67">
        <v>9.0</v>
      </c>
      <c r="T1056" s="66">
        <f t="shared" si="438"/>
        <v>11</v>
      </c>
      <c r="U1056" s="13">
        <f t="shared" si="439"/>
        <v>3</v>
      </c>
      <c r="V1056" s="67"/>
      <c r="W1056" s="4">
        <v>2.0</v>
      </c>
      <c r="Y1056" s="4">
        <v>3.0</v>
      </c>
      <c r="AB1056" s="140"/>
      <c r="AC1056" s="140">
        <v>3.0</v>
      </c>
      <c r="AD1056" s="160"/>
      <c r="AE1056" s="160"/>
    </row>
    <row r="1057">
      <c r="A1057" s="11">
        <v>46161.0</v>
      </c>
      <c r="B1057" s="114" t="s">
        <v>10</v>
      </c>
      <c r="C1057" s="115">
        <v>30.0</v>
      </c>
      <c r="D1057" s="6"/>
      <c r="F1057" s="13">
        <f t="shared" si="436"/>
        <v>28</v>
      </c>
      <c r="G1057" s="6">
        <f t="shared" si="437"/>
        <v>2</v>
      </c>
      <c r="I1057" s="115">
        <v>2.0</v>
      </c>
      <c r="J1057" s="115"/>
      <c r="K1057" s="115">
        <v>3.0</v>
      </c>
      <c r="L1057" s="115">
        <v>5.0</v>
      </c>
      <c r="M1057" s="115">
        <v>5.0</v>
      </c>
      <c r="N1057" s="115">
        <v>2.0</v>
      </c>
      <c r="O1057" s="115">
        <v>3.0</v>
      </c>
      <c r="P1057" s="115">
        <v>3.0</v>
      </c>
      <c r="Q1057" s="115">
        <v>5.0</v>
      </c>
      <c r="R1057" s="90" t="s">
        <v>10</v>
      </c>
      <c r="S1057" s="67">
        <v>9.0</v>
      </c>
      <c r="T1057" s="66">
        <f t="shared" si="438"/>
        <v>5</v>
      </c>
      <c r="U1057" s="13">
        <f t="shared" si="439"/>
        <v>2</v>
      </c>
      <c r="V1057" s="67"/>
      <c r="X1057" s="4">
        <v>1.0</v>
      </c>
      <c r="Z1057" s="4">
        <v>1.0</v>
      </c>
      <c r="AB1057" s="139"/>
      <c r="AC1057" s="139">
        <v>1.0</v>
      </c>
      <c r="AD1057" s="160"/>
      <c r="AE1057" s="160"/>
    </row>
    <row r="1058">
      <c r="A1058" s="11">
        <v>46161.0</v>
      </c>
      <c r="B1058" s="13" t="s">
        <v>11</v>
      </c>
      <c r="C1058" s="4">
        <v>25.0</v>
      </c>
      <c r="D1058" s="82">
        <v>2.0</v>
      </c>
      <c r="F1058" s="13">
        <f t="shared" si="436"/>
        <v>24</v>
      </c>
      <c r="G1058" s="6">
        <f t="shared" si="437"/>
        <v>3</v>
      </c>
      <c r="I1058" s="4">
        <v>1.0</v>
      </c>
      <c r="K1058" s="4">
        <v>3.0</v>
      </c>
      <c r="L1058" s="4">
        <v>4.0</v>
      </c>
      <c r="M1058" s="13">
        <v>5.0</v>
      </c>
      <c r="N1058" s="13">
        <v>1.0</v>
      </c>
      <c r="O1058" s="13">
        <v>2.0</v>
      </c>
      <c r="P1058" s="4">
        <v>3.0</v>
      </c>
      <c r="Q1058" s="4">
        <v>5.0</v>
      </c>
      <c r="R1058" s="90" t="s">
        <v>11</v>
      </c>
      <c r="S1058" s="67">
        <v>3.0</v>
      </c>
      <c r="T1058" s="66">
        <f t="shared" si="438"/>
        <v>6</v>
      </c>
      <c r="U1058" s="13">
        <f t="shared" si="439"/>
        <v>1</v>
      </c>
      <c r="V1058" s="67"/>
      <c r="X1058" s="4">
        <v>1.0</v>
      </c>
      <c r="Y1058" s="4">
        <v>1.0</v>
      </c>
      <c r="AB1058" s="140"/>
      <c r="AC1058" s="140">
        <v>3.0</v>
      </c>
      <c r="AD1058" s="160"/>
      <c r="AE1058" s="160"/>
    </row>
    <row r="1059">
      <c r="A1059" s="11">
        <v>46161.0</v>
      </c>
      <c r="B1059" s="114" t="s">
        <v>12</v>
      </c>
      <c r="C1059" s="115">
        <v>30.0</v>
      </c>
      <c r="D1059" s="82">
        <v>1.0</v>
      </c>
      <c r="F1059" s="13">
        <f t="shared" si="436"/>
        <v>30</v>
      </c>
      <c r="G1059" s="6">
        <f t="shared" si="437"/>
        <v>1</v>
      </c>
      <c r="I1059" s="115">
        <v>1.0</v>
      </c>
      <c r="J1059" s="115"/>
      <c r="K1059" s="115">
        <v>3.0</v>
      </c>
      <c r="L1059" s="115">
        <v>7.0</v>
      </c>
      <c r="M1059" s="115">
        <v>5.0</v>
      </c>
      <c r="N1059" s="115">
        <v>2.0</v>
      </c>
      <c r="O1059" s="115">
        <v>5.0</v>
      </c>
      <c r="P1059" s="115">
        <v>3.0</v>
      </c>
      <c r="Q1059" s="115">
        <v>4.0</v>
      </c>
      <c r="R1059" s="90" t="s">
        <v>12</v>
      </c>
      <c r="S1059" s="67">
        <v>2.0</v>
      </c>
      <c r="T1059" s="66">
        <f t="shared" si="438"/>
        <v>6</v>
      </c>
      <c r="U1059" s="13">
        <f t="shared" si="439"/>
        <v>1</v>
      </c>
      <c r="V1059" s="67"/>
      <c r="X1059" s="4">
        <v>1.0</v>
      </c>
      <c r="Y1059" s="4">
        <v>2.0</v>
      </c>
      <c r="Z1059" s="4">
        <v>2.0</v>
      </c>
      <c r="AB1059" s="139"/>
      <c r="AC1059" s="139"/>
      <c r="AD1059" s="160"/>
      <c r="AE1059" s="160"/>
    </row>
    <row r="1060">
      <c r="A1060" s="11">
        <v>46161.0</v>
      </c>
      <c r="B1060" s="13" t="s">
        <v>13</v>
      </c>
      <c r="C1060" s="4">
        <v>30.0</v>
      </c>
      <c r="D1060" s="82"/>
      <c r="F1060" s="13">
        <f t="shared" si="436"/>
        <v>36</v>
      </c>
      <c r="G1060" s="6">
        <f t="shared" si="437"/>
        <v>-6</v>
      </c>
      <c r="I1060" s="4">
        <v>1.0</v>
      </c>
      <c r="K1060" s="13">
        <v>4.0</v>
      </c>
      <c r="L1060" s="13">
        <v>5.0</v>
      </c>
      <c r="M1060" s="4">
        <v>9.0</v>
      </c>
      <c r="N1060" s="4">
        <v>3.0</v>
      </c>
      <c r="O1060" s="4">
        <v>5.0</v>
      </c>
      <c r="P1060" s="4">
        <v>4.0</v>
      </c>
      <c r="Q1060" s="4">
        <v>5.0</v>
      </c>
      <c r="R1060" s="90" t="s">
        <v>13</v>
      </c>
      <c r="S1060" s="67">
        <v>10.0</v>
      </c>
      <c r="T1060" s="66">
        <f t="shared" si="438"/>
        <v>2</v>
      </c>
      <c r="U1060" s="13">
        <f t="shared" si="439"/>
        <v>1</v>
      </c>
      <c r="V1060" s="67"/>
      <c r="Z1060" s="4">
        <v>1.0</v>
      </c>
      <c r="AB1060" s="140"/>
      <c r="AC1060" s="140"/>
      <c r="AD1060" s="160"/>
      <c r="AE1060" s="160"/>
    </row>
    <row r="1061">
      <c r="A1061" s="11">
        <v>46161.0</v>
      </c>
      <c r="B1061" s="114" t="s">
        <v>14</v>
      </c>
      <c r="C1061" s="115">
        <v>30.0</v>
      </c>
      <c r="D1061" s="6"/>
      <c r="F1061" s="13">
        <f t="shared" si="436"/>
        <v>28</v>
      </c>
      <c r="G1061" s="6">
        <f t="shared" si="437"/>
        <v>2</v>
      </c>
      <c r="I1061" s="115">
        <v>2.0</v>
      </c>
      <c r="J1061" s="115"/>
      <c r="K1061" s="115">
        <v>4.0</v>
      </c>
      <c r="L1061" s="115">
        <v>5.0</v>
      </c>
      <c r="M1061" s="115">
        <v>6.0</v>
      </c>
      <c r="N1061" s="115">
        <v>1.0</v>
      </c>
      <c r="O1061" s="115">
        <v>3.0</v>
      </c>
      <c r="P1061" s="115">
        <v>3.0</v>
      </c>
      <c r="Q1061" s="115">
        <v>4.0</v>
      </c>
      <c r="R1061" s="90" t="s">
        <v>14</v>
      </c>
      <c r="S1061" s="67">
        <v>2.0</v>
      </c>
      <c r="T1061" s="66">
        <f t="shared" si="438"/>
        <v>7</v>
      </c>
      <c r="U1061" s="13">
        <f t="shared" si="439"/>
        <v>2</v>
      </c>
      <c r="V1061" s="67"/>
      <c r="AB1061" s="139">
        <v>1.0</v>
      </c>
      <c r="AC1061" s="139">
        <v>4.0</v>
      </c>
      <c r="AD1061" s="160"/>
      <c r="AE1061" s="160"/>
    </row>
    <row r="1062">
      <c r="A1062" s="11">
        <v>46161.0</v>
      </c>
      <c r="B1062" s="13" t="s">
        <v>15</v>
      </c>
      <c r="C1062" s="4">
        <v>240.0</v>
      </c>
      <c r="D1062" s="82"/>
      <c r="F1062" s="13">
        <f t="shared" si="436"/>
        <v>241</v>
      </c>
      <c r="G1062" s="6">
        <f t="shared" si="437"/>
        <v>-1</v>
      </c>
      <c r="I1062" s="4">
        <v>20.0</v>
      </c>
      <c r="K1062" s="4">
        <v>29.0</v>
      </c>
      <c r="L1062" s="13">
        <v>35.0</v>
      </c>
      <c r="M1062" s="4">
        <v>45.0</v>
      </c>
      <c r="N1062" s="4">
        <v>22.0</v>
      </c>
      <c r="O1062" s="4">
        <v>30.0</v>
      </c>
      <c r="P1062" s="4">
        <v>20.0</v>
      </c>
      <c r="Q1062" s="4">
        <v>40.0</v>
      </c>
      <c r="R1062" s="90" t="s">
        <v>15</v>
      </c>
      <c r="S1062" s="67">
        <f>14+29</f>
        <v>43</v>
      </c>
      <c r="T1062" s="66">
        <f t="shared" si="438"/>
        <v>56</v>
      </c>
      <c r="U1062" s="13">
        <f t="shared" si="439"/>
        <v>20</v>
      </c>
      <c r="V1062" s="67"/>
      <c r="Y1062" s="4">
        <v>5.0</v>
      </c>
      <c r="Z1062" s="4">
        <v>19.0</v>
      </c>
      <c r="AB1062" s="140">
        <v>1.0</v>
      </c>
      <c r="AC1062" s="140">
        <v>11.0</v>
      </c>
      <c r="AD1062" s="160"/>
      <c r="AE1062" s="160"/>
    </row>
    <row r="1063">
      <c r="A1063" s="11">
        <v>46161.0</v>
      </c>
      <c r="B1063" s="4" t="s">
        <v>16</v>
      </c>
      <c r="C1063" s="13">
        <f t="shared" ref="C1063:D1063" si="440">sum(C1051:C1062)</f>
        <v>620</v>
      </c>
      <c r="D1063" s="6">
        <f t="shared" si="440"/>
        <v>19</v>
      </c>
      <c r="F1063" s="13">
        <f t="shared" ref="F1063:G1063" si="441">sum(F1051:F1062)</f>
        <v>621</v>
      </c>
      <c r="G1063" s="6">
        <f t="shared" si="441"/>
        <v>18</v>
      </c>
      <c r="I1063" s="157">
        <f t="shared" ref="I1063:Q1063" si="442">sum(I1051:I1062)</f>
        <v>41</v>
      </c>
      <c r="J1063" s="157">
        <f t="shared" si="442"/>
        <v>0</v>
      </c>
      <c r="K1063" s="157">
        <f t="shared" si="442"/>
        <v>69</v>
      </c>
      <c r="L1063" s="157">
        <f t="shared" si="442"/>
        <v>97</v>
      </c>
      <c r="M1063" s="157">
        <f t="shared" si="442"/>
        <v>117</v>
      </c>
      <c r="N1063" s="157">
        <f t="shared" si="442"/>
        <v>45</v>
      </c>
      <c r="O1063" s="157">
        <f t="shared" si="442"/>
        <v>81</v>
      </c>
      <c r="P1063" s="157">
        <f t="shared" si="442"/>
        <v>68</v>
      </c>
      <c r="Q1063" s="157">
        <f t="shared" si="442"/>
        <v>103</v>
      </c>
      <c r="R1063" s="135"/>
      <c r="S1063" s="136">
        <f t="shared" ref="S1063:AC1063" si="443">sum(S1051:S1062)</f>
        <v>121</v>
      </c>
      <c r="T1063" s="136">
        <f t="shared" si="443"/>
        <v>146</v>
      </c>
      <c r="U1063" s="135">
        <f t="shared" si="443"/>
        <v>41</v>
      </c>
      <c r="V1063" s="136">
        <f t="shared" si="443"/>
        <v>0</v>
      </c>
      <c r="W1063" s="135">
        <f t="shared" si="443"/>
        <v>8</v>
      </c>
      <c r="X1063" s="135">
        <f t="shared" si="443"/>
        <v>8</v>
      </c>
      <c r="Y1063" s="135">
        <f t="shared" si="443"/>
        <v>16</v>
      </c>
      <c r="Z1063" s="135">
        <f t="shared" si="443"/>
        <v>28</v>
      </c>
      <c r="AA1063" s="135">
        <f t="shared" si="443"/>
        <v>0</v>
      </c>
      <c r="AB1063" s="135">
        <f t="shared" si="443"/>
        <v>10</v>
      </c>
      <c r="AC1063" s="135">
        <f t="shared" si="443"/>
        <v>35</v>
      </c>
      <c r="AD1063" s="160"/>
      <c r="AE1063" s="160"/>
    </row>
    <row r="1064">
      <c r="D1064" s="82">
        <v>100.0</v>
      </c>
      <c r="E1064" s="4">
        <v>3.0</v>
      </c>
      <c r="I1064" s="13">
        <f t="shared" ref="I1064:Q1064" si="444">I1063-U1063</f>
        <v>0</v>
      </c>
      <c r="J1064" s="66">
        <f t="shared" si="444"/>
        <v>0</v>
      </c>
      <c r="K1064" s="13">
        <f t="shared" si="444"/>
        <v>61</v>
      </c>
      <c r="L1064" s="13">
        <f t="shared" si="444"/>
        <v>89</v>
      </c>
      <c r="M1064" s="13">
        <f t="shared" si="444"/>
        <v>101</v>
      </c>
      <c r="N1064" s="13">
        <f t="shared" si="444"/>
        <v>17</v>
      </c>
      <c r="O1064" s="13">
        <f t="shared" si="444"/>
        <v>81</v>
      </c>
      <c r="P1064" s="13">
        <f t="shared" si="444"/>
        <v>58</v>
      </c>
      <c r="Q1064" s="13">
        <f t="shared" si="444"/>
        <v>68</v>
      </c>
      <c r="AC1064" s="4" t="s">
        <v>284</v>
      </c>
      <c r="AD1064" s="160"/>
      <c r="AE1064" s="160"/>
    </row>
    <row r="1065">
      <c r="D1065" s="4">
        <v>620.0</v>
      </c>
      <c r="E1065" s="13">
        <f>D1065*3/100</f>
        <v>18.6</v>
      </c>
      <c r="I1065" s="97"/>
      <c r="J1065" s="97"/>
      <c r="K1065" s="97"/>
      <c r="L1065" s="160"/>
      <c r="M1065" s="97"/>
      <c r="N1065" s="97"/>
      <c r="O1065" s="97"/>
      <c r="P1065" s="97"/>
      <c r="Q1065" s="97"/>
      <c r="R1065" s="160"/>
      <c r="S1065" s="160"/>
      <c r="T1065" s="160"/>
      <c r="U1065" s="160"/>
      <c r="V1065" s="160"/>
      <c r="W1065" s="160"/>
      <c r="X1065" s="160"/>
      <c r="Y1065" s="160"/>
      <c r="Z1065" s="160"/>
      <c r="AA1065" s="160"/>
      <c r="AB1065" s="160"/>
      <c r="AC1065" s="160"/>
      <c r="AD1065" s="160"/>
      <c r="AE1065" s="160"/>
    </row>
    <row r="1066">
      <c r="D1066" s="6"/>
      <c r="F1066" s="4" t="s">
        <v>16</v>
      </c>
      <c r="G1066" s="4" t="s">
        <v>251</v>
      </c>
      <c r="H1066" s="75" t="s">
        <v>253</v>
      </c>
      <c r="I1066" s="4" t="s">
        <v>93</v>
      </c>
      <c r="J1066" s="4" t="s">
        <v>227</v>
      </c>
      <c r="K1066" s="4" t="s">
        <v>89</v>
      </c>
      <c r="L1066" s="4" t="s">
        <v>80</v>
      </c>
      <c r="M1066" s="4" t="s">
        <v>81</v>
      </c>
      <c r="N1066" s="4" t="s">
        <v>232</v>
      </c>
      <c r="O1066" s="4" t="s">
        <v>180</v>
      </c>
      <c r="P1066" s="4" t="s">
        <v>264</v>
      </c>
      <c r="Q1066" s="4" t="s">
        <v>280</v>
      </c>
      <c r="R1066" s="127" t="s">
        <v>236</v>
      </c>
      <c r="S1066" s="128" t="s">
        <v>233</v>
      </c>
      <c r="T1066" s="128" t="s">
        <v>234</v>
      </c>
      <c r="U1066" s="128" t="s">
        <v>238</v>
      </c>
      <c r="V1066" s="128" t="s">
        <v>231</v>
      </c>
      <c r="W1066" s="128" t="s">
        <v>239</v>
      </c>
      <c r="X1066" s="128" t="s">
        <v>246</v>
      </c>
      <c r="Y1066" s="128" t="s">
        <v>247</v>
      </c>
      <c r="Z1066" s="128" t="s">
        <v>248</v>
      </c>
      <c r="AA1066" s="128" t="s">
        <v>267</v>
      </c>
      <c r="AB1066" s="130" t="s">
        <v>268</v>
      </c>
      <c r="AC1066" s="130" t="s">
        <v>169</v>
      </c>
      <c r="AD1066" s="160"/>
      <c r="AE1066" s="160"/>
    </row>
    <row r="1067">
      <c r="B1067" s="114" t="s">
        <v>4</v>
      </c>
      <c r="D1067" s="6"/>
      <c r="F1067" s="13">
        <f t="shared" ref="F1067:F1078" si="445">sum(I1067:Q1067)</f>
        <v>12</v>
      </c>
      <c r="G1067" s="66">
        <f t="shared" ref="G1067:G1078" si="446">S1051+T1051</f>
        <v>21</v>
      </c>
      <c r="H1067" s="119">
        <f t="shared" ref="H1067:H1078" si="447">G1067-sum(I1067:Q1067)</f>
        <v>9</v>
      </c>
      <c r="K1067" s="4">
        <v>3.0</v>
      </c>
      <c r="L1067" s="150"/>
      <c r="M1067" s="67">
        <v>3.0</v>
      </c>
      <c r="O1067" s="67">
        <v>3.0</v>
      </c>
      <c r="Q1067" s="4">
        <v>3.0</v>
      </c>
      <c r="R1067" s="154" t="s">
        <v>4</v>
      </c>
      <c r="S1067" s="67"/>
      <c r="T1067" s="66"/>
      <c r="V1067" s="67"/>
      <c r="AB1067" s="138"/>
      <c r="AC1067" s="138"/>
      <c r="AD1067" s="160"/>
      <c r="AE1067" s="160"/>
    </row>
    <row r="1068">
      <c r="B1068" s="13" t="s">
        <v>5</v>
      </c>
      <c r="D1068" s="6"/>
      <c r="F1068" s="13">
        <f t="shared" si="445"/>
        <v>8</v>
      </c>
      <c r="G1068" s="66">
        <f t="shared" si="446"/>
        <v>25</v>
      </c>
      <c r="H1068" s="119">
        <f t="shared" si="447"/>
        <v>17</v>
      </c>
      <c r="K1068" s="4">
        <v>2.0</v>
      </c>
      <c r="L1068" s="150"/>
      <c r="M1068" s="67">
        <v>2.0</v>
      </c>
      <c r="O1068" s="4">
        <v>2.0</v>
      </c>
      <c r="Q1068" s="4">
        <v>2.0</v>
      </c>
      <c r="R1068" s="154" t="s">
        <v>5</v>
      </c>
      <c r="S1068" s="67"/>
      <c r="T1068" s="67"/>
      <c r="V1068" s="67"/>
      <c r="AB1068" s="140"/>
      <c r="AC1068" s="140"/>
      <c r="AD1068" s="160"/>
      <c r="AE1068" s="160"/>
    </row>
    <row r="1069">
      <c r="B1069" s="114" t="s">
        <v>6</v>
      </c>
      <c r="D1069" s="6"/>
      <c r="F1069" s="13">
        <f t="shared" si="445"/>
        <v>5</v>
      </c>
      <c r="G1069" s="66">
        <f t="shared" si="446"/>
        <v>11</v>
      </c>
      <c r="H1069" s="119">
        <f t="shared" si="447"/>
        <v>6</v>
      </c>
      <c r="K1069" s="4">
        <v>2.0</v>
      </c>
      <c r="L1069" s="150"/>
      <c r="M1069" s="67">
        <v>1.0</v>
      </c>
      <c r="O1069" s="67">
        <v>1.0</v>
      </c>
      <c r="Q1069" s="4">
        <v>1.0</v>
      </c>
      <c r="R1069" s="154" t="s">
        <v>6</v>
      </c>
      <c r="S1069" s="67"/>
      <c r="T1069" s="67"/>
      <c r="V1069" s="67"/>
      <c r="AB1069" s="139"/>
      <c r="AC1069" s="139"/>
      <c r="AD1069" s="160"/>
      <c r="AE1069" s="160"/>
    </row>
    <row r="1070">
      <c r="B1070" s="13" t="s">
        <v>7</v>
      </c>
      <c r="D1070" s="6"/>
      <c r="F1070" s="13">
        <f t="shared" si="445"/>
        <v>6</v>
      </c>
      <c r="G1070" s="66">
        <f t="shared" si="446"/>
        <v>22</v>
      </c>
      <c r="H1070" s="119">
        <f t="shared" si="447"/>
        <v>16</v>
      </c>
      <c r="K1070" s="4">
        <v>1.0</v>
      </c>
      <c r="L1070" s="150"/>
      <c r="M1070" s="67">
        <v>2.0</v>
      </c>
      <c r="O1070" s="67">
        <v>1.0</v>
      </c>
      <c r="Q1070" s="4">
        <v>2.0</v>
      </c>
      <c r="R1070" s="154" t="s">
        <v>7</v>
      </c>
      <c r="S1070" s="67"/>
      <c r="T1070" s="66"/>
      <c r="V1070" s="67"/>
      <c r="AB1070" s="140"/>
      <c r="AC1070" s="140"/>
      <c r="AD1070" s="160"/>
      <c r="AE1070" s="160"/>
    </row>
    <row r="1071">
      <c r="B1071" s="114" t="s">
        <v>8</v>
      </c>
      <c r="D1071" s="6"/>
      <c r="F1071" s="13">
        <f t="shared" si="445"/>
        <v>10</v>
      </c>
      <c r="G1071" s="66">
        <f t="shared" si="446"/>
        <v>17</v>
      </c>
      <c r="H1071" s="119">
        <f t="shared" si="447"/>
        <v>7</v>
      </c>
      <c r="K1071" s="4">
        <v>2.0</v>
      </c>
      <c r="L1071" s="150"/>
      <c r="M1071" s="67">
        <v>2.0</v>
      </c>
      <c r="O1071" s="67">
        <v>3.0</v>
      </c>
      <c r="Q1071" s="4">
        <v>3.0</v>
      </c>
      <c r="R1071" s="154" t="s">
        <v>8</v>
      </c>
      <c r="S1071" s="67"/>
      <c r="T1071" s="67"/>
      <c r="V1071" s="67"/>
      <c r="AB1071" s="134"/>
      <c r="AC1071" s="134"/>
      <c r="AD1071" s="160"/>
      <c r="AE1071" s="160"/>
    </row>
    <row r="1072">
      <c r="B1072" s="13" t="s">
        <v>9</v>
      </c>
      <c r="D1072" s="6"/>
      <c r="F1072" s="13">
        <f t="shared" si="445"/>
        <v>7</v>
      </c>
      <c r="G1072" s="66">
        <f t="shared" si="446"/>
        <v>20</v>
      </c>
      <c r="H1072" s="119">
        <f t="shared" si="447"/>
        <v>13</v>
      </c>
      <c r="K1072" s="4">
        <v>1.0</v>
      </c>
      <c r="L1072" s="150"/>
      <c r="M1072" s="4">
        <v>3.0</v>
      </c>
      <c r="O1072" s="67">
        <v>2.0</v>
      </c>
      <c r="Q1072" s="4">
        <v>1.0</v>
      </c>
      <c r="R1072" s="154" t="s">
        <v>9</v>
      </c>
      <c r="S1072" s="67"/>
      <c r="T1072" s="67"/>
      <c r="V1072" s="67"/>
      <c r="AB1072" s="133"/>
      <c r="AC1072" s="133"/>
      <c r="AD1072" s="160"/>
      <c r="AE1072" s="160"/>
    </row>
    <row r="1073">
      <c r="B1073" s="114" t="s">
        <v>10</v>
      </c>
      <c r="D1073" s="6"/>
      <c r="F1073" s="13">
        <f t="shared" si="445"/>
        <v>8</v>
      </c>
      <c r="G1073" s="66">
        <f t="shared" si="446"/>
        <v>14</v>
      </c>
      <c r="H1073" s="119">
        <f t="shared" si="447"/>
        <v>6</v>
      </c>
      <c r="K1073" s="4">
        <v>2.0</v>
      </c>
      <c r="L1073" s="150"/>
      <c r="M1073" s="67">
        <v>2.0</v>
      </c>
      <c r="O1073" s="67">
        <v>2.0</v>
      </c>
      <c r="Q1073" s="4">
        <v>2.0</v>
      </c>
      <c r="R1073" s="154" t="s">
        <v>10</v>
      </c>
      <c r="S1073" s="67"/>
      <c r="T1073" s="67"/>
      <c r="V1073" s="67"/>
      <c r="AB1073" s="134"/>
      <c r="AC1073" s="134"/>
      <c r="AD1073" s="160"/>
      <c r="AE1073" s="160"/>
    </row>
    <row r="1074">
      <c r="B1074" s="13" t="s">
        <v>11</v>
      </c>
      <c r="D1074" s="6"/>
      <c r="F1074" s="13">
        <f t="shared" si="445"/>
        <v>4</v>
      </c>
      <c r="G1074" s="66">
        <f t="shared" si="446"/>
        <v>9</v>
      </c>
      <c r="H1074" s="119">
        <f t="shared" si="447"/>
        <v>5</v>
      </c>
      <c r="K1074" s="4">
        <v>1.0</v>
      </c>
      <c r="L1074" s="150"/>
      <c r="M1074" s="67">
        <v>1.0</v>
      </c>
      <c r="O1074" s="67">
        <v>1.0</v>
      </c>
      <c r="Q1074" s="4">
        <v>1.0</v>
      </c>
      <c r="R1074" s="154" t="s">
        <v>11</v>
      </c>
      <c r="S1074" s="67"/>
      <c r="T1074" s="67"/>
      <c r="V1074" s="67"/>
      <c r="AB1074" s="140"/>
      <c r="AC1074" s="140"/>
      <c r="AD1074" s="160"/>
      <c r="AE1074" s="160"/>
    </row>
    <row r="1075">
      <c r="B1075" s="114" t="s">
        <v>12</v>
      </c>
      <c r="D1075" s="6"/>
      <c r="F1075" s="13">
        <f t="shared" si="445"/>
        <v>5</v>
      </c>
      <c r="G1075" s="66">
        <f t="shared" si="446"/>
        <v>8</v>
      </c>
      <c r="H1075" s="119">
        <f t="shared" si="447"/>
        <v>3</v>
      </c>
      <c r="K1075" s="4">
        <v>1.0</v>
      </c>
      <c r="L1075" s="152"/>
      <c r="M1075" s="4">
        <v>1.0</v>
      </c>
      <c r="O1075" s="67">
        <v>2.0</v>
      </c>
      <c r="Q1075" s="4">
        <v>1.0</v>
      </c>
      <c r="R1075" s="154" t="s">
        <v>12</v>
      </c>
      <c r="S1075" s="67"/>
      <c r="T1075" s="67"/>
      <c r="V1075" s="66"/>
      <c r="AB1075" s="139"/>
      <c r="AC1075" s="139"/>
      <c r="AD1075" s="160"/>
      <c r="AE1075" s="160"/>
    </row>
    <row r="1076">
      <c r="B1076" s="13" t="s">
        <v>13</v>
      </c>
      <c r="D1076" s="6"/>
      <c r="F1076" s="13">
        <f t="shared" si="445"/>
        <v>10</v>
      </c>
      <c r="G1076" s="66">
        <f t="shared" si="446"/>
        <v>12</v>
      </c>
      <c r="H1076" s="119">
        <f t="shared" si="447"/>
        <v>2</v>
      </c>
      <c r="K1076" s="4">
        <v>2.0</v>
      </c>
      <c r="L1076" s="150"/>
      <c r="M1076" s="4">
        <v>2.0</v>
      </c>
      <c r="O1076" s="4">
        <v>3.0</v>
      </c>
      <c r="Q1076" s="4">
        <v>3.0</v>
      </c>
      <c r="R1076" s="154" t="s">
        <v>13</v>
      </c>
      <c r="S1076" s="67"/>
      <c r="T1076" s="67"/>
      <c r="V1076" s="67"/>
      <c r="AB1076" s="140"/>
      <c r="AC1076" s="140"/>
      <c r="AD1076" s="160"/>
      <c r="AE1076" s="160"/>
    </row>
    <row r="1077">
      <c r="B1077" s="114" t="s">
        <v>14</v>
      </c>
      <c r="F1077" s="13">
        <f t="shared" si="445"/>
        <v>5</v>
      </c>
      <c r="G1077" s="66">
        <f t="shared" si="446"/>
        <v>9</v>
      </c>
      <c r="H1077" s="119">
        <f t="shared" si="447"/>
        <v>4</v>
      </c>
      <c r="K1077" s="67">
        <v>1.0</v>
      </c>
      <c r="L1077" s="152"/>
      <c r="M1077" s="4">
        <v>1.0</v>
      </c>
      <c r="O1077" s="67">
        <v>1.0</v>
      </c>
      <c r="Q1077" s="4">
        <v>2.0</v>
      </c>
      <c r="R1077" s="154" t="s">
        <v>14</v>
      </c>
      <c r="S1077" s="67"/>
      <c r="T1077" s="67"/>
      <c r="V1077" s="67"/>
      <c r="AB1077" s="134"/>
      <c r="AC1077" s="134"/>
      <c r="AD1077" s="160"/>
      <c r="AE1077" s="160"/>
    </row>
    <row r="1078">
      <c r="B1078" s="13" t="s">
        <v>15</v>
      </c>
      <c r="F1078" s="13">
        <f t="shared" si="445"/>
        <v>70</v>
      </c>
      <c r="G1078" s="66">
        <f t="shared" si="446"/>
        <v>99</v>
      </c>
      <c r="H1078" s="119">
        <f t="shared" si="447"/>
        <v>29</v>
      </c>
      <c r="K1078" s="4">
        <v>15.0</v>
      </c>
      <c r="L1078" s="150"/>
      <c r="M1078" s="4">
        <v>15.0</v>
      </c>
      <c r="O1078" s="67">
        <v>20.0</v>
      </c>
      <c r="Q1078" s="4">
        <v>20.0</v>
      </c>
      <c r="R1078" s="154" t="s">
        <v>15</v>
      </c>
      <c r="S1078" s="67"/>
      <c r="T1078" s="67"/>
      <c r="V1078" s="67"/>
      <c r="AB1078" s="140"/>
      <c r="AC1078" s="140"/>
      <c r="AD1078" s="160"/>
      <c r="AE1078" s="160"/>
    </row>
    <row r="1079">
      <c r="F1079" s="13">
        <f t="shared" ref="F1079:Q1079" si="448">sum(F1067:F1078)</f>
        <v>150</v>
      </c>
      <c r="G1079" s="66">
        <f t="shared" si="448"/>
        <v>267</v>
      </c>
      <c r="H1079" s="66">
        <f t="shared" si="448"/>
        <v>117</v>
      </c>
      <c r="I1079" s="97">
        <f t="shared" si="448"/>
        <v>0</v>
      </c>
      <c r="J1079" s="97">
        <f t="shared" si="448"/>
        <v>0</v>
      </c>
      <c r="K1079" s="97">
        <f t="shared" si="448"/>
        <v>33</v>
      </c>
      <c r="L1079" s="153">
        <f t="shared" si="448"/>
        <v>0</v>
      </c>
      <c r="M1079" s="118">
        <f t="shared" si="448"/>
        <v>35</v>
      </c>
      <c r="N1079" s="97">
        <f t="shared" si="448"/>
        <v>0</v>
      </c>
      <c r="O1079" s="118">
        <f t="shared" si="448"/>
        <v>41</v>
      </c>
      <c r="P1079" s="97">
        <f t="shared" si="448"/>
        <v>0</v>
      </c>
      <c r="Q1079" s="97">
        <f t="shared" si="448"/>
        <v>41</v>
      </c>
      <c r="R1079" s="135"/>
      <c r="S1079" s="136">
        <f t="shared" ref="S1079:V1079" si="449">sum(S1067:S1078)</f>
        <v>0</v>
      </c>
      <c r="T1079" s="136">
        <f t="shared" si="449"/>
        <v>0</v>
      </c>
      <c r="U1079" s="135">
        <f t="shared" si="449"/>
        <v>0</v>
      </c>
      <c r="V1079" s="136">
        <f t="shared" si="449"/>
        <v>0</v>
      </c>
      <c r="W1079" s="137">
        <v>4.0</v>
      </c>
      <c r="X1079" s="135">
        <f t="shared" ref="X1079:AC1079" si="450">sum(X1067:X1078)</f>
        <v>0</v>
      </c>
      <c r="Y1079" s="135">
        <f t="shared" si="450"/>
        <v>0</v>
      </c>
      <c r="Z1079" s="135">
        <f t="shared" si="450"/>
        <v>0</v>
      </c>
      <c r="AA1079" s="135">
        <f t="shared" si="450"/>
        <v>0</v>
      </c>
      <c r="AB1079" s="135">
        <f t="shared" si="450"/>
        <v>0</v>
      </c>
      <c r="AC1079" s="135">
        <f t="shared" si="450"/>
        <v>0</v>
      </c>
      <c r="AD1079" s="160"/>
      <c r="AE1079" s="160"/>
    </row>
    <row r="1080">
      <c r="AD1080" s="160"/>
      <c r="AE1080" s="160"/>
    </row>
    <row r="1081">
      <c r="AD1081" s="160"/>
      <c r="AE1081" s="160"/>
    </row>
    <row r="1082">
      <c r="C1082" s="4" t="s">
        <v>270</v>
      </c>
      <c r="D1082" s="82" t="s">
        <v>2</v>
      </c>
      <c r="E1082" s="4" t="s">
        <v>272</v>
      </c>
      <c r="F1082" s="4" t="s">
        <v>16</v>
      </c>
      <c r="G1082" s="4" t="s">
        <v>276</v>
      </c>
      <c r="H1082" s="4" t="s">
        <v>277</v>
      </c>
      <c r="I1082" s="4" t="s">
        <v>93</v>
      </c>
      <c r="J1082" s="4" t="s">
        <v>227</v>
      </c>
      <c r="K1082" s="4" t="s">
        <v>89</v>
      </c>
      <c r="L1082" s="4" t="s">
        <v>80</v>
      </c>
      <c r="M1082" s="4" t="s">
        <v>81</v>
      </c>
      <c r="N1082" s="4" t="s">
        <v>232</v>
      </c>
      <c r="O1082" s="4" t="s">
        <v>180</v>
      </c>
      <c r="P1082" s="4" t="s">
        <v>264</v>
      </c>
      <c r="Q1082" s="4" t="s">
        <v>169</v>
      </c>
      <c r="R1082" s="127" t="s">
        <v>236</v>
      </c>
      <c r="S1082" s="128" t="s">
        <v>233</v>
      </c>
      <c r="T1082" s="128" t="s">
        <v>234</v>
      </c>
      <c r="U1082" s="128" t="s">
        <v>238</v>
      </c>
      <c r="V1082" s="128" t="s">
        <v>231</v>
      </c>
      <c r="W1082" s="128" t="s">
        <v>239</v>
      </c>
      <c r="X1082" s="128" t="s">
        <v>246</v>
      </c>
      <c r="Y1082" s="128" t="s">
        <v>247</v>
      </c>
      <c r="Z1082" s="128" t="s">
        <v>248</v>
      </c>
      <c r="AA1082" s="128" t="s">
        <v>283</v>
      </c>
      <c r="AB1082" s="130" t="s">
        <v>268</v>
      </c>
      <c r="AC1082" s="130" t="s">
        <v>169</v>
      </c>
      <c r="AD1082" s="161" t="s">
        <v>285</v>
      </c>
      <c r="AE1082" s="160"/>
    </row>
    <row r="1083">
      <c r="A1083" s="11">
        <v>46162.0</v>
      </c>
      <c r="B1083" s="114" t="s">
        <v>4</v>
      </c>
      <c r="C1083" s="115">
        <v>40.0</v>
      </c>
      <c r="D1083" s="82">
        <v>2.0</v>
      </c>
      <c r="E1083" s="66">
        <f t="shared" ref="E1083:E1094" si="451">H1067</f>
        <v>9</v>
      </c>
      <c r="F1083" s="13">
        <f t="shared" ref="F1083:F1094" si="452">sum(H1083:P1083)+Q1083</f>
        <v>48</v>
      </c>
      <c r="G1083" s="6">
        <f t="shared" ref="G1083:G1094" si="453">C1083+D1083-F1083+E1083</f>
        <v>3</v>
      </c>
      <c r="I1083" s="115">
        <v>3.0</v>
      </c>
      <c r="J1083" s="115"/>
      <c r="K1083" s="115">
        <v>5.0</v>
      </c>
      <c r="L1083" s="115">
        <v>7.0</v>
      </c>
      <c r="M1083" s="115">
        <v>9.0</v>
      </c>
      <c r="N1083" s="155">
        <v>3.0</v>
      </c>
      <c r="O1083" s="115">
        <v>7.0</v>
      </c>
      <c r="P1083" s="115">
        <v>7.0</v>
      </c>
      <c r="Q1083" s="115">
        <v>7.0</v>
      </c>
      <c r="R1083" s="90" t="s">
        <v>4</v>
      </c>
      <c r="S1083" s="67">
        <v>5.0</v>
      </c>
      <c r="T1083" s="66">
        <f t="shared" ref="T1083:T1094" si="454">sum(U1083:AD1083)</f>
        <v>5</v>
      </c>
      <c r="V1083" s="67"/>
      <c r="AB1083" s="138"/>
      <c r="AC1083" s="138">
        <v>3.0</v>
      </c>
      <c r="AD1083" s="161">
        <v>2.0</v>
      </c>
      <c r="AE1083" s="160"/>
    </row>
    <row r="1084">
      <c r="A1084" s="11">
        <v>46162.0</v>
      </c>
      <c r="B1084" s="13" t="s">
        <v>5</v>
      </c>
      <c r="C1084" s="4">
        <v>15.0</v>
      </c>
      <c r="D1084" s="82"/>
      <c r="E1084" s="66">
        <f t="shared" si="451"/>
        <v>17</v>
      </c>
      <c r="F1084" s="13">
        <f t="shared" si="452"/>
        <v>32</v>
      </c>
      <c r="G1084" s="6">
        <f t="shared" si="453"/>
        <v>0</v>
      </c>
      <c r="I1084" s="4">
        <v>1.0</v>
      </c>
      <c r="K1084" s="4">
        <v>3.0</v>
      </c>
      <c r="L1084" s="4">
        <v>9.0</v>
      </c>
      <c r="M1084" s="13">
        <v>5.0</v>
      </c>
      <c r="N1084" s="155">
        <v>2.0</v>
      </c>
      <c r="O1084" s="4">
        <v>4.0</v>
      </c>
      <c r="P1084" s="4">
        <v>3.0</v>
      </c>
      <c r="Q1084" s="4">
        <v>5.0</v>
      </c>
      <c r="R1084" s="90" t="s">
        <v>5</v>
      </c>
      <c r="S1084" s="67">
        <v>2.0</v>
      </c>
      <c r="T1084" s="66">
        <f t="shared" si="454"/>
        <v>5</v>
      </c>
      <c r="V1084" s="67"/>
      <c r="X1084" s="4">
        <v>3.0</v>
      </c>
      <c r="AB1084" s="140"/>
      <c r="AC1084" s="140">
        <v>2.0</v>
      </c>
      <c r="AD1084" s="162"/>
      <c r="AE1084" s="160"/>
    </row>
    <row r="1085">
      <c r="A1085" s="11">
        <v>46162.0</v>
      </c>
      <c r="B1085" s="114" t="s">
        <v>6</v>
      </c>
      <c r="C1085" s="115">
        <v>20.0</v>
      </c>
      <c r="D1085" s="6"/>
      <c r="E1085" s="66">
        <f t="shared" si="451"/>
        <v>6</v>
      </c>
      <c r="F1085" s="13">
        <f t="shared" si="452"/>
        <v>25</v>
      </c>
      <c r="G1085" s="6">
        <f t="shared" si="453"/>
        <v>1</v>
      </c>
      <c r="I1085" s="115">
        <v>1.0</v>
      </c>
      <c r="J1085" s="115"/>
      <c r="K1085" s="115">
        <v>2.0</v>
      </c>
      <c r="L1085" s="115">
        <v>4.0</v>
      </c>
      <c r="M1085" s="115">
        <v>5.0</v>
      </c>
      <c r="N1085" s="155">
        <v>2.0</v>
      </c>
      <c r="O1085" s="115">
        <v>3.0</v>
      </c>
      <c r="P1085" s="115">
        <v>4.0</v>
      </c>
      <c r="Q1085" s="115">
        <v>4.0</v>
      </c>
      <c r="R1085" s="90" t="s">
        <v>6</v>
      </c>
      <c r="S1085" s="67">
        <v>2.0</v>
      </c>
      <c r="T1085" s="66">
        <f t="shared" si="454"/>
        <v>1</v>
      </c>
      <c r="V1085" s="67"/>
      <c r="AB1085" s="139"/>
      <c r="AC1085" s="139"/>
      <c r="AD1085" s="163">
        <v>1.0</v>
      </c>
      <c r="AE1085" s="160"/>
    </row>
    <row r="1086">
      <c r="A1086" s="11">
        <v>46162.0</v>
      </c>
      <c r="B1086" s="13" t="s">
        <v>7</v>
      </c>
      <c r="C1086" s="4">
        <v>10.0</v>
      </c>
      <c r="D1086" s="82">
        <v>2.0</v>
      </c>
      <c r="E1086" s="66">
        <f t="shared" si="451"/>
        <v>16</v>
      </c>
      <c r="F1086" s="13">
        <f t="shared" si="452"/>
        <v>26</v>
      </c>
      <c r="G1086" s="6">
        <f t="shared" si="453"/>
        <v>2</v>
      </c>
      <c r="I1086" s="4">
        <v>2.0</v>
      </c>
      <c r="K1086" s="4">
        <v>3.0</v>
      </c>
      <c r="L1086" s="13">
        <v>4.0</v>
      </c>
      <c r="M1086" s="4">
        <v>5.0</v>
      </c>
      <c r="N1086" s="156">
        <v>1.0</v>
      </c>
      <c r="O1086" s="4">
        <v>3.0</v>
      </c>
      <c r="P1086" s="4">
        <v>4.0</v>
      </c>
      <c r="Q1086" s="4">
        <v>4.0</v>
      </c>
      <c r="R1086" s="90" t="s">
        <v>7</v>
      </c>
      <c r="S1086" s="67">
        <v>2.0</v>
      </c>
      <c r="T1086" s="66">
        <f t="shared" si="454"/>
        <v>1</v>
      </c>
      <c r="V1086" s="67"/>
      <c r="AB1086" s="140"/>
      <c r="AC1086" s="140">
        <v>1.0</v>
      </c>
      <c r="AD1086" s="162"/>
      <c r="AE1086" s="160"/>
    </row>
    <row r="1087">
      <c r="A1087" s="11">
        <v>46162.0</v>
      </c>
      <c r="B1087" s="114" t="s">
        <v>8</v>
      </c>
      <c r="C1087" s="115">
        <v>45.0</v>
      </c>
      <c r="D1087" s="82">
        <v>2.0</v>
      </c>
      <c r="E1087" s="66">
        <f t="shared" si="451"/>
        <v>7</v>
      </c>
      <c r="F1087" s="13">
        <f t="shared" si="452"/>
        <v>51</v>
      </c>
      <c r="G1087" s="6">
        <f t="shared" si="453"/>
        <v>3</v>
      </c>
      <c r="I1087" s="115">
        <v>3.0</v>
      </c>
      <c r="J1087" s="115"/>
      <c r="K1087" s="115">
        <v>6.0</v>
      </c>
      <c r="L1087" s="115">
        <v>7.0</v>
      </c>
      <c r="M1087" s="115">
        <v>9.0</v>
      </c>
      <c r="N1087" s="155">
        <v>3.0</v>
      </c>
      <c r="O1087" s="115">
        <v>7.0</v>
      </c>
      <c r="P1087" s="115">
        <v>7.0</v>
      </c>
      <c r="Q1087" s="115">
        <v>9.0</v>
      </c>
      <c r="R1087" s="90" t="s">
        <v>8</v>
      </c>
      <c r="S1087" s="67">
        <v>3.0</v>
      </c>
      <c r="T1087" s="66">
        <f t="shared" si="454"/>
        <v>0</v>
      </c>
      <c r="V1087" s="67"/>
      <c r="AB1087" s="139"/>
      <c r="AC1087" s="139"/>
      <c r="AD1087" s="164"/>
      <c r="AE1087" s="160"/>
    </row>
    <row r="1088">
      <c r="A1088" s="11">
        <v>46162.0</v>
      </c>
      <c r="B1088" s="13" t="s">
        <v>9</v>
      </c>
      <c r="C1088" s="4">
        <v>40.0</v>
      </c>
      <c r="D1088" s="82">
        <v>5.0</v>
      </c>
      <c r="E1088" s="66">
        <f t="shared" si="451"/>
        <v>13</v>
      </c>
      <c r="F1088" s="13">
        <f t="shared" si="452"/>
        <v>56</v>
      </c>
      <c r="G1088" s="6">
        <f t="shared" si="453"/>
        <v>2</v>
      </c>
      <c r="I1088" s="4">
        <v>3.0</v>
      </c>
      <c r="K1088" s="4">
        <v>5.0</v>
      </c>
      <c r="L1088" s="4">
        <v>9.0</v>
      </c>
      <c r="M1088" s="4">
        <v>9.0</v>
      </c>
      <c r="N1088" s="156">
        <v>3.0</v>
      </c>
      <c r="O1088" s="4">
        <v>9.0</v>
      </c>
      <c r="P1088" s="4">
        <v>7.0</v>
      </c>
      <c r="Q1088" s="4">
        <v>11.0</v>
      </c>
      <c r="R1088" s="90" t="s">
        <v>9</v>
      </c>
      <c r="S1088" s="67">
        <v>7.0</v>
      </c>
      <c r="T1088" s="66">
        <f t="shared" si="454"/>
        <v>0</v>
      </c>
      <c r="V1088" s="67"/>
      <c r="AB1088" s="140"/>
      <c r="AC1088" s="140"/>
      <c r="AD1088" s="162"/>
      <c r="AE1088" s="160"/>
    </row>
    <row r="1089">
      <c r="A1089" s="11">
        <v>46162.0</v>
      </c>
      <c r="B1089" s="114" t="s">
        <v>10</v>
      </c>
      <c r="C1089" s="115">
        <v>25.0</v>
      </c>
      <c r="D1089" s="6"/>
      <c r="E1089" s="66">
        <f t="shared" si="451"/>
        <v>6</v>
      </c>
      <c r="F1089" s="13">
        <f t="shared" si="452"/>
        <v>29</v>
      </c>
      <c r="G1089" s="6">
        <f t="shared" si="453"/>
        <v>2</v>
      </c>
      <c r="I1089" s="115">
        <v>2.0</v>
      </c>
      <c r="J1089" s="115"/>
      <c r="K1089" s="115">
        <v>4.0</v>
      </c>
      <c r="L1089" s="115">
        <v>5.0</v>
      </c>
      <c r="M1089" s="115">
        <v>5.0</v>
      </c>
      <c r="N1089" s="155">
        <v>2.0</v>
      </c>
      <c r="O1089" s="115">
        <v>3.0</v>
      </c>
      <c r="P1089" s="115">
        <v>3.0</v>
      </c>
      <c r="Q1089" s="115">
        <v>5.0</v>
      </c>
      <c r="R1089" s="90" t="s">
        <v>10</v>
      </c>
      <c r="S1089" s="67">
        <v>2.0</v>
      </c>
      <c r="T1089" s="66">
        <f t="shared" si="454"/>
        <v>1</v>
      </c>
      <c r="V1089" s="67"/>
      <c r="AB1089" s="139"/>
      <c r="AC1089" s="139"/>
      <c r="AD1089" s="163">
        <v>1.0</v>
      </c>
      <c r="AE1089" s="160"/>
    </row>
    <row r="1090">
      <c r="A1090" s="11">
        <v>46162.0</v>
      </c>
      <c r="B1090" s="13" t="s">
        <v>11</v>
      </c>
      <c r="C1090" s="4">
        <v>20.0</v>
      </c>
      <c r="D1090" s="82"/>
      <c r="E1090" s="66">
        <f t="shared" si="451"/>
        <v>5</v>
      </c>
      <c r="F1090" s="13">
        <f t="shared" si="452"/>
        <v>24</v>
      </c>
      <c r="G1090" s="6">
        <f t="shared" si="453"/>
        <v>1</v>
      </c>
      <c r="I1090" s="4">
        <v>1.0</v>
      </c>
      <c r="K1090" s="4">
        <v>3.0</v>
      </c>
      <c r="L1090" s="4">
        <v>4.0</v>
      </c>
      <c r="M1090" s="13">
        <v>5.0</v>
      </c>
      <c r="N1090" s="156">
        <v>1.0</v>
      </c>
      <c r="O1090" s="13">
        <v>2.0</v>
      </c>
      <c r="P1090" s="4">
        <v>3.0</v>
      </c>
      <c r="Q1090" s="4">
        <v>5.0</v>
      </c>
      <c r="R1090" s="90" t="s">
        <v>11</v>
      </c>
      <c r="S1090" s="67"/>
      <c r="T1090" s="66">
        <f t="shared" si="454"/>
        <v>0</v>
      </c>
      <c r="V1090" s="67"/>
      <c r="AB1090" s="140"/>
      <c r="AC1090" s="140"/>
      <c r="AD1090" s="165"/>
      <c r="AE1090" s="160"/>
    </row>
    <row r="1091">
      <c r="A1091" s="11">
        <v>46162.0</v>
      </c>
      <c r="B1091" s="114" t="s">
        <v>12</v>
      </c>
      <c r="C1091" s="115">
        <v>30.0</v>
      </c>
      <c r="D1091" s="82"/>
      <c r="E1091" s="66">
        <f t="shared" si="451"/>
        <v>3</v>
      </c>
      <c r="F1091" s="13">
        <f t="shared" si="452"/>
        <v>31</v>
      </c>
      <c r="G1091" s="6">
        <f t="shared" si="453"/>
        <v>2</v>
      </c>
      <c r="I1091" s="115">
        <v>1.0</v>
      </c>
      <c r="J1091" s="115"/>
      <c r="K1091" s="115">
        <v>4.0</v>
      </c>
      <c r="L1091" s="115">
        <v>7.0</v>
      </c>
      <c r="M1091" s="115">
        <v>5.0</v>
      </c>
      <c r="N1091" s="155">
        <v>2.0</v>
      </c>
      <c r="O1091" s="115">
        <v>5.0</v>
      </c>
      <c r="P1091" s="115">
        <v>3.0</v>
      </c>
      <c r="Q1091" s="115">
        <v>4.0</v>
      </c>
      <c r="R1091" s="90" t="s">
        <v>12</v>
      </c>
      <c r="S1091" s="67">
        <v>6.0</v>
      </c>
      <c r="T1091" s="66">
        <f t="shared" si="454"/>
        <v>0</v>
      </c>
      <c r="V1091" s="67"/>
      <c r="AB1091" s="139"/>
      <c r="AC1091" s="139"/>
      <c r="AD1091" s="164"/>
      <c r="AE1091" s="160"/>
    </row>
    <row r="1092">
      <c r="A1092" s="11">
        <v>46162.0</v>
      </c>
      <c r="B1092" s="13" t="s">
        <v>13</v>
      </c>
      <c r="C1092" s="4">
        <v>35.0</v>
      </c>
      <c r="D1092" s="82">
        <v>2.0</v>
      </c>
      <c r="E1092" s="66">
        <f t="shared" si="451"/>
        <v>2</v>
      </c>
      <c r="F1092" s="13">
        <f t="shared" si="452"/>
        <v>36</v>
      </c>
      <c r="G1092" s="6">
        <f t="shared" si="453"/>
        <v>3</v>
      </c>
      <c r="I1092" s="4">
        <v>1.0</v>
      </c>
      <c r="K1092" s="13">
        <v>4.0</v>
      </c>
      <c r="L1092" s="13">
        <v>5.0</v>
      </c>
      <c r="M1092" s="4">
        <v>9.0</v>
      </c>
      <c r="N1092" s="155">
        <v>3.0</v>
      </c>
      <c r="O1092" s="4">
        <v>5.0</v>
      </c>
      <c r="P1092" s="4">
        <v>4.0</v>
      </c>
      <c r="Q1092" s="4">
        <v>5.0</v>
      </c>
      <c r="R1092" s="90" t="s">
        <v>13</v>
      </c>
      <c r="S1092" s="67">
        <v>7.0</v>
      </c>
      <c r="T1092" s="66">
        <f t="shared" si="454"/>
        <v>0</v>
      </c>
      <c r="V1092" s="67"/>
      <c r="AB1092" s="140"/>
      <c r="AC1092" s="140"/>
      <c r="AD1092" s="165"/>
      <c r="AE1092" s="160"/>
    </row>
    <row r="1093">
      <c r="A1093" s="11">
        <v>46162.0</v>
      </c>
      <c r="B1093" s="114" t="s">
        <v>14</v>
      </c>
      <c r="C1093" s="115">
        <v>25.0</v>
      </c>
      <c r="D1093" s="6"/>
      <c r="E1093" s="66">
        <f t="shared" si="451"/>
        <v>4</v>
      </c>
      <c r="F1093" s="13">
        <f t="shared" si="452"/>
        <v>28</v>
      </c>
      <c r="G1093" s="6">
        <f t="shared" si="453"/>
        <v>1</v>
      </c>
      <c r="I1093" s="115">
        <v>2.0</v>
      </c>
      <c r="J1093" s="115"/>
      <c r="K1093" s="115">
        <v>5.0</v>
      </c>
      <c r="L1093" s="115">
        <v>5.0</v>
      </c>
      <c r="M1093" s="115">
        <v>5.0</v>
      </c>
      <c r="N1093" s="155">
        <v>1.0</v>
      </c>
      <c r="O1093" s="115">
        <v>3.0</v>
      </c>
      <c r="P1093" s="115">
        <v>3.0</v>
      </c>
      <c r="Q1093" s="115">
        <v>4.0</v>
      </c>
      <c r="R1093" s="90" t="s">
        <v>14</v>
      </c>
      <c r="S1093" s="67"/>
      <c r="T1093" s="66">
        <f t="shared" si="454"/>
        <v>0</v>
      </c>
      <c r="V1093" s="67"/>
      <c r="AB1093" s="139"/>
      <c r="AC1093" s="139"/>
      <c r="AD1093" s="164"/>
      <c r="AE1093" s="160"/>
    </row>
    <row r="1094">
      <c r="A1094" s="11">
        <v>46162.0</v>
      </c>
      <c r="B1094" s="13" t="s">
        <v>15</v>
      </c>
      <c r="C1094" s="4">
        <v>250.0</v>
      </c>
      <c r="D1094" s="82">
        <v>4.0</v>
      </c>
      <c r="E1094" s="66">
        <f t="shared" si="451"/>
        <v>29</v>
      </c>
      <c r="F1094" s="13">
        <f t="shared" si="452"/>
        <v>238</v>
      </c>
      <c r="G1094" s="6">
        <f t="shared" si="453"/>
        <v>45</v>
      </c>
      <c r="I1094" s="4">
        <v>24.0</v>
      </c>
      <c r="K1094" s="4">
        <v>28.0</v>
      </c>
      <c r="L1094" s="13">
        <v>35.0</v>
      </c>
      <c r="M1094" s="4">
        <v>40.0</v>
      </c>
      <c r="N1094" s="155">
        <v>20.0</v>
      </c>
      <c r="O1094" s="4">
        <v>31.0</v>
      </c>
      <c r="P1094" s="4">
        <v>20.0</v>
      </c>
      <c r="Q1094" s="4">
        <v>40.0</v>
      </c>
      <c r="R1094" s="90" t="s">
        <v>15</v>
      </c>
      <c r="S1094" s="67">
        <f>77+19</f>
        <v>96</v>
      </c>
      <c r="T1094" s="66">
        <f t="shared" si="454"/>
        <v>5</v>
      </c>
      <c r="V1094" s="67"/>
      <c r="X1094" s="4">
        <v>1.0</v>
      </c>
      <c r="AB1094" s="140"/>
      <c r="AC1094" s="140">
        <v>2.0</v>
      </c>
      <c r="AD1094" s="165">
        <v>2.0</v>
      </c>
      <c r="AE1094" s="160"/>
    </row>
    <row r="1095">
      <c r="A1095" s="11">
        <v>46162.0</v>
      </c>
      <c r="B1095" s="4" t="s">
        <v>16</v>
      </c>
      <c r="C1095" s="13">
        <f t="shared" ref="C1095:D1095" si="455">sum(C1083:C1094)</f>
        <v>555</v>
      </c>
      <c r="D1095" s="6">
        <f t="shared" si="455"/>
        <v>17</v>
      </c>
      <c r="F1095" s="13">
        <f t="shared" ref="F1095:G1095" si="456">sum(F1083:F1094)</f>
        <v>624</v>
      </c>
      <c r="G1095" s="6">
        <f t="shared" si="456"/>
        <v>65</v>
      </c>
      <c r="I1095" s="157">
        <f t="shared" ref="I1095:Q1095" si="457">sum(I1083:I1094)</f>
        <v>44</v>
      </c>
      <c r="J1095" s="157">
        <f t="shared" si="457"/>
        <v>0</v>
      </c>
      <c r="K1095" s="157">
        <f t="shared" si="457"/>
        <v>72</v>
      </c>
      <c r="L1095" s="157">
        <f t="shared" si="457"/>
        <v>101</v>
      </c>
      <c r="M1095" s="157">
        <f t="shared" si="457"/>
        <v>111</v>
      </c>
      <c r="N1095" s="157">
        <f t="shared" si="457"/>
        <v>43</v>
      </c>
      <c r="O1095" s="157">
        <f t="shared" si="457"/>
        <v>82</v>
      </c>
      <c r="P1095" s="157">
        <f t="shared" si="457"/>
        <v>68</v>
      </c>
      <c r="Q1095" s="157">
        <f t="shared" si="457"/>
        <v>103</v>
      </c>
      <c r="R1095" s="135"/>
      <c r="S1095" s="136">
        <f t="shared" ref="S1095:AD1095" si="458">sum(S1083:S1094)</f>
        <v>132</v>
      </c>
      <c r="T1095" s="136">
        <f t="shared" si="458"/>
        <v>18</v>
      </c>
      <c r="U1095" s="135">
        <f t="shared" si="458"/>
        <v>0</v>
      </c>
      <c r="V1095" s="136">
        <f t="shared" si="458"/>
        <v>0</v>
      </c>
      <c r="W1095" s="135">
        <f t="shared" si="458"/>
        <v>0</v>
      </c>
      <c r="X1095" s="135">
        <f t="shared" si="458"/>
        <v>4</v>
      </c>
      <c r="Y1095" s="135">
        <f t="shared" si="458"/>
        <v>0</v>
      </c>
      <c r="Z1095" s="135">
        <f t="shared" si="458"/>
        <v>0</v>
      </c>
      <c r="AA1095" s="135">
        <f t="shared" si="458"/>
        <v>0</v>
      </c>
      <c r="AB1095" s="135">
        <f t="shared" si="458"/>
        <v>0</v>
      </c>
      <c r="AC1095" s="135">
        <f t="shared" si="458"/>
        <v>8</v>
      </c>
      <c r="AD1095" s="135">
        <f t="shared" si="458"/>
        <v>6</v>
      </c>
      <c r="AE1095" s="160"/>
    </row>
    <row r="1096">
      <c r="D1096" s="82">
        <v>100.0</v>
      </c>
      <c r="E1096" s="4">
        <v>3.0</v>
      </c>
      <c r="I1096" s="13">
        <f t="shared" ref="I1096:Q1096" si="459">I1095-U1095</f>
        <v>44</v>
      </c>
      <c r="J1096" s="66">
        <f t="shared" si="459"/>
        <v>0</v>
      </c>
      <c r="K1096" s="13">
        <f t="shared" si="459"/>
        <v>72</v>
      </c>
      <c r="L1096" s="13">
        <f t="shared" si="459"/>
        <v>97</v>
      </c>
      <c r="M1096" s="13">
        <f t="shared" si="459"/>
        <v>111</v>
      </c>
      <c r="N1096" s="13">
        <f t="shared" si="459"/>
        <v>43</v>
      </c>
      <c r="O1096" s="13">
        <f t="shared" si="459"/>
        <v>82</v>
      </c>
      <c r="P1096" s="13">
        <f t="shared" si="459"/>
        <v>68</v>
      </c>
      <c r="Q1096" s="13">
        <f t="shared" si="459"/>
        <v>95</v>
      </c>
      <c r="AC1096" s="4" t="s">
        <v>284</v>
      </c>
      <c r="AD1096" s="160"/>
      <c r="AE1096" s="160"/>
    </row>
    <row r="1097">
      <c r="D1097" s="4">
        <v>555.0</v>
      </c>
      <c r="E1097" s="13">
        <f>D1097*3/100</f>
        <v>16.65</v>
      </c>
      <c r="I1097" s="97"/>
      <c r="J1097" s="97"/>
      <c r="K1097" s="97"/>
      <c r="L1097" s="160"/>
      <c r="M1097" s="97"/>
      <c r="N1097" s="97"/>
      <c r="O1097" s="97"/>
      <c r="P1097" s="97"/>
      <c r="Q1097" s="97"/>
      <c r="R1097" s="160"/>
      <c r="S1097" s="160"/>
      <c r="T1097" s="160"/>
      <c r="U1097" s="160"/>
      <c r="V1097" s="160"/>
      <c r="W1097" s="160"/>
      <c r="X1097" s="160"/>
      <c r="Y1097" s="160"/>
      <c r="Z1097" s="160"/>
      <c r="AA1097" s="160"/>
      <c r="AB1097" s="160"/>
      <c r="AC1097" s="160"/>
      <c r="AD1097" s="160"/>
      <c r="AE1097" s="160"/>
    </row>
    <row r="1098">
      <c r="D1098" s="6"/>
      <c r="F1098" s="4" t="s">
        <v>16</v>
      </c>
      <c r="G1098" s="4" t="s">
        <v>251</v>
      </c>
      <c r="H1098" s="75" t="s">
        <v>253</v>
      </c>
      <c r="I1098" s="4" t="s">
        <v>93</v>
      </c>
      <c r="J1098" s="4" t="s">
        <v>227</v>
      </c>
      <c r="K1098" s="4" t="s">
        <v>89</v>
      </c>
      <c r="L1098" s="4" t="s">
        <v>80</v>
      </c>
      <c r="M1098" s="4" t="s">
        <v>81</v>
      </c>
      <c r="N1098" s="4" t="s">
        <v>232</v>
      </c>
      <c r="O1098" s="4" t="s">
        <v>180</v>
      </c>
      <c r="P1098" s="4" t="s">
        <v>264</v>
      </c>
      <c r="Q1098" s="4" t="s">
        <v>280</v>
      </c>
      <c r="R1098" s="127" t="s">
        <v>236</v>
      </c>
      <c r="S1098" s="128" t="s">
        <v>233</v>
      </c>
      <c r="T1098" s="128" t="s">
        <v>234</v>
      </c>
      <c r="U1098" s="128" t="s">
        <v>238</v>
      </c>
      <c r="V1098" s="128" t="s">
        <v>231</v>
      </c>
      <c r="W1098" s="128" t="s">
        <v>239</v>
      </c>
      <c r="X1098" s="128" t="s">
        <v>246</v>
      </c>
      <c r="Y1098" s="128" t="s">
        <v>247</v>
      </c>
      <c r="Z1098" s="128" t="s">
        <v>248</v>
      </c>
      <c r="AA1098" s="128" t="s">
        <v>267</v>
      </c>
      <c r="AB1098" s="130" t="s">
        <v>268</v>
      </c>
      <c r="AC1098" s="130" t="s">
        <v>169</v>
      </c>
      <c r="AD1098" s="161" t="s">
        <v>285</v>
      </c>
      <c r="AE1098" s="160"/>
    </row>
    <row r="1099">
      <c r="B1099" s="114" t="s">
        <v>4</v>
      </c>
      <c r="D1099" s="6"/>
      <c r="F1099" s="13">
        <f t="shared" ref="F1099:F1110" si="460">sum(I1099:Q1099)</f>
        <v>10</v>
      </c>
      <c r="G1099" s="66">
        <f t="shared" ref="G1099:G1110" si="461">S1083+T1083</f>
        <v>10</v>
      </c>
      <c r="H1099" s="119">
        <f t="shared" ref="H1099:H1110" si="462">G1099-sum(I1099:Q1099)</f>
        <v>0</v>
      </c>
      <c r="K1099" s="4">
        <v>3.0</v>
      </c>
      <c r="L1099" s="150"/>
      <c r="M1099" s="67">
        <v>2.0</v>
      </c>
      <c r="O1099" s="67">
        <v>3.0</v>
      </c>
      <c r="Q1099" s="4">
        <v>2.0</v>
      </c>
      <c r="R1099" s="154" t="s">
        <v>4</v>
      </c>
      <c r="S1099" s="67"/>
      <c r="T1099" s="66">
        <f t="shared" ref="T1099:T1110" si="463">sum(U1099:AD1099)</f>
        <v>0</v>
      </c>
      <c r="V1099" s="67"/>
      <c r="AB1099" s="138"/>
      <c r="AC1099" s="138"/>
      <c r="AD1099" s="161"/>
      <c r="AE1099" s="160"/>
    </row>
    <row r="1100">
      <c r="B1100" s="13" t="s">
        <v>5</v>
      </c>
      <c r="D1100" s="6"/>
      <c r="F1100" s="13">
        <f t="shared" si="460"/>
        <v>7</v>
      </c>
      <c r="G1100" s="66">
        <f t="shared" si="461"/>
        <v>7</v>
      </c>
      <c r="H1100" s="119">
        <f t="shared" si="462"/>
        <v>0</v>
      </c>
      <c r="K1100" s="4">
        <v>1.0</v>
      </c>
      <c r="L1100" s="150"/>
      <c r="M1100" s="67">
        <v>2.0</v>
      </c>
      <c r="O1100" s="4">
        <v>2.0</v>
      </c>
      <c r="Q1100" s="4">
        <v>2.0</v>
      </c>
      <c r="R1100" s="154" t="s">
        <v>5</v>
      </c>
      <c r="S1100" s="67"/>
      <c r="T1100" s="66">
        <f t="shared" si="463"/>
        <v>0</v>
      </c>
      <c r="V1100" s="67"/>
      <c r="AB1100" s="140"/>
      <c r="AC1100" s="140"/>
      <c r="AD1100" s="162"/>
      <c r="AE1100" s="160"/>
    </row>
    <row r="1101">
      <c r="B1101" s="114" t="s">
        <v>6</v>
      </c>
      <c r="D1101" s="6"/>
      <c r="F1101" s="13">
        <f t="shared" si="460"/>
        <v>3</v>
      </c>
      <c r="G1101" s="66">
        <f t="shared" si="461"/>
        <v>3</v>
      </c>
      <c r="H1101" s="119">
        <f t="shared" si="462"/>
        <v>0</v>
      </c>
      <c r="K1101" s="4">
        <v>1.0</v>
      </c>
      <c r="L1101" s="150"/>
      <c r="M1101" s="67"/>
      <c r="O1101" s="67">
        <v>1.0</v>
      </c>
      <c r="Q1101" s="4">
        <v>1.0</v>
      </c>
      <c r="R1101" s="154" t="s">
        <v>6</v>
      </c>
      <c r="S1101" s="67"/>
      <c r="T1101" s="66">
        <f t="shared" si="463"/>
        <v>0</v>
      </c>
      <c r="V1101" s="67"/>
      <c r="AB1101" s="139"/>
      <c r="AC1101" s="139"/>
      <c r="AD1101" s="163"/>
      <c r="AE1101" s="160"/>
    </row>
    <row r="1102">
      <c r="B1102" s="13" t="s">
        <v>7</v>
      </c>
      <c r="D1102" s="6"/>
      <c r="F1102" s="13">
        <f t="shared" si="460"/>
        <v>3</v>
      </c>
      <c r="G1102" s="66">
        <f t="shared" si="461"/>
        <v>3</v>
      </c>
      <c r="H1102" s="119">
        <f t="shared" si="462"/>
        <v>0</v>
      </c>
      <c r="K1102" s="4">
        <v>1.0</v>
      </c>
      <c r="L1102" s="150"/>
      <c r="M1102" s="67"/>
      <c r="O1102" s="67">
        <v>1.0</v>
      </c>
      <c r="Q1102" s="4">
        <v>1.0</v>
      </c>
      <c r="R1102" s="154" t="s">
        <v>7</v>
      </c>
      <c r="S1102" s="67"/>
      <c r="T1102" s="66">
        <f t="shared" si="463"/>
        <v>1</v>
      </c>
      <c r="V1102" s="67"/>
      <c r="AB1102" s="140"/>
      <c r="AC1102" s="140"/>
      <c r="AD1102" s="165">
        <v>1.0</v>
      </c>
      <c r="AE1102" s="160"/>
    </row>
    <row r="1103">
      <c r="B1103" s="114" t="s">
        <v>8</v>
      </c>
      <c r="D1103" s="6"/>
      <c r="F1103" s="13">
        <f t="shared" si="460"/>
        <v>3</v>
      </c>
      <c r="G1103" s="66">
        <f t="shared" si="461"/>
        <v>3</v>
      </c>
      <c r="H1103" s="119">
        <f t="shared" si="462"/>
        <v>0</v>
      </c>
      <c r="K1103" s="4">
        <v>1.0</v>
      </c>
      <c r="L1103" s="150"/>
      <c r="M1103" s="67">
        <v>1.0</v>
      </c>
      <c r="O1103" s="67">
        <v>1.0</v>
      </c>
      <c r="R1103" s="154" t="s">
        <v>8</v>
      </c>
      <c r="S1103" s="67"/>
      <c r="T1103" s="66">
        <f t="shared" si="463"/>
        <v>0</v>
      </c>
      <c r="V1103" s="67"/>
      <c r="AB1103" s="134"/>
      <c r="AC1103" s="134"/>
      <c r="AD1103" s="164"/>
      <c r="AE1103" s="160"/>
    </row>
    <row r="1104">
      <c r="B1104" s="13" t="s">
        <v>9</v>
      </c>
      <c r="D1104" s="6"/>
      <c r="F1104" s="13">
        <f t="shared" si="460"/>
        <v>7</v>
      </c>
      <c r="G1104" s="66">
        <f t="shared" si="461"/>
        <v>7</v>
      </c>
      <c r="H1104" s="119">
        <f t="shared" si="462"/>
        <v>0</v>
      </c>
      <c r="K1104" s="4">
        <v>1.0</v>
      </c>
      <c r="L1104" s="150"/>
      <c r="M1104" s="4">
        <v>2.0</v>
      </c>
      <c r="O1104" s="67">
        <v>2.0</v>
      </c>
      <c r="Q1104" s="4">
        <v>2.0</v>
      </c>
      <c r="R1104" s="154" t="s">
        <v>9</v>
      </c>
      <c r="S1104" s="67"/>
      <c r="T1104" s="66">
        <f t="shared" si="463"/>
        <v>0</v>
      </c>
      <c r="V1104" s="67"/>
      <c r="AB1104" s="133"/>
      <c r="AC1104" s="133"/>
      <c r="AD1104" s="162"/>
      <c r="AE1104" s="160"/>
    </row>
    <row r="1105">
      <c r="B1105" s="114" t="s">
        <v>10</v>
      </c>
      <c r="D1105" s="6"/>
      <c r="F1105" s="13">
        <f t="shared" si="460"/>
        <v>3</v>
      </c>
      <c r="G1105" s="66">
        <f t="shared" si="461"/>
        <v>3</v>
      </c>
      <c r="H1105" s="119">
        <f t="shared" si="462"/>
        <v>0</v>
      </c>
      <c r="L1105" s="150"/>
      <c r="M1105" s="67">
        <v>1.0</v>
      </c>
      <c r="O1105" s="67">
        <v>1.0</v>
      </c>
      <c r="Q1105" s="4">
        <v>1.0</v>
      </c>
      <c r="R1105" s="154" t="s">
        <v>10</v>
      </c>
      <c r="S1105" s="67">
        <v>3.0</v>
      </c>
      <c r="T1105" s="66">
        <f t="shared" si="463"/>
        <v>0</v>
      </c>
      <c r="V1105" s="67"/>
      <c r="AB1105" s="134"/>
      <c r="AC1105" s="134"/>
      <c r="AD1105" s="164"/>
      <c r="AE1105" s="160"/>
    </row>
    <row r="1106">
      <c r="B1106" s="13" t="s">
        <v>11</v>
      </c>
      <c r="D1106" s="6"/>
      <c r="F1106" s="13">
        <f t="shared" si="460"/>
        <v>0</v>
      </c>
      <c r="G1106" s="66">
        <f t="shared" si="461"/>
        <v>0</v>
      </c>
      <c r="H1106" s="119">
        <f t="shared" si="462"/>
        <v>0</v>
      </c>
      <c r="L1106" s="150"/>
      <c r="M1106" s="67"/>
      <c r="O1106" s="67"/>
      <c r="R1106" s="154" t="s">
        <v>11</v>
      </c>
      <c r="S1106" s="67"/>
      <c r="T1106" s="66">
        <f t="shared" si="463"/>
        <v>0</v>
      </c>
      <c r="V1106" s="67"/>
      <c r="AB1106" s="140"/>
      <c r="AC1106" s="140"/>
      <c r="AD1106" s="165"/>
      <c r="AE1106" s="160"/>
    </row>
    <row r="1107">
      <c r="B1107" s="114" t="s">
        <v>12</v>
      </c>
      <c r="D1107" s="6"/>
      <c r="F1107" s="13">
        <f t="shared" si="460"/>
        <v>6</v>
      </c>
      <c r="G1107" s="66">
        <f t="shared" si="461"/>
        <v>6</v>
      </c>
      <c r="H1107" s="119">
        <f t="shared" si="462"/>
        <v>0</v>
      </c>
      <c r="K1107" s="4">
        <v>1.0</v>
      </c>
      <c r="L1107" s="152"/>
      <c r="M1107" s="4">
        <v>2.0</v>
      </c>
      <c r="O1107" s="67">
        <v>2.0</v>
      </c>
      <c r="Q1107" s="4">
        <v>1.0</v>
      </c>
      <c r="R1107" s="154" t="s">
        <v>12</v>
      </c>
      <c r="S1107" s="67"/>
      <c r="T1107" s="66">
        <f t="shared" si="463"/>
        <v>0</v>
      </c>
      <c r="V1107" s="66"/>
      <c r="AB1107" s="139"/>
      <c r="AC1107" s="139"/>
      <c r="AD1107" s="164"/>
      <c r="AE1107" s="160"/>
    </row>
    <row r="1108">
      <c r="B1108" s="13" t="s">
        <v>13</v>
      </c>
      <c r="D1108" s="6"/>
      <c r="F1108" s="13">
        <f t="shared" si="460"/>
        <v>7</v>
      </c>
      <c r="G1108" s="66">
        <f t="shared" si="461"/>
        <v>7</v>
      </c>
      <c r="H1108" s="119">
        <f t="shared" si="462"/>
        <v>0</v>
      </c>
      <c r="K1108" s="4">
        <v>2.0</v>
      </c>
      <c r="L1108" s="150"/>
      <c r="M1108" s="4">
        <v>2.0</v>
      </c>
      <c r="O1108" s="4">
        <v>1.0</v>
      </c>
      <c r="Q1108" s="4">
        <v>2.0</v>
      </c>
      <c r="R1108" s="154" t="s">
        <v>13</v>
      </c>
      <c r="S1108" s="67"/>
      <c r="T1108" s="66">
        <f t="shared" si="463"/>
        <v>2</v>
      </c>
      <c r="V1108" s="67"/>
      <c r="AB1108" s="140"/>
      <c r="AC1108" s="140"/>
      <c r="AD1108" s="165">
        <v>2.0</v>
      </c>
      <c r="AE1108" s="160"/>
    </row>
    <row r="1109">
      <c r="B1109" s="114" t="s">
        <v>14</v>
      </c>
      <c r="F1109" s="13">
        <f t="shared" si="460"/>
        <v>0</v>
      </c>
      <c r="G1109" s="66">
        <f t="shared" si="461"/>
        <v>0</v>
      </c>
      <c r="H1109" s="119">
        <f t="shared" si="462"/>
        <v>0</v>
      </c>
      <c r="K1109" s="67"/>
      <c r="L1109" s="152"/>
      <c r="O1109" s="67"/>
      <c r="R1109" s="154" t="s">
        <v>14</v>
      </c>
      <c r="T1109" s="66">
        <f t="shared" si="463"/>
        <v>0</v>
      </c>
      <c r="V1109" s="67"/>
      <c r="AB1109" s="134"/>
      <c r="AC1109" s="134"/>
      <c r="AD1109" s="164"/>
      <c r="AE1109" s="160"/>
    </row>
    <row r="1110">
      <c r="B1110" s="13" t="s">
        <v>15</v>
      </c>
      <c r="F1110" s="13">
        <f t="shared" si="460"/>
        <v>84</v>
      </c>
      <c r="G1110" s="66">
        <f t="shared" si="461"/>
        <v>101</v>
      </c>
      <c r="H1110" s="119">
        <f t="shared" si="462"/>
        <v>17</v>
      </c>
      <c r="K1110" s="4">
        <v>20.0</v>
      </c>
      <c r="L1110" s="150"/>
      <c r="M1110" s="4">
        <v>22.0</v>
      </c>
      <c r="O1110" s="67">
        <v>20.0</v>
      </c>
      <c r="Q1110" s="4">
        <v>22.0</v>
      </c>
      <c r="R1110" s="154" t="s">
        <v>15</v>
      </c>
      <c r="S1110" s="67">
        <v>13.0</v>
      </c>
      <c r="T1110" s="66">
        <f t="shared" si="463"/>
        <v>27</v>
      </c>
      <c r="V1110" s="67"/>
      <c r="AB1110" s="140"/>
      <c r="AC1110" s="140"/>
      <c r="AD1110" s="165">
        <f>3+24</f>
        <v>27</v>
      </c>
      <c r="AE1110" s="160"/>
    </row>
    <row r="1111">
      <c r="F1111" s="13">
        <f t="shared" ref="F1111:Q1111" si="464">sum(F1099:F1110)</f>
        <v>133</v>
      </c>
      <c r="G1111" s="66">
        <f t="shared" si="464"/>
        <v>150</v>
      </c>
      <c r="H1111" s="66">
        <f t="shared" si="464"/>
        <v>17</v>
      </c>
      <c r="I1111" s="97">
        <f t="shared" si="464"/>
        <v>0</v>
      </c>
      <c r="J1111" s="97">
        <f t="shared" si="464"/>
        <v>0</v>
      </c>
      <c r="K1111" s="97">
        <f t="shared" si="464"/>
        <v>31</v>
      </c>
      <c r="L1111" s="153">
        <f t="shared" si="464"/>
        <v>0</v>
      </c>
      <c r="M1111" s="118">
        <f t="shared" si="464"/>
        <v>34</v>
      </c>
      <c r="N1111" s="97">
        <f t="shared" si="464"/>
        <v>0</v>
      </c>
      <c r="O1111" s="118">
        <f t="shared" si="464"/>
        <v>34</v>
      </c>
      <c r="P1111" s="97">
        <f t="shared" si="464"/>
        <v>0</v>
      </c>
      <c r="Q1111" s="97">
        <f t="shared" si="464"/>
        <v>34</v>
      </c>
      <c r="R1111" s="135"/>
      <c r="S1111" s="136">
        <f t="shared" ref="S1111:V1111" si="465">sum(S1099:S1110)</f>
        <v>16</v>
      </c>
      <c r="T1111" s="136">
        <f t="shared" si="465"/>
        <v>30</v>
      </c>
      <c r="U1111" s="135">
        <f t="shared" si="465"/>
        <v>0</v>
      </c>
      <c r="V1111" s="136">
        <f t="shared" si="465"/>
        <v>0</v>
      </c>
      <c r="W1111" s="137">
        <v>4.0</v>
      </c>
      <c r="X1111" s="135">
        <f t="shared" ref="X1111:AD1111" si="466">sum(X1099:X1110)</f>
        <v>0</v>
      </c>
      <c r="Y1111" s="135">
        <f t="shared" si="466"/>
        <v>0</v>
      </c>
      <c r="Z1111" s="135">
        <f t="shared" si="466"/>
        <v>0</v>
      </c>
      <c r="AA1111" s="135">
        <f t="shared" si="466"/>
        <v>0</v>
      </c>
      <c r="AB1111" s="135">
        <f t="shared" si="466"/>
        <v>0</v>
      </c>
      <c r="AC1111" s="135">
        <f t="shared" si="466"/>
        <v>0</v>
      </c>
      <c r="AD1111" s="135">
        <f t="shared" si="466"/>
        <v>30</v>
      </c>
      <c r="AE1111" s="160"/>
    </row>
    <row r="1112">
      <c r="I1112" s="97"/>
      <c r="J1112" s="97"/>
      <c r="K1112" s="97"/>
      <c r="L1112" s="160"/>
      <c r="M1112" s="97"/>
      <c r="N1112" s="97"/>
      <c r="O1112" s="97"/>
      <c r="P1112" s="97"/>
      <c r="Q1112" s="97"/>
      <c r="R1112" s="160"/>
      <c r="S1112" s="160"/>
      <c r="T1112" s="160"/>
      <c r="U1112" s="160"/>
      <c r="V1112" s="160"/>
      <c r="W1112" s="160"/>
      <c r="X1112" s="160"/>
      <c r="Y1112" s="160"/>
      <c r="Z1112" s="160"/>
      <c r="AA1112" s="160"/>
      <c r="AB1112" s="160"/>
      <c r="AC1112" s="160"/>
      <c r="AD1112" s="160"/>
      <c r="AE1112" s="160"/>
    </row>
    <row r="1113">
      <c r="I1113" s="97"/>
      <c r="J1113" s="97"/>
      <c r="K1113" s="97"/>
      <c r="L1113" s="160"/>
      <c r="M1113" s="97"/>
      <c r="N1113" s="97"/>
      <c r="O1113" s="97"/>
      <c r="P1113" s="97"/>
      <c r="Q1113" s="97"/>
      <c r="R1113" s="160"/>
      <c r="S1113" s="160"/>
      <c r="T1113" s="160"/>
      <c r="U1113" s="160"/>
      <c r="V1113" s="160"/>
      <c r="W1113" s="160"/>
      <c r="X1113" s="160"/>
      <c r="Y1113" s="160"/>
      <c r="Z1113" s="160"/>
      <c r="AA1113" s="160"/>
      <c r="AB1113" s="160"/>
      <c r="AC1113" s="160"/>
      <c r="AD1113" s="160"/>
      <c r="AE1113" s="160"/>
    </row>
    <row r="1114">
      <c r="C1114" s="4" t="s">
        <v>270</v>
      </c>
      <c r="D1114" s="82" t="s">
        <v>2</v>
      </c>
      <c r="E1114" s="4" t="s">
        <v>272</v>
      </c>
      <c r="F1114" s="4" t="s">
        <v>16</v>
      </c>
      <c r="G1114" s="4" t="s">
        <v>276</v>
      </c>
      <c r="H1114" s="4" t="s">
        <v>277</v>
      </c>
      <c r="I1114" s="4" t="s">
        <v>93</v>
      </c>
      <c r="J1114" s="4" t="s">
        <v>286</v>
      </c>
      <c r="K1114" s="4" t="s">
        <v>89</v>
      </c>
      <c r="L1114" s="4" t="s">
        <v>80</v>
      </c>
      <c r="M1114" s="4" t="s">
        <v>81</v>
      </c>
      <c r="N1114" s="4" t="s">
        <v>232</v>
      </c>
      <c r="O1114" s="4" t="s">
        <v>180</v>
      </c>
      <c r="P1114" s="4" t="s">
        <v>264</v>
      </c>
      <c r="Q1114" s="4" t="s">
        <v>169</v>
      </c>
      <c r="R1114" s="127" t="s">
        <v>236</v>
      </c>
      <c r="S1114" s="128" t="s">
        <v>233</v>
      </c>
      <c r="T1114" s="128" t="s">
        <v>234</v>
      </c>
      <c r="U1114" s="128" t="s">
        <v>238</v>
      </c>
      <c r="V1114" s="128" t="s">
        <v>231</v>
      </c>
      <c r="W1114" s="128" t="s">
        <v>239</v>
      </c>
      <c r="X1114" s="128" t="s">
        <v>246</v>
      </c>
      <c r="Y1114" s="128" t="s">
        <v>247</v>
      </c>
      <c r="Z1114" s="128" t="s">
        <v>248</v>
      </c>
      <c r="AA1114" s="128" t="s">
        <v>283</v>
      </c>
      <c r="AB1114" s="130" t="s">
        <v>268</v>
      </c>
      <c r="AC1114" s="130" t="s">
        <v>169</v>
      </c>
      <c r="AD1114" s="161" t="s">
        <v>285</v>
      </c>
      <c r="AE1114" s="160"/>
    </row>
    <row r="1115">
      <c r="A1115" s="11">
        <v>46163.0</v>
      </c>
      <c r="B1115" s="114" t="s">
        <v>4</v>
      </c>
      <c r="C1115" s="115">
        <v>50.0</v>
      </c>
      <c r="D1115" s="82">
        <v>2.0</v>
      </c>
      <c r="E1115" s="66">
        <f t="shared" ref="E1115:E1126" si="467">S1099+T1099</f>
        <v>0</v>
      </c>
      <c r="F1115" s="13">
        <f t="shared" ref="F1115:F1126" si="468">sum(H1115:P1115)+Q1115</f>
        <v>49</v>
      </c>
      <c r="G1115" s="6">
        <f t="shared" ref="G1115:G1126" si="469">C1115+D1115-F1115+E1115</f>
        <v>3</v>
      </c>
      <c r="I1115" s="115">
        <v>4.0</v>
      </c>
      <c r="J1115" s="115"/>
      <c r="K1115" s="115">
        <v>5.0</v>
      </c>
      <c r="L1115" s="115">
        <v>8.0</v>
      </c>
      <c r="M1115" s="115">
        <v>9.0</v>
      </c>
      <c r="N1115" s="115"/>
      <c r="O1115" s="115">
        <v>7.0</v>
      </c>
      <c r="P1115" s="115">
        <v>7.0</v>
      </c>
      <c r="Q1115" s="115">
        <v>9.0</v>
      </c>
      <c r="R1115" s="90" t="s">
        <v>4</v>
      </c>
      <c r="S1115" s="67">
        <v>3.0</v>
      </c>
      <c r="T1115" s="66">
        <f t="shared" ref="T1115:T1126" si="470">sum(U1115:AD1115)</f>
        <v>0</v>
      </c>
      <c r="V1115" s="67"/>
      <c r="AB1115" s="138"/>
      <c r="AC1115" s="138"/>
      <c r="AD1115" s="161"/>
      <c r="AE1115" s="160"/>
    </row>
    <row r="1116">
      <c r="A1116" s="11">
        <v>46163.0</v>
      </c>
      <c r="B1116" s="13" t="s">
        <v>5</v>
      </c>
      <c r="C1116" s="4">
        <v>30.0</v>
      </c>
      <c r="D1116" s="82">
        <v>1.0</v>
      </c>
      <c r="E1116" s="66">
        <f t="shared" si="467"/>
        <v>0</v>
      </c>
      <c r="F1116" s="13">
        <f t="shared" si="468"/>
        <v>31</v>
      </c>
      <c r="G1116" s="6">
        <f t="shared" si="469"/>
        <v>0</v>
      </c>
      <c r="I1116" s="4">
        <v>4.0</v>
      </c>
      <c r="K1116" s="4">
        <v>3.0</v>
      </c>
      <c r="L1116" s="13">
        <v>5.0</v>
      </c>
      <c r="M1116" s="13">
        <v>5.0</v>
      </c>
      <c r="O1116" s="4">
        <v>5.0</v>
      </c>
      <c r="P1116" s="4">
        <v>3.0</v>
      </c>
      <c r="Q1116" s="4">
        <v>6.0</v>
      </c>
      <c r="R1116" s="90" t="s">
        <v>5</v>
      </c>
      <c r="S1116" s="67"/>
      <c r="T1116" s="66">
        <f t="shared" si="470"/>
        <v>1</v>
      </c>
      <c r="V1116" s="67"/>
      <c r="AB1116" s="140">
        <v>1.0</v>
      </c>
      <c r="AC1116" s="140"/>
      <c r="AD1116" s="162"/>
      <c r="AE1116" s="160"/>
    </row>
    <row r="1117">
      <c r="A1117" s="11">
        <v>46163.0</v>
      </c>
      <c r="B1117" s="114" t="s">
        <v>6</v>
      </c>
      <c r="C1117" s="115">
        <v>27.0</v>
      </c>
      <c r="D1117" s="6"/>
      <c r="E1117" s="66">
        <f t="shared" si="467"/>
        <v>0</v>
      </c>
      <c r="F1117" s="13">
        <f t="shared" si="468"/>
        <v>25</v>
      </c>
      <c r="G1117" s="6">
        <f t="shared" si="469"/>
        <v>2</v>
      </c>
      <c r="I1117" s="115">
        <v>2.0</v>
      </c>
      <c r="J1117" s="115">
        <v>1.0</v>
      </c>
      <c r="K1117" s="115">
        <v>2.0</v>
      </c>
      <c r="L1117" s="115">
        <v>4.0</v>
      </c>
      <c r="M1117" s="115">
        <v>5.0</v>
      </c>
      <c r="N1117" s="115"/>
      <c r="O1117" s="115">
        <v>3.0</v>
      </c>
      <c r="P1117" s="115">
        <v>4.0</v>
      </c>
      <c r="Q1117" s="115">
        <v>4.0</v>
      </c>
      <c r="R1117" s="90" t="s">
        <v>6</v>
      </c>
      <c r="S1117" s="67">
        <v>2.0</v>
      </c>
      <c r="T1117" s="66">
        <f t="shared" si="470"/>
        <v>0</v>
      </c>
      <c r="V1117" s="67"/>
      <c r="AB1117" s="139"/>
      <c r="AC1117" s="139"/>
      <c r="AD1117" s="163"/>
      <c r="AE1117" s="160"/>
    </row>
    <row r="1118">
      <c r="A1118" s="11">
        <v>46163.0</v>
      </c>
      <c r="B1118" s="13" t="s">
        <v>7</v>
      </c>
      <c r="C1118" s="4">
        <v>27.0</v>
      </c>
      <c r="D1118" s="82">
        <v>2.0</v>
      </c>
      <c r="E1118" s="66">
        <f t="shared" si="467"/>
        <v>1</v>
      </c>
      <c r="F1118" s="13">
        <f t="shared" si="468"/>
        <v>27</v>
      </c>
      <c r="G1118" s="6">
        <f t="shared" si="469"/>
        <v>3</v>
      </c>
      <c r="I1118" s="4">
        <v>2.0</v>
      </c>
      <c r="J1118" s="4">
        <v>1.0</v>
      </c>
      <c r="K1118" s="4">
        <v>4.0</v>
      </c>
      <c r="L1118" s="13">
        <v>4.0</v>
      </c>
      <c r="M1118" s="4">
        <v>5.0</v>
      </c>
      <c r="O1118" s="4">
        <v>3.0</v>
      </c>
      <c r="P1118" s="4">
        <v>4.0</v>
      </c>
      <c r="Q1118" s="4">
        <v>4.0</v>
      </c>
      <c r="R1118" s="90" t="s">
        <v>7</v>
      </c>
      <c r="S1118" s="67">
        <v>4.0</v>
      </c>
      <c r="T1118" s="66">
        <f t="shared" si="470"/>
        <v>0</v>
      </c>
      <c r="V1118" s="67"/>
      <c r="AB1118" s="140"/>
      <c r="AC1118" s="140"/>
      <c r="AD1118" s="162"/>
      <c r="AE1118" s="160"/>
    </row>
    <row r="1119">
      <c r="A1119" s="11">
        <v>46163.0</v>
      </c>
      <c r="B1119" s="114" t="s">
        <v>8</v>
      </c>
      <c r="C1119" s="115">
        <v>55.0</v>
      </c>
      <c r="D1119" s="82">
        <v>2.0</v>
      </c>
      <c r="E1119" s="66">
        <f t="shared" si="467"/>
        <v>0</v>
      </c>
      <c r="F1119" s="13">
        <f t="shared" si="468"/>
        <v>52</v>
      </c>
      <c r="G1119" s="6">
        <f t="shared" si="469"/>
        <v>5</v>
      </c>
      <c r="I1119" s="115">
        <v>3.0</v>
      </c>
      <c r="J1119" s="115">
        <v>3.0</v>
      </c>
      <c r="K1119" s="115">
        <v>5.0</v>
      </c>
      <c r="L1119" s="115">
        <v>9.0</v>
      </c>
      <c r="M1119" s="115">
        <v>9.0</v>
      </c>
      <c r="N1119" s="115"/>
      <c r="O1119" s="115">
        <v>7.0</v>
      </c>
      <c r="P1119" s="115">
        <v>7.0</v>
      </c>
      <c r="Q1119" s="115">
        <v>9.0</v>
      </c>
      <c r="R1119" s="90" t="s">
        <v>8</v>
      </c>
      <c r="S1119" s="67">
        <v>5.0</v>
      </c>
      <c r="T1119" s="66">
        <f t="shared" si="470"/>
        <v>0</v>
      </c>
      <c r="V1119" s="67"/>
      <c r="AB1119" s="139"/>
      <c r="AC1119" s="139"/>
      <c r="AD1119" s="164"/>
      <c r="AE1119" s="160"/>
    </row>
    <row r="1120">
      <c r="A1120" s="11">
        <v>46163.0</v>
      </c>
      <c r="B1120" s="13" t="s">
        <v>9</v>
      </c>
      <c r="C1120" s="4">
        <v>55.0</v>
      </c>
      <c r="D1120" s="82">
        <v>6.0</v>
      </c>
      <c r="E1120" s="66">
        <f t="shared" si="467"/>
        <v>0</v>
      </c>
      <c r="F1120" s="13">
        <f t="shared" si="468"/>
        <v>58</v>
      </c>
      <c r="G1120" s="6">
        <f t="shared" si="469"/>
        <v>3</v>
      </c>
      <c r="I1120" s="4">
        <v>4.0</v>
      </c>
      <c r="J1120" s="4">
        <v>4.0</v>
      </c>
      <c r="K1120" s="4">
        <v>7.0</v>
      </c>
      <c r="L1120" s="4">
        <v>9.0</v>
      </c>
      <c r="M1120" s="4">
        <v>9.0</v>
      </c>
      <c r="O1120" s="4">
        <v>9.0</v>
      </c>
      <c r="P1120" s="4">
        <v>7.0</v>
      </c>
      <c r="Q1120" s="4">
        <v>9.0</v>
      </c>
      <c r="R1120" s="90" t="s">
        <v>9</v>
      </c>
      <c r="S1120" s="67">
        <v>3.0</v>
      </c>
      <c r="T1120" s="66">
        <f t="shared" si="470"/>
        <v>0</v>
      </c>
      <c r="V1120" s="67"/>
      <c r="AB1120" s="140"/>
      <c r="AC1120" s="140"/>
      <c r="AD1120" s="162"/>
      <c r="AE1120" s="160"/>
    </row>
    <row r="1121">
      <c r="A1121" s="11">
        <v>46163.0</v>
      </c>
      <c r="B1121" s="114" t="s">
        <v>10</v>
      </c>
      <c r="C1121" s="115">
        <v>31.0</v>
      </c>
      <c r="D1121" s="6"/>
      <c r="E1121" s="66">
        <f t="shared" si="467"/>
        <v>3</v>
      </c>
      <c r="F1121" s="13">
        <f t="shared" si="468"/>
        <v>34</v>
      </c>
      <c r="G1121" s="6">
        <f t="shared" si="469"/>
        <v>0</v>
      </c>
      <c r="I1121" s="115">
        <v>2.0</v>
      </c>
      <c r="J1121" s="115">
        <v>10.0</v>
      </c>
      <c r="K1121" s="115">
        <v>3.0</v>
      </c>
      <c r="L1121" s="115">
        <v>3.0</v>
      </c>
      <c r="M1121" s="115">
        <v>4.0</v>
      </c>
      <c r="N1121" s="115"/>
      <c r="O1121" s="115">
        <v>3.0</v>
      </c>
      <c r="P1121" s="115">
        <v>3.0</v>
      </c>
      <c r="Q1121" s="115">
        <v>6.0</v>
      </c>
      <c r="R1121" s="90" t="s">
        <v>10</v>
      </c>
      <c r="S1121" s="67"/>
      <c r="T1121" s="66">
        <f t="shared" si="470"/>
        <v>0</v>
      </c>
      <c r="V1121" s="67"/>
      <c r="AB1121" s="139"/>
      <c r="AC1121" s="139"/>
      <c r="AD1121" s="164"/>
      <c r="AE1121" s="160"/>
    </row>
    <row r="1122">
      <c r="A1122" s="11">
        <v>46163.0</v>
      </c>
      <c r="B1122" s="13" t="s">
        <v>11</v>
      </c>
      <c r="C1122" s="4">
        <v>26.0</v>
      </c>
      <c r="D1122" s="82"/>
      <c r="E1122" s="66">
        <f t="shared" si="467"/>
        <v>0</v>
      </c>
      <c r="F1122" s="13">
        <f t="shared" si="468"/>
        <v>26</v>
      </c>
      <c r="G1122" s="6">
        <f t="shared" si="469"/>
        <v>0</v>
      </c>
      <c r="I1122" s="4">
        <v>1.0</v>
      </c>
      <c r="K1122" s="4">
        <v>3.0</v>
      </c>
      <c r="L1122" s="4">
        <v>5.0</v>
      </c>
      <c r="M1122" s="4">
        <v>6.0</v>
      </c>
      <c r="O1122" s="13">
        <v>2.0</v>
      </c>
      <c r="P1122" s="4">
        <v>3.0</v>
      </c>
      <c r="Q1122" s="4">
        <v>6.0</v>
      </c>
      <c r="R1122" s="90" t="s">
        <v>11</v>
      </c>
      <c r="S1122" s="67"/>
      <c r="T1122" s="66">
        <f t="shared" si="470"/>
        <v>0</v>
      </c>
      <c r="V1122" s="67"/>
      <c r="AB1122" s="140"/>
      <c r="AC1122" s="140"/>
      <c r="AD1122" s="165"/>
      <c r="AE1122" s="160"/>
    </row>
    <row r="1123">
      <c r="A1123" s="11">
        <v>46163.0</v>
      </c>
      <c r="B1123" s="114" t="s">
        <v>12</v>
      </c>
      <c r="C1123" s="115">
        <v>30.0</v>
      </c>
      <c r="D1123" s="82">
        <v>2.0</v>
      </c>
      <c r="E1123" s="66">
        <f t="shared" si="467"/>
        <v>0</v>
      </c>
      <c r="F1123" s="13">
        <f t="shared" si="468"/>
        <v>32</v>
      </c>
      <c r="G1123" s="6">
        <f t="shared" si="469"/>
        <v>0</v>
      </c>
      <c r="I1123" s="115">
        <v>3.0</v>
      </c>
      <c r="J1123" s="115"/>
      <c r="K1123" s="115">
        <v>4.0</v>
      </c>
      <c r="L1123" s="115">
        <v>7.0</v>
      </c>
      <c r="M1123" s="115">
        <v>6.0</v>
      </c>
      <c r="N1123" s="115"/>
      <c r="O1123" s="115">
        <v>5.0</v>
      </c>
      <c r="P1123" s="115">
        <v>3.0</v>
      </c>
      <c r="Q1123" s="115">
        <v>4.0</v>
      </c>
      <c r="R1123" s="90" t="s">
        <v>12</v>
      </c>
      <c r="S1123" s="67"/>
      <c r="T1123" s="66">
        <f t="shared" si="470"/>
        <v>0</v>
      </c>
      <c r="V1123" s="67"/>
      <c r="AB1123" s="139"/>
      <c r="AC1123" s="139"/>
      <c r="AD1123" s="164"/>
      <c r="AE1123" s="160"/>
    </row>
    <row r="1124">
      <c r="A1124" s="11">
        <v>46163.0</v>
      </c>
      <c r="B1124" s="13" t="s">
        <v>13</v>
      </c>
      <c r="C1124" s="4">
        <v>40.0</v>
      </c>
      <c r="D1124" s="82"/>
      <c r="E1124" s="66">
        <f t="shared" si="467"/>
        <v>2</v>
      </c>
      <c r="F1124" s="13">
        <f t="shared" si="468"/>
        <v>38</v>
      </c>
      <c r="G1124" s="6">
        <f t="shared" si="469"/>
        <v>4</v>
      </c>
      <c r="I1124" s="4">
        <v>5.0</v>
      </c>
      <c r="K1124" s="13">
        <v>4.0</v>
      </c>
      <c r="L1124" s="13">
        <v>5.0</v>
      </c>
      <c r="M1124" s="4">
        <v>9.0</v>
      </c>
      <c r="O1124" s="4">
        <v>5.0</v>
      </c>
      <c r="P1124" s="4">
        <v>5.0</v>
      </c>
      <c r="Q1124" s="4">
        <v>5.0</v>
      </c>
      <c r="R1124" s="90" t="s">
        <v>13</v>
      </c>
      <c r="S1124" s="67">
        <v>4.0</v>
      </c>
      <c r="T1124" s="66">
        <f t="shared" si="470"/>
        <v>0</v>
      </c>
      <c r="V1124" s="67"/>
      <c r="AB1124" s="140"/>
      <c r="AC1124" s="140"/>
      <c r="AD1124" s="165"/>
      <c r="AE1124" s="160"/>
    </row>
    <row r="1125">
      <c r="A1125" s="11">
        <v>46163.0</v>
      </c>
      <c r="B1125" s="114" t="s">
        <v>14</v>
      </c>
      <c r="C1125" s="115">
        <v>29.0</v>
      </c>
      <c r="D1125" s="6"/>
      <c r="E1125" s="66">
        <f t="shared" si="467"/>
        <v>0</v>
      </c>
      <c r="F1125" s="13">
        <f t="shared" si="468"/>
        <v>29</v>
      </c>
      <c r="G1125" s="6">
        <f t="shared" si="469"/>
        <v>0</v>
      </c>
      <c r="I1125" s="115">
        <v>4.0</v>
      </c>
      <c r="J1125" s="115">
        <v>6.0</v>
      </c>
      <c r="K1125" s="115">
        <v>3.0</v>
      </c>
      <c r="L1125" s="115">
        <v>4.0</v>
      </c>
      <c r="M1125" s="115">
        <v>4.0</v>
      </c>
      <c r="N1125" s="115"/>
      <c r="O1125" s="115">
        <v>2.0</v>
      </c>
      <c r="P1125" s="115">
        <v>3.0</v>
      </c>
      <c r="Q1125" s="115">
        <v>3.0</v>
      </c>
      <c r="R1125" s="90" t="s">
        <v>14</v>
      </c>
      <c r="S1125" s="67"/>
      <c r="T1125" s="66">
        <f t="shared" si="470"/>
        <v>0</v>
      </c>
      <c r="V1125" s="67"/>
      <c r="AB1125" s="139"/>
      <c r="AC1125" s="139"/>
      <c r="AD1125" s="164"/>
      <c r="AE1125" s="160"/>
    </row>
    <row r="1126">
      <c r="A1126" s="11">
        <v>46163.0</v>
      </c>
      <c r="B1126" s="13" t="s">
        <v>15</v>
      </c>
      <c r="C1126" s="4">
        <v>255.0</v>
      </c>
      <c r="D1126" s="82">
        <v>5.0</v>
      </c>
      <c r="E1126" s="66">
        <f t="shared" si="467"/>
        <v>40</v>
      </c>
      <c r="F1126" s="13">
        <f t="shared" si="468"/>
        <v>246</v>
      </c>
      <c r="G1126" s="6">
        <f t="shared" si="469"/>
        <v>54</v>
      </c>
      <c r="I1126" s="4">
        <v>22.0</v>
      </c>
      <c r="K1126" s="4">
        <v>35.0</v>
      </c>
      <c r="L1126" s="4">
        <v>40.0</v>
      </c>
      <c r="M1126" s="4">
        <v>50.0</v>
      </c>
      <c r="O1126" s="4">
        <v>40.0</v>
      </c>
      <c r="P1126" s="4">
        <v>24.0</v>
      </c>
      <c r="Q1126" s="4">
        <v>35.0</v>
      </c>
      <c r="R1126" s="90" t="s">
        <v>15</v>
      </c>
      <c r="S1126" s="67">
        <f>28+26</f>
        <v>54</v>
      </c>
      <c r="T1126" s="66">
        <f t="shared" si="470"/>
        <v>3</v>
      </c>
      <c r="V1126" s="67"/>
      <c r="AB1126" s="140">
        <v>3.0</v>
      </c>
      <c r="AC1126" s="140"/>
      <c r="AD1126" s="165"/>
      <c r="AE1126" s="160"/>
    </row>
    <row r="1127">
      <c r="A1127" s="11">
        <v>46163.0</v>
      </c>
      <c r="B1127" s="4" t="s">
        <v>16</v>
      </c>
      <c r="C1127" s="13">
        <f t="shared" ref="C1127:D1127" si="471">sum(C1115:C1126)</f>
        <v>655</v>
      </c>
      <c r="D1127" s="6">
        <f t="shared" si="471"/>
        <v>20</v>
      </c>
      <c r="F1127" s="13">
        <f t="shared" ref="F1127:G1127" si="472">sum(F1115:F1126)</f>
        <v>647</v>
      </c>
      <c r="G1127" s="6">
        <f t="shared" si="472"/>
        <v>74</v>
      </c>
      <c r="I1127" s="157">
        <f t="shared" ref="I1127:Q1127" si="473">sum(I1115:I1126)</f>
        <v>56</v>
      </c>
      <c r="J1127" s="157">
        <f t="shared" si="473"/>
        <v>25</v>
      </c>
      <c r="K1127" s="157">
        <f t="shared" si="473"/>
        <v>78</v>
      </c>
      <c r="L1127" s="157">
        <f t="shared" si="473"/>
        <v>103</v>
      </c>
      <c r="M1127" s="157">
        <f t="shared" si="473"/>
        <v>121</v>
      </c>
      <c r="N1127" s="157">
        <f t="shared" si="473"/>
        <v>0</v>
      </c>
      <c r="O1127" s="157">
        <f t="shared" si="473"/>
        <v>91</v>
      </c>
      <c r="P1127" s="157">
        <f t="shared" si="473"/>
        <v>73</v>
      </c>
      <c r="Q1127" s="157">
        <f t="shared" si="473"/>
        <v>100</v>
      </c>
      <c r="R1127" s="135"/>
      <c r="S1127" s="136">
        <f t="shared" ref="S1127:AD1127" si="474">sum(S1115:S1126)</f>
        <v>75</v>
      </c>
      <c r="T1127" s="136">
        <f t="shared" si="474"/>
        <v>4</v>
      </c>
      <c r="U1127" s="135">
        <f t="shared" si="474"/>
        <v>0</v>
      </c>
      <c r="V1127" s="136">
        <f t="shared" si="474"/>
        <v>0</v>
      </c>
      <c r="W1127" s="135">
        <f t="shared" si="474"/>
        <v>0</v>
      </c>
      <c r="X1127" s="135">
        <f t="shared" si="474"/>
        <v>0</v>
      </c>
      <c r="Y1127" s="135">
        <f t="shared" si="474"/>
        <v>0</v>
      </c>
      <c r="Z1127" s="135">
        <f t="shared" si="474"/>
        <v>0</v>
      </c>
      <c r="AA1127" s="135">
        <f t="shared" si="474"/>
        <v>0</v>
      </c>
      <c r="AB1127" s="135">
        <f t="shared" si="474"/>
        <v>4</v>
      </c>
      <c r="AC1127" s="135">
        <f t="shared" si="474"/>
        <v>0</v>
      </c>
      <c r="AD1127" s="135">
        <f t="shared" si="474"/>
        <v>0</v>
      </c>
      <c r="AE1127" s="160"/>
    </row>
    <row r="1128">
      <c r="D1128" s="82"/>
      <c r="I1128" s="13">
        <f t="shared" ref="I1128:Q1128" si="475">I1127-U1127</f>
        <v>56</v>
      </c>
      <c r="J1128" s="66">
        <f t="shared" si="475"/>
        <v>25</v>
      </c>
      <c r="K1128" s="13">
        <f t="shared" si="475"/>
        <v>78</v>
      </c>
      <c r="L1128" s="13">
        <f t="shared" si="475"/>
        <v>103</v>
      </c>
      <c r="M1128" s="13">
        <f t="shared" si="475"/>
        <v>121</v>
      </c>
      <c r="N1128" s="13">
        <f t="shared" si="475"/>
        <v>0</v>
      </c>
      <c r="O1128" s="13">
        <f t="shared" si="475"/>
        <v>91</v>
      </c>
      <c r="P1128" s="13">
        <f t="shared" si="475"/>
        <v>69</v>
      </c>
      <c r="Q1128" s="13">
        <f t="shared" si="475"/>
        <v>100</v>
      </c>
      <c r="AD1128" s="160"/>
      <c r="AE1128" s="160"/>
    </row>
    <row r="1129">
      <c r="I1129" s="97"/>
      <c r="J1129" s="97"/>
      <c r="K1129" s="97"/>
      <c r="L1129" s="160"/>
      <c r="M1129" s="97"/>
      <c r="N1129" s="97"/>
      <c r="O1129" s="97"/>
      <c r="P1129" s="97"/>
      <c r="Q1129" s="97"/>
      <c r="R1129" s="160"/>
      <c r="S1129" s="160"/>
      <c r="T1129" s="160"/>
      <c r="U1129" s="160"/>
      <c r="V1129" s="160"/>
      <c r="W1129" s="160"/>
      <c r="X1129" s="160"/>
      <c r="Y1129" s="160"/>
      <c r="Z1129" s="160"/>
      <c r="AA1129" s="160"/>
      <c r="AB1129" s="160"/>
      <c r="AC1129" s="160"/>
      <c r="AD1129" s="160"/>
      <c r="AE1129" s="160"/>
    </row>
    <row r="1130">
      <c r="C1130" s="4" t="s">
        <v>287</v>
      </c>
      <c r="D1130" s="6"/>
      <c r="F1130" s="4" t="s">
        <v>16</v>
      </c>
      <c r="G1130" s="4" t="s">
        <v>251</v>
      </c>
      <c r="H1130" s="75" t="s">
        <v>253</v>
      </c>
      <c r="I1130" s="4" t="s">
        <v>93</v>
      </c>
      <c r="J1130" s="4" t="s">
        <v>227</v>
      </c>
      <c r="K1130" s="4" t="s">
        <v>89</v>
      </c>
      <c r="L1130" s="4" t="s">
        <v>80</v>
      </c>
      <c r="M1130" s="4" t="s">
        <v>81</v>
      </c>
      <c r="N1130" s="4" t="s">
        <v>232</v>
      </c>
      <c r="O1130" s="4" t="s">
        <v>180</v>
      </c>
      <c r="P1130" s="4" t="s">
        <v>264</v>
      </c>
      <c r="Q1130" s="4" t="s">
        <v>280</v>
      </c>
      <c r="R1130" s="127" t="s">
        <v>236</v>
      </c>
      <c r="S1130" s="128" t="s">
        <v>233</v>
      </c>
      <c r="T1130" s="128" t="s">
        <v>234</v>
      </c>
      <c r="U1130" s="128" t="s">
        <v>238</v>
      </c>
      <c r="V1130" s="128" t="s">
        <v>231</v>
      </c>
      <c r="W1130" s="128" t="s">
        <v>239</v>
      </c>
      <c r="X1130" s="128" t="s">
        <v>246</v>
      </c>
      <c r="Y1130" s="128" t="s">
        <v>247</v>
      </c>
      <c r="Z1130" s="128" t="s">
        <v>248</v>
      </c>
      <c r="AA1130" s="128" t="s">
        <v>267</v>
      </c>
      <c r="AB1130" s="130" t="s">
        <v>268</v>
      </c>
      <c r="AC1130" s="130" t="s">
        <v>169</v>
      </c>
      <c r="AD1130" s="160"/>
      <c r="AE1130" s="160"/>
    </row>
    <row r="1131">
      <c r="B1131" s="114" t="s">
        <v>4</v>
      </c>
      <c r="D1131" s="6"/>
      <c r="F1131" s="13">
        <f t="shared" ref="F1131:F1142" si="476">sum(I1131:Q1131)</f>
        <v>3</v>
      </c>
      <c r="G1131" s="66">
        <f t="shared" ref="G1131:G1142" si="477">S1115+T1115</f>
        <v>3</v>
      </c>
      <c r="H1131" s="119">
        <f t="shared" ref="H1131:H1142" si="478">G1131-sum(I1131:Q1131)</f>
        <v>0</v>
      </c>
      <c r="K1131" s="67"/>
      <c r="L1131" s="150"/>
      <c r="M1131" s="67"/>
      <c r="O1131" s="67">
        <v>1.0</v>
      </c>
      <c r="Q1131" s="4">
        <v>2.0</v>
      </c>
      <c r="R1131" s="154" t="s">
        <v>4</v>
      </c>
      <c r="S1131" s="67"/>
      <c r="T1131" s="66"/>
      <c r="V1131" s="67"/>
      <c r="AB1131" s="138"/>
      <c r="AC1131" s="138"/>
      <c r="AD1131" s="160"/>
      <c r="AE1131" s="160"/>
    </row>
    <row r="1132">
      <c r="B1132" s="13" t="s">
        <v>5</v>
      </c>
      <c r="D1132" s="6"/>
      <c r="F1132" s="13">
        <f t="shared" si="476"/>
        <v>1</v>
      </c>
      <c r="G1132" s="66">
        <f t="shared" si="477"/>
        <v>1</v>
      </c>
      <c r="H1132" s="119">
        <f t="shared" si="478"/>
        <v>0</v>
      </c>
      <c r="L1132" s="150"/>
      <c r="Q1132" s="4">
        <v>1.0</v>
      </c>
      <c r="R1132" s="154" t="s">
        <v>5</v>
      </c>
      <c r="S1132" s="67"/>
      <c r="T1132" s="67">
        <v>3.0</v>
      </c>
      <c r="V1132" s="67"/>
      <c r="AB1132" s="140"/>
      <c r="AC1132" s="140"/>
      <c r="AD1132" s="160"/>
      <c r="AE1132" s="160"/>
    </row>
    <row r="1133">
      <c r="B1133" s="114" t="s">
        <v>6</v>
      </c>
      <c r="C1133" s="4">
        <v>1.0</v>
      </c>
      <c r="D1133" s="6"/>
      <c r="F1133" s="13">
        <f t="shared" si="476"/>
        <v>2</v>
      </c>
      <c r="G1133" s="66">
        <f t="shared" si="477"/>
        <v>2</v>
      </c>
      <c r="H1133" s="119">
        <f t="shared" si="478"/>
        <v>0</v>
      </c>
      <c r="K1133" s="67"/>
      <c r="L1133" s="150"/>
      <c r="M1133" s="67"/>
      <c r="O1133" s="67">
        <v>2.0</v>
      </c>
      <c r="R1133" s="154" t="s">
        <v>6</v>
      </c>
      <c r="S1133" s="67"/>
      <c r="T1133" s="67">
        <v>1.0</v>
      </c>
      <c r="V1133" s="67"/>
      <c r="AB1133" s="139"/>
      <c r="AC1133" s="139"/>
      <c r="AD1133" s="160"/>
      <c r="AE1133" s="160"/>
    </row>
    <row r="1134">
      <c r="B1134" s="13" t="s">
        <v>7</v>
      </c>
      <c r="C1134" s="4">
        <v>1.0</v>
      </c>
      <c r="D1134" s="6"/>
      <c r="F1134" s="13">
        <f t="shared" si="476"/>
        <v>4</v>
      </c>
      <c r="G1134" s="66">
        <f t="shared" si="477"/>
        <v>4</v>
      </c>
      <c r="H1134" s="119">
        <f t="shared" si="478"/>
        <v>0</v>
      </c>
      <c r="K1134" s="67">
        <v>1.0</v>
      </c>
      <c r="L1134" s="150"/>
      <c r="M1134" s="67"/>
      <c r="O1134" s="67">
        <v>2.0</v>
      </c>
      <c r="Q1134" s="4">
        <v>1.0</v>
      </c>
      <c r="R1134" s="154" t="s">
        <v>7</v>
      </c>
      <c r="S1134" s="67"/>
      <c r="T1134" s="66"/>
      <c r="V1134" s="67"/>
      <c r="AB1134" s="140"/>
      <c r="AC1134" s="140"/>
      <c r="AD1134" s="160"/>
      <c r="AE1134" s="160"/>
    </row>
    <row r="1135">
      <c r="B1135" s="114" t="s">
        <v>8</v>
      </c>
      <c r="C1135" s="4">
        <v>3.0</v>
      </c>
      <c r="D1135" s="6"/>
      <c r="F1135" s="13">
        <f t="shared" si="476"/>
        <v>5</v>
      </c>
      <c r="G1135" s="66">
        <f t="shared" si="477"/>
        <v>5</v>
      </c>
      <c r="H1135" s="119">
        <f t="shared" si="478"/>
        <v>0</v>
      </c>
      <c r="K1135" s="67">
        <v>1.0</v>
      </c>
      <c r="L1135" s="150"/>
      <c r="M1135" s="67"/>
      <c r="O1135" s="67">
        <v>2.0</v>
      </c>
      <c r="Q1135" s="4">
        <v>2.0</v>
      </c>
      <c r="R1135" s="154" t="s">
        <v>8</v>
      </c>
      <c r="S1135" s="67"/>
      <c r="T1135" s="67">
        <v>1.0</v>
      </c>
      <c r="V1135" s="67"/>
      <c r="AB1135" s="134"/>
      <c r="AC1135" s="134"/>
      <c r="AD1135" s="160"/>
      <c r="AE1135" s="160"/>
    </row>
    <row r="1136">
      <c r="B1136" s="13" t="s">
        <v>9</v>
      </c>
      <c r="C1136" s="4">
        <v>4.0</v>
      </c>
      <c r="D1136" s="6"/>
      <c r="F1136" s="13">
        <f t="shared" si="476"/>
        <v>3</v>
      </c>
      <c r="G1136" s="66">
        <f t="shared" si="477"/>
        <v>3</v>
      </c>
      <c r="H1136" s="119">
        <f t="shared" si="478"/>
        <v>0</v>
      </c>
      <c r="K1136" s="67">
        <v>1.0</v>
      </c>
      <c r="L1136" s="150"/>
      <c r="M1136" s="67"/>
      <c r="O1136" s="67">
        <v>1.0</v>
      </c>
      <c r="Q1136" s="4">
        <v>1.0</v>
      </c>
      <c r="R1136" s="154" t="s">
        <v>9</v>
      </c>
      <c r="S1136" s="67"/>
      <c r="T1136" s="67">
        <v>2.0</v>
      </c>
      <c r="V1136" s="67"/>
      <c r="AB1136" s="133"/>
      <c r="AC1136" s="133"/>
      <c r="AD1136" s="160"/>
      <c r="AE1136" s="160"/>
    </row>
    <row r="1137">
      <c r="B1137" s="114" t="s">
        <v>10</v>
      </c>
      <c r="C1137" s="4">
        <v>10.0</v>
      </c>
      <c r="D1137" s="6"/>
      <c r="F1137" s="13">
        <f t="shared" si="476"/>
        <v>0</v>
      </c>
      <c r="G1137" s="66">
        <f t="shared" si="477"/>
        <v>0</v>
      </c>
      <c r="H1137" s="119">
        <f t="shared" si="478"/>
        <v>0</v>
      </c>
      <c r="K1137" s="67"/>
      <c r="L1137" s="150"/>
      <c r="M1137" s="67"/>
      <c r="O1137" s="67"/>
      <c r="R1137" s="154" t="s">
        <v>10</v>
      </c>
      <c r="S1137" s="67"/>
      <c r="T1137" s="67">
        <v>2.0</v>
      </c>
      <c r="V1137" s="67"/>
      <c r="AB1137" s="134"/>
      <c r="AC1137" s="134"/>
      <c r="AD1137" s="160"/>
      <c r="AE1137" s="160"/>
    </row>
    <row r="1138">
      <c r="B1138" s="13" t="s">
        <v>11</v>
      </c>
      <c r="D1138" s="6"/>
      <c r="F1138" s="13">
        <f t="shared" si="476"/>
        <v>0</v>
      </c>
      <c r="G1138" s="66">
        <f t="shared" si="477"/>
        <v>0</v>
      </c>
      <c r="H1138" s="119">
        <f t="shared" si="478"/>
        <v>0</v>
      </c>
      <c r="K1138" s="67"/>
      <c r="L1138" s="150"/>
      <c r="M1138" s="67"/>
      <c r="O1138" s="67"/>
      <c r="R1138" s="154" t="s">
        <v>11</v>
      </c>
      <c r="S1138" s="67"/>
      <c r="T1138" s="67">
        <v>2.0</v>
      </c>
      <c r="V1138" s="67"/>
      <c r="AB1138" s="140"/>
      <c r="AC1138" s="140"/>
      <c r="AD1138" s="160"/>
      <c r="AE1138" s="160"/>
    </row>
    <row r="1139">
      <c r="B1139" s="114" t="s">
        <v>12</v>
      </c>
      <c r="D1139" s="6"/>
      <c r="F1139" s="13">
        <f t="shared" si="476"/>
        <v>0</v>
      </c>
      <c r="G1139" s="66">
        <f t="shared" si="477"/>
        <v>0</v>
      </c>
      <c r="H1139" s="119">
        <f t="shared" si="478"/>
        <v>0</v>
      </c>
      <c r="K1139" s="67"/>
      <c r="L1139" s="152"/>
      <c r="M1139" s="67"/>
      <c r="O1139" s="67"/>
      <c r="R1139" s="154" t="s">
        <v>12</v>
      </c>
      <c r="S1139" s="67"/>
      <c r="T1139" s="67">
        <v>3.0</v>
      </c>
      <c r="V1139" s="66"/>
      <c r="AB1139" s="139"/>
      <c r="AC1139" s="139"/>
      <c r="AD1139" s="160"/>
      <c r="AE1139" s="160"/>
    </row>
    <row r="1140">
      <c r="B1140" s="13" t="s">
        <v>13</v>
      </c>
      <c r="D1140" s="6"/>
      <c r="F1140" s="13">
        <f t="shared" si="476"/>
        <v>4</v>
      </c>
      <c r="G1140" s="66">
        <f t="shared" si="477"/>
        <v>4</v>
      </c>
      <c r="H1140" s="119">
        <f t="shared" si="478"/>
        <v>0</v>
      </c>
      <c r="K1140" s="4">
        <v>1.0</v>
      </c>
      <c r="L1140" s="150"/>
      <c r="O1140" s="4">
        <v>1.0</v>
      </c>
      <c r="Q1140" s="4">
        <v>2.0</v>
      </c>
      <c r="R1140" s="154" t="s">
        <v>13</v>
      </c>
      <c r="S1140" s="67"/>
      <c r="T1140" s="67">
        <v>1.0</v>
      </c>
      <c r="V1140" s="67"/>
      <c r="AB1140" s="140"/>
      <c r="AC1140" s="140"/>
      <c r="AD1140" s="160"/>
      <c r="AE1140" s="160"/>
    </row>
    <row r="1141">
      <c r="B1141" s="114" t="s">
        <v>14</v>
      </c>
      <c r="C1141" s="4">
        <v>6.0</v>
      </c>
      <c r="F1141" s="13">
        <f t="shared" si="476"/>
        <v>0</v>
      </c>
      <c r="G1141" s="66">
        <f t="shared" si="477"/>
        <v>0</v>
      </c>
      <c r="H1141" s="119">
        <f t="shared" si="478"/>
        <v>0</v>
      </c>
      <c r="K1141" s="67"/>
      <c r="L1141" s="152"/>
      <c r="M1141" s="67"/>
      <c r="O1141" s="67"/>
      <c r="R1141" s="154" t="s">
        <v>14</v>
      </c>
      <c r="S1141" s="67"/>
      <c r="T1141" s="67">
        <v>4.0</v>
      </c>
      <c r="V1141" s="67"/>
      <c r="AB1141" s="134"/>
      <c r="AC1141" s="134"/>
      <c r="AD1141" s="160"/>
      <c r="AE1141" s="160"/>
    </row>
    <row r="1142">
      <c r="B1142" s="13" t="s">
        <v>15</v>
      </c>
      <c r="F1142" s="13">
        <f t="shared" si="476"/>
        <v>57</v>
      </c>
      <c r="G1142" s="66">
        <f t="shared" si="477"/>
        <v>57</v>
      </c>
      <c r="H1142" s="119">
        <f t="shared" si="478"/>
        <v>0</v>
      </c>
      <c r="K1142" s="67">
        <v>10.0</v>
      </c>
      <c r="L1142" s="150"/>
      <c r="M1142" s="67"/>
      <c r="O1142" s="67">
        <v>25.0</v>
      </c>
      <c r="Q1142" s="4">
        <v>22.0</v>
      </c>
      <c r="R1142" s="154" t="s">
        <v>15</v>
      </c>
      <c r="S1142" s="67"/>
      <c r="T1142" s="67">
        <v>36.0</v>
      </c>
      <c r="V1142" s="67"/>
      <c r="AB1142" s="140"/>
      <c r="AC1142" s="140"/>
      <c r="AD1142" s="160"/>
      <c r="AE1142" s="160"/>
    </row>
    <row r="1143">
      <c r="B1143" s="4" t="s">
        <v>16</v>
      </c>
      <c r="C1143" s="13">
        <f>sum(C1131:C1142)</f>
        <v>25</v>
      </c>
      <c r="F1143" s="13">
        <f t="shared" ref="F1143:Q1143" si="479">sum(F1131:F1142)</f>
        <v>79</v>
      </c>
      <c r="G1143" s="66">
        <f t="shared" si="479"/>
        <v>79</v>
      </c>
      <c r="H1143" s="66">
        <f t="shared" si="479"/>
        <v>0</v>
      </c>
      <c r="I1143" s="97">
        <f t="shared" si="479"/>
        <v>0</v>
      </c>
      <c r="J1143" s="97">
        <f t="shared" si="479"/>
        <v>0</v>
      </c>
      <c r="K1143" s="118">
        <f t="shared" si="479"/>
        <v>14</v>
      </c>
      <c r="L1143" s="153">
        <f t="shared" si="479"/>
        <v>0</v>
      </c>
      <c r="M1143" s="118">
        <f t="shared" si="479"/>
        <v>0</v>
      </c>
      <c r="N1143" s="97">
        <f t="shared" si="479"/>
        <v>0</v>
      </c>
      <c r="O1143" s="118">
        <f t="shared" si="479"/>
        <v>34</v>
      </c>
      <c r="P1143" s="97">
        <f t="shared" si="479"/>
        <v>0</v>
      </c>
      <c r="Q1143" s="97">
        <f t="shared" si="479"/>
        <v>31</v>
      </c>
      <c r="R1143" s="135"/>
      <c r="S1143" s="136">
        <f t="shared" ref="S1143:V1143" si="480">sum(S1131:S1142)</f>
        <v>0</v>
      </c>
      <c r="T1143" s="136">
        <f t="shared" si="480"/>
        <v>55</v>
      </c>
      <c r="U1143" s="135">
        <f t="shared" si="480"/>
        <v>0</v>
      </c>
      <c r="V1143" s="136">
        <f t="shared" si="480"/>
        <v>0</v>
      </c>
      <c r="W1143" s="137">
        <v>4.0</v>
      </c>
      <c r="X1143" s="135">
        <f t="shared" ref="X1143:AC1143" si="481">sum(X1131:X1142)</f>
        <v>0</v>
      </c>
      <c r="Y1143" s="135">
        <f t="shared" si="481"/>
        <v>0</v>
      </c>
      <c r="Z1143" s="135">
        <f t="shared" si="481"/>
        <v>0</v>
      </c>
      <c r="AA1143" s="135">
        <f t="shared" si="481"/>
        <v>0</v>
      </c>
      <c r="AB1143" s="135">
        <f t="shared" si="481"/>
        <v>0</v>
      </c>
      <c r="AC1143" s="135">
        <f t="shared" si="481"/>
        <v>0</v>
      </c>
      <c r="AD1143" s="160"/>
      <c r="AE1143" s="160"/>
    </row>
    <row r="1144">
      <c r="I1144" s="97"/>
      <c r="J1144" s="97"/>
      <c r="K1144" s="97"/>
      <c r="L1144" s="160"/>
      <c r="M1144" s="97"/>
      <c r="N1144" s="97"/>
      <c r="O1144" s="97"/>
      <c r="P1144" s="97"/>
      <c r="Q1144" s="97"/>
      <c r="R1144" s="160"/>
      <c r="S1144" s="160"/>
      <c r="T1144" s="160"/>
      <c r="U1144" s="160"/>
      <c r="V1144" s="160"/>
      <c r="W1144" s="160"/>
      <c r="X1144" s="160"/>
      <c r="Y1144" s="160"/>
      <c r="Z1144" s="160"/>
      <c r="AA1144" s="160"/>
      <c r="AB1144" s="160"/>
      <c r="AC1144" s="160"/>
      <c r="AD1144" s="160"/>
      <c r="AE1144" s="160"/>
    </row>
    <row r="1145">
      <c r="A1145" s="56"/>
      <c r="B1145" s="56"/>
      <c r="C1145" s="56"/>
      <c r="D1145" s="56"/>
      <c r="E1145" s="56"/>
      <c r="F1145" s="56"/>
      <c r="G1145" s="56"/>
      <c r="H1145" s="56"/>
      <c r="I1145" s="166"/>
      <c r="J1145" s="166"/>
      <c r="K1145" s="166"/>
      <c r="L1145" s="166"/>
      <c r="M1145" s="166"/>
      <c r="N1145" s="166"/>
      <c r="O1145" s="166"/>
      <c r="P1145" s="166"/>
      <c r="Q1145" s="166"/>
      <c r="R1145" s="166"/>
      <c r="S1145" s="166"/>
      <c r="T1145" s="166"/>
      <c r="U1145" s="166"/>
      <c r="V1145" s="166"/>
      <c r="W1145" s="166"/>
      <c r="X1145" s="166"/>
      <c r="Y1145" s="166"/>
      <c r="Z1145" s="166"/>
      <c r="AA1145" s="166"/>
      <c r="AB1145" s="166"/>
      <c r="AC1145" s="166"/>
      <c r="AD1145" s="166"/>
      <c r="AE1145" s="166"/>
      <c r="AF1145" s="56"/>
      <c r="AG1145" s="56"/>
    </row>
    <row r="1146">
      <c r="I1146" s="97"/>
      <c r="J1146" s="97"/>
      <c r="K1146" s="97"/>
      <c r="L1146" s="160"/>
      <c r="M1146" s="97"/>
      <c r="N1146" s="97"/>
      <c r="O1146" s="97"/>
      <c r="P1146" s="97"/>
      <c r="Q1146" s="97"/>
      <c r="R1146" s="160"/>
      <c r="S1146" s="160"/>
      <c r="T1146" s="160"/>
      <c r="U1146" s="160"/>
      <c r="V1146" s="160"/>
      <c r="W1146" s="160"/>
      <c r="X1146" s="160"/>
      <c r="Y1146" s="160"/>
      <c r="Z1146" s="160"/>
      <c r="AA1146" s="160"/>
      <c r="AB1146" s="160"/>
      <c r="AC1146" s="160"/>
      <c r="AD1146" s="160"/>
      <c r="AE1146" s="160"/>
    </row>
    <row r="1147">
      <c r="C1147" s="4" t="s">
        <v>270</v>
      </c>
      <c r="D1147" s="82" t="s">
        <v>2</v>
      </c>
      <c r="E1147" s="4" t="s">
        <v>272</v>
      </c>
      <c r="F1147" s="4" t="s">
        <v>16</v>
      </c>
      <c r="G1147" s="4" t="s">
        <v>276</v>
      </c>
      <c r="H1147" s="4" t="s">
        <v>277</v>
      </c>
      <c r="I1147" s="4" t="s">
        <v>93</v>
      </c>
      <c r="J1147" s="4" t="s">
        <v>227</v>
      </c>
      <c r="K1147" s="4" t="s">
        <v>89</v>
      </c>
      <c r="L1147" s="4" t="s">
        <v>80</v>
      </c>
      <c r="M1147" s="4" t="s">
        <v>81</v>
      </c>
      <c r="N1147" s="4" t="s">
        <v>232</v>
      </c>
      <c r="O1147" s="4" t="s">
        <v>180</v>
      </c>
      <c r="P1147" s="4" t="s">
        <v>264</v>
      </c>
      <c r="Q1147" s="4" t="s">
        <v>169</v>
      </c>
      <c r="R1147" s="127" t="s">
        <v>236</v>
      </c>
      <c r="S1147" s="128" t="s">
        <v>233</v>
      </c>
      <c r="T1147" s="128" t="s">
        <v>234</v>
      </c>
      <c r="U1147" s="128" t="s">
        <v>238</v>
      </c>
      <c r="V1147" s="128" t="s">
        <v>231</v>
      </c>
      <c r="W1147" s="128" t="s">
        <v>239</v>
      </c>
      <c r="X1147" s="128" t="s">
        <v>246</v>
      </c>
      <c r="Y1147" s="128" t="s">
        <v>247</v>
      </c>
      <c r="Z1147" s="128" t="s">
        <v>248</v>
      </c>
      <c r="AA1147" s="128" t="s">
        <v>283</v>
      </c>
      <c r="AB1147" s="130" t="s">
        <v>268</v>
      </c>
      <c r="AC1147" s="130" t="s">
        <v>169</v>
      </c>
    </row>
    <row r="1148">
      <c r="A1148" s="11">
        <v>46166.0</v>
      </c>
      <c r="B1148" s="114" t="s">
        <v>4</v>
      </c>
      <c r="C1148" s="115">
        <v>50.0</v>
      </c>
      <c r="D1148" s="82"/>
      <c r="F1148" s="13">
        <f t="shared" ref="F1148:F1159" si="483">sum(H1148:P1148)+Q1148</f>
        <v>43</v>
      </c>
      <c r="G1148" s="6">
        <f t="shared" ref="G1148:G1159" si="484">C1148+D1148-F1148+E1148</f>
        <v>7</v>
      </c>
      <c r="I1148" s="115"/>
      <c r="J1148" s="115"/>
      <c r="K1148" s="115">
        <f t="shared" ref="K1148:M1148" si="482">K989-W989</f>
        <v>5</v>
      </c>
      <c r="L1148" s="115">
        <f t="shared" si="482"/>
        <v>7</v>
      </c>
      <c r="M1148" s="115">
        <f t="shared" si="482"/>
        <v>7</v>
      </c>
      <c r="N1148" s="115">
        <v>3.0</v>
      </c>
      <c r="O1148" s="115">
        <v>7.0</v>
      </c>
      <c r="P1148" s="115">
        <f t="shared" ref="P1148:P1150" si="486">P989-AB989</f>
        <v>7</v>
      </c>
      <c r="Q1148" s="115">
        <v>7.0</v>
      </c>
      <c r="R1148" s="90" t="s">
        <v>4</v>
      </c>
      <c r="S1148" s="67"/>
      <c r="T1148" s="66">
        <f t="shared" ref="T1148:T1159" si="487">sum(U1148:AC1148)</f>
        <v>3</v>
      </c>
      <c r="V1148" s="67"/>
      <c r="AA1148" s="4">
        <v>2.0</v>
      </c>
      <c r="AB1148" s="138"/>
      <c r="AC1148" s="138">
        <v>1.0</v>
      </c>
    </row>
    <row r="1149">
      <c r="A1149" s="11">
        <v>46166.0</v>
      </c>
      <c r="B1149" s="13" t="s">
        <v>5</v>
      </c>
      <c r="C1149" s="4">
        <v>33.0</v>
      </c>
      <c r="D1149" s="82"/>
      <c r="F1149" s="13">
        <f t="shared" si="483"/>
        <v>24</v>
      </c>
      <c r="G1149" s="6">
        <f t="shared" si="484"/>
        <v>9</v>
      </c>
      <c r="K1149" s="13">
        <f t="shared" ref="K1149:M1149" si="485">K990-W990</f>
        <v>2</v>
      </c>
      <c r="L1149" s="13">
        <f t="shared" si="485"/>
        <v>4</v>
      </c>
      <c r="M1149" s="13">
        <f t="shared" si="485"/>
        <v>5</v>
      </c>
      <c r="N1149" s="13">
        <v>1.0</v>
      </c>
      <c r="O1149" s="4">
        <v>4.0</v>
      </c>
      <c r="P1149" s="13">
        <f t="shared" si="486"/>
        <v>4</v>
      </c>
      <c r="Q1149" s="4">
        <v>4.0</v>
      </c>
      <c r="R1149" s="90" t="s">
        <v>5</v>
      </c>
      <c r="S1149" s="67"/>
      <c r="T1149" s="66">
        <f t="shared" si="487"/>
        <v>4</v>
      </c>
      <c r="V1149" s="67"/>
      <c r="AB1149" s="140">
        <v>2.0</v>
      </c>
      <c r="AC1149" s="140">
        <v>2.0</v>
      </c>
    </row>
    <row r="1150">
      <c r="A1150" s="11">
        <v>46166.0</v>
      </c>
      <c r="B1150" s="114" t="s">
        <v>6</v>
      </c>
      <c r="C1150" s="115">
        <v>30.0</v>
      </c>
      <c r="D1150" s="6"/>
      <c r="F1150" s="13">
        <f t="shared" si="483"/>
        <v>24</v>
      </c>
      <c r="G1150" s="6">
        <f t="shared" si="484"/>
        <v>6</v>
      </c>
      <c r="I1150" s="115"/>
      <c r="J1150" s="115"/>
      <c r="K1150" s="115">
        <f t="shared" ref="K1150:K1155" si="488">K991-W991</f>
        <v>2</v>
      </c>
      <c r="L1150" s="115">
        <v>4.0</v>
      </c>
      <c r="M1150" s="115">
        <f>M991-Y991</f>
        <v>5</v>
      </c>
      <c r="N1150" s="115">
        <v>2.0</v>
      </c>
      <c r="O1150" s="115">
        <v>4.0</v>
      </c>
      <c r="P1150" s="115">
        <f t="shared" si="486"/>
        <v>3</v>
      </c>
      <c r="Q1150" s="115">
        <v>4.0</v>
      </c>
      <c r="R1150" s="90" t="s">
        <v>6</v>
      </c>
      <c r="S1150" s="67"/>
      <c r="T1150" s="66">
        <f t="shared" si="487"/>
        <v>5</v>
      </c>
      <c r="V1150" s="67"/>
      <c r="Z1150" s="4">
        <v>2.0</v>
      </c>
      <c r="AB1150" s="139"/>
      <c r="AC1150" s="139">
        <v>3.0</v>
      </c>
    </row>
    <row r="1151">
      <c r="A1151" s="11">
        <v>46166.0</v>
      </c>
      <c r="B1151" s="13" t="s">
        <v>7</v>
      </c>
      <c r="C1151" s="4">
        <v>28.0</v>
      </c>
      <c r="D1151" s="82">
        <v>2.0</v>
      </c>
      <c r="F1151" s="13">
        <f t="shared" si="483"/>
        <v>24</v>
      </c>
      <c r="G1151" s="6">
        <f t="shared" si="484"/>
        <v>6</v>
      </c>
      <c r="K1151" s="13">
        <f t="shared" si="488"/>
        <v>2</v>
      </c>
      <c r="L1151" s="13">
        <f t="shared" ref="L1151:M1151" si="489">L992-X992</f>
        <v>4</v>
      </c>
      <c r="M1151" s="13">
        <f t="shared" si="489"/>
        <v>5</v>
      </c>
      <c r="N1151" s="13">
        <v>1.0</v>
      </c>
      <c r="O1151" s="4">
        <v>4.0</v>
      </c>
      <c r="P1151" s="4">
        <v>4.0</v>
      </c>
      <c r="Q1151" s="4">
        <v>4.0</v>
      </c>
      <c r="R1151" s="90" t="s">
        <v>7</v>
      </c>
      <c r="S1151" s="67"/>
      <c r="T1151" s="66">
        <f t="shared" si="487"/>
        <v>1</v>
      </c>
      <c r="V1151" s="67"/>
      <c r="AA1151" s="4">
        <v>1.0</v>
      </c>
      <c r="AB1151" s="140"/>
      <c r="AC1151" s="140"/>
    </row>
    <row r="1152">
      <c r="A1152" s="11">
        <v>46166.0</v>
      </c>
      <c r="B1152" s="114" t="s">
        <v>8</v>
      </c>
      <c r="C1152" s="115">
        <v>45.0</v>
      </c>
      <c r="D1152" s="82">
        <v>7.0</v>
      </c>
      <c r="F1152" s="13">
        <f t="shared" si="483"/>
        <v>44</v>
      </c>
      <c r="G1152" s="6">
        <f t="shared" si="484"/>
        <v>8</v>
      </c>
      <c r="I1152" s="115"/>
      <c r="J1152" s="115"/>
      <c r="K1152" s="115">
        <f t="shared" si="488"/>
        <v>5</v>
      </c>
      <c r="L1152" s="115">
        <v>7.0</v>
      </c>
      <c r="M1152" s="115">
        <f t="shared" ref="M1152:M1153" si="490">M993-Y993</f>
        <v>7</v>
      </c>
      <c r="N1152" s="115">
        <v>2.0</v>
      </c>
      <c r="O1152" s="115">
        <v>7.0</v>
      </c>
      <c r="P1152" s="115">
        <v>7.0</v>
      </c>
      <c r="Q1152" s="115">
        <v>9.0</v>
      </c>
      <c r="R1152" s="90" t="s">
        <v>8</v>
      </c>
      <c r="S1152" s="67"/>
      <c r="T1152" s="66">
        <f t="shared" si="487"/>
        <v>6</v>
      </c>
      <c r="V1152" s="67"/>
      <c r="AA1152" s="4">
        <v>3.0</v>
      </c>
      <c r="AB1152" s="139"/>
      <c r="AC1152" s="139">
        <v>3.0</v>
      </c>
    </row>
    <row r="1153">
      <c r="A1153" s="11">
        <v>46166.0</v>
      </c>
      <c r="B1153" s="13" t="s">
        <v>9</v>
      </c>
      <c r="C1153" s="4">
        <v>45.0</v>
      </c>
      <c r="D1153" s="82">
        <v>5.0</v>
      </c>
      <c r="F1153" s="13">
        <f t="shared" si="483"/>
        <v>44</v>
      </c>
      <c r="G1153" s="6">
        <f t="shared" si="484"/>
        <v>6</v>
      </c>
      <c r="K1153" s="13">
        <f t="shared" si="488"/>
        <v>4</v>
      </c>
      <c r="L1153" s="4">
        <v>7.0</v>
      </c>
      <c r="M1153" s="13">
        <f t="shared" si="490"/>
        <v>7</v>
      </c>
      <c r="N1153" s="13">
        <v>3.0</v>
      </c>
      <c r="O1153" s="4">
        <v>7.0</v>
      </c>
      <c r="P1153" s="4">
        <v>7.0</v>
      </c>
      <c r="Q1153" s="4">
        <v>9.0</v>
      </c>
      <c r="R1153" s="90" t="s">
        <v>9</v>
      </c>
      <c r="S1153" s="67"/>
      <c r="T1153" s="66">
        <f t="shared" si="487"/>
        <v>4</v>
      </c>
      <c r="V1153" s="67"/>
      <c r="AB1153" s="140"/>
      <c r="AC1153" s="140">
        <v>4.0</v>
      </c>
    </row>
    <row r="1154">
      <c r="A1154" s="11">
        <v>46166.0</v>
      </c>
      <c r="B1154" s="114" t="s">
        <v>10</v>
      </c>
      <c r="C1154" s="115">
        <v>31.0</v>
      </c>
      <c r="D1154" s="6"/>
      <c r="F1154" s="13">
        <f t="shared" si="483"/>
        <v>25</v>
      </c>
      <c r="G1154" s="6">
        <f t="shared" si="484"/>
        <v>6</v>
      </c>
      <c r="I1154" s="115"/>
      <c r="J1154" s="115"/>
      <c r="K1154" s="115">
        <f t="shared" si="488"/>
        <v>2</v>
      </c>
      <c r="L1154" s="115">
        <f t="shared" ref="L1154:M1154" si="491">L995-X995</f>
        <v>5</v>
      </c>
      <c r="M1154" s="115">
        <f t="shared" si="491"/>
        <v>5</v>
      </c>
      <c r="N1154" s="115">
        <v>2.0</v>
      </c>
      <c r="O1154" s="115">
        <v>4.0</v>
      </c>
      <c r="P1154" s="115">
        <f t="shared" ref="P1154:Q1154" si="492">P995-AB995</f>
        <v>3</v>
      </c>
      <c r="Q1154" s="115">
        <f t="shared" si="492"/>
        <v>4</v>
      </c>
      <c r="R1154" s="90" t="s">
        <v>10</v>
      </c>
      <c r="S1154" s="67"/>
      <c r="T1154" s="66">
        <f t="shared" si="487"/>
        <v>2</v>
      </c>
      <c r="V1154" s="67"/>
      <c r="AB1154" s="139"/>
      <c r="AC1154" s="139">
        <v>2.0</v>
      </c>
    </row>
    <row r="1155">
      <c r="A1155" s="11">
        <v>46166.0</v>
      </c>
      <c r="B1155" s="13" t="s">
        <v>11</v>
      </c>
      <c r="C1155" s="4">
        <v>35.0</v>
      </c>
      <c r="D1155" s="82">
        <v>1.0</v>
      </c>
      <c r="F1155" s="13">
        <f t="shared" si="483"/>
        <v>29</v>
      </c>
      <c r="G1155" s="6">
        <f t="shared" si="484"/>
        <v>7</v>
      </c>
      <c r="H1155" s="4">
        <v>7.0</v>
      </c>
      <c r="K1155" s="13">
        <f t="shared" si="488"/>
        <v>4</v>
      </c>
      <c r="L1155" s="4">
        <v>4.0</v>
      </c>
      <c r="M1155" s="4">
        <v>4.0</v>
      </c>
      <c r="N1155" s="13">
        <v>1.0</v>
      </c>
      <c r="O1155" s="4">
        <v>4.0</v>
      </c>
      <c r="P1155" s="4">
        <v>3.0</v>
      </c>
      <c r="Q1155" s="4">
        <v>2.0</v>
      </c>
      <c r="R1155" s="90" t="s">
        <v>11</v>
      </c>
      <c r="S1155" s="67"/>
      <c r="T1155" s="66">
        <f t="shared" si="487"/>
        <v>0</v>
      </c>
      <c r="V1155" s="67"/>
      <c r="AB1155" s="140"/>
      <c r="AC1155" s="140"/>
    </row>
    <row r="1156">
      <c r="A1156" s="11">
        <v>46166.0</v>
      </c>
      <c r="B1156" s="114" t="s">
        <v>12</v>
      </c>
      <c r="C1156" s="114">
        <f>F1156+F1172</f>
        <v>25</v>
      </c>
      <c r="D1156" s="82">
        <v>2.0</v>
      </c>
      <c r="F1156" s="13">
        <f t="shared" si="483"/>
        <v>25</v>
      </c>
      <c r="G1156" s="6">
        <f t="shared" si="484"/>
        <v>2</v>
      </c>
      <c r="I1156" s="115"/>
      <c r="J1156" s="115"/>
      <c r="K1156" s="115">
        <v>3.0</v>
      </c>
      <c r="L1156" s="115">
        <v>5.0</v>
      </c>
      <c r="M1156" s="115">
        <f t="shared" ref="M1156:M1157" si="493">M997-Y997</f>
        <v>3</v>
      </c>
      <c r="N1156" s="115">
        <v>2.0</v>
      </c>
      <c r="O1156" s="115">
        <v>4.0</v>
      </c>
      <c r="P1156" s="115">
        <f t="shared" ref="P1156:P1157" si="494">P997-AB997</f>
        <v>3</v>
      </c>
      <c r="Q1156" s="115">
        <v>5.0</v>
      </c>
      <c r="R1156" s="90" t="s">
        <v>12</v>
      </c>
      <c r="S1156" s="67"/>
      <c r="T1156" s="66">
        <f t="shared" si="487"/>
        <v>1</v>
      </c>
      <c r="U1156" s="4">
        <v>1.0</v>
      </c>
      <c r="V1156" s="67"/>
      <c r="AB1156" s="139"/>
      <c r="AC1156" s="139"/>
    </row>
    <row r="1157">
      <c r="A1157" s="11">
        <v>46166.0</v>
      </c>
      <c r="B1157" s="13" t="s">
        <v>13</v>
      </c>
      <c r="C1157" s="4">
        <v>35.0</v>
      </c>
      <c r="D1157" s="82">
        <v>3.0</v>
      </c>
      <c r="F1157" s="13">
        <f t="shared" si="483"/>
        <v>31</v>
      </c>
      <c r="G1157" s="6">
        <f t="shared" si="484"/>
        <v>7</v>
      </c>
      <c r="K1157" s="13">
        <f t="shared" ref="K1157:K1158" si="495">K998-W998</f>
        <v>4</v>
      </c>
      <c r="L1157" s="4">
        <v>4.0</v>
      </c>
      <c r="M1157" s="13">
        <f t="shared" si="493"/>
        <v>7</v>
      </c>
      <c r="N1157" s="13">
        <v>2.0</v>
      </c>
      <c r="O1157" s="4">
        <v>5.0</v>
      </c>
      <c r="P1157" s="13">
        <f t="shared" si="494"/>
        <v>4</v>
      </c>
      <c r="Q1157" s="4">
        <v>5.0</v>
      </c>
      <c r="R1157" s="90" t="s">
        <v>13</v>
      </c>
      <c r="S1157" s="67"/>
      <c r="T1157" s="66">
        <f t="shared" si="487"/>
        <v>3</v>
      </c>
      <c r="V1157" s="67"/>
      <c r="AB1157" s="140">
        <v>1.0</v>
      </c>
      <c r="AC1157" s="140">
        <v>2.0</v>
      </c>
    </row>
    <row r="1158">
      <c r="A1158" s="11">
        <v>46166.0</v>
      </c>
      <c r="B1158" s="114" t="s">
        <v>14</v>
      </c>
      <c r="C1158" s="114">
        <f>F1158+F1174</f>
        <v>25</v>
      </c>
      <c r="D1158" s="6"/>
      <c r="F1158" s="13">
        <f t="shared" si="483"/>
        <v>25</v>
      </c>
      <c r="G1158" s="6">
        <f t="shared" si="484"/>
        <v>0</v>
      </c>
      <c r="I1158" s="115"/>
      <c r="J1158" s="115"/>
      <c r="K1158" s="115">
        <f t="shared" si="495"/>
        <v>3</v>
      </c>
      <c r="L1158" s="115">
        <f t="shared" ref="L1158:M1158" si="496">L999-X999</f>
        <v>5</v>
      </c>
      <c r="M1158" s="115">
        <f t="shared" si="496"/>
        <v>5</v>
      </c>
      <c r="N1158" s="115">
        <v>1.0</v>
      </c>
      <c r="O1158" s="115">
        <v>4.0</v>
      </c>
      <c r="P1158" s="115">
        <v>3.0</v>
      </c>
      <c r="Q1158" s="115">
        <v>4.0</v>
      </c>
      <c r="R1158" s="90" t="s">
        <v>14</v>
      </c>
      <c r="S1158" s="67"/>
      <c r="T1158" s="66">
        <f t="shared" si="487"/>
        <v>3</v>
      </c>
      <c r="V1158" s="67"/>
      <c r="AB1158" s="139"/>
      <c r="AC1158" s="139">
        <v>3.0</v>
      </c>
    </row>
    <row r="1159">
      <c r="A1159" s="11">
        <v>46166.0</v>
      </c>
      <c r="B1159" s="13" t="s">
        <v>15</v>
      </c>
      <c r="C1159" s="4">
        <v>280.0</v>
      </c>
      <c r="D1159" s="82"/>
      <c r="F1159" s="13">
        <f t="shared" si="483"/>
        <v>229</v>
      </c>
      <c r="G1159" s="6">
        <f t="shared" si="484"/>
        <v>51</v>
      </c>
      <c r="K1159" s="4">
        <v>34.0</v>
      </c>
      <c r="L1159" s="4">
        <v>30.0</v>
      </c>
      <c r="M1159" s="13">
        <f>M1000-Y1000</f>
        <v>45</v>
      </c>
      <c r="N1159" s="13">
        <v>25.0</v>
      </c>
      <c r="O1159" s="4">
        <v>35.0</v>
      </c>
      <c r="P1159" s="13">
        <f>P1000-AB1000</f>
        <v>20</v>
      </c>
      <c r="Q1159" s="4">
        <v>40.0</v>
      </c>
      <c r="R1159" s="90" t="s">
        <v>15</v>
      </c>
      <c r="S1159" s="67"/>
      <c r="T1159" s="66">
        <f t="shared" si="487"/>
        <v>28</v>
      </c>
      <c r="V1159" s="67"/>
      <c r="Z1159" s="4">
        <v>12.0</v>
      </c>
      <c r="AA1159" s="4">
        <v>3.0</v>
      </c>
      <c r="AB1159" s="140"/>
      <c r="AC1159" s="140">
        <v>13.0</v>
      </c>
    </row>
    <row r="1160">
      <c r="A1160" s="11">
        <v>46166.0</v>
      </c>
      <c r="B1160" s="4" t="s">
        <v>16</v>
      </c>
      <c r="C1160" s="13">
        <f t="shared" ref="C1160:D1160" si="497">sum(C1148:C1159)</f>
        <v>662</v>
      </c>
      <c r="D1160" s="6">
        <f t="shared" si="497"/>
        <v>20</v>
      </c>
      <c r="F1160" s="13">
        <f t="shared" ref="F1160:G1160" si="498">sum(F1148:F1159)</f>
        <v>567</v>
      </c>
      <c r="G1160" s="6">
        <f t="shared" si="498"/>
        <v>115</v>
      </c>
      <c r="I1160" s="157"/>
      <c r="J1160" s="157">
        <f t="shared" ref="J1160:Q1160" si="499">sum(J1148:J1159)</f>
        <v>0</v>
      </c>
      <c r="K1160" s="157">
        <f t="shared" si="499"/>
        <v>70</v>
      </c>
      <c r="L1160" s="157">
        <f t="shared" si="499"/>
        <v>86</v>
      </c>
      <c r="M1160" s="157">
        <f t="shared" si="499"/>
        <v>105</v>
      </c>
      <c r="N1160" s="157">
        <f t="shared" si="499"/>
        <v>45</v>
      </c>
      <c r="O1160" s="157">
        <f t="shared" si="499"/>
        <v>89</v>
      </c>
      <c r="P1160" s="157">
        <f t="shared" si="499"/>
        <v>68</v>
      </c>
      <c r="Q1160" s="157">
        <f t="shared" si="499"/>
        <v>97</v>
      </c>
      <c r="R1160" s="135"/>
      <c r="S1160" s="136">
        <f t="shared" ref="S1160:AC1160" si="500">sum(S1148:S1159)</f>
        <v>0</v>
      </c>
      <c r="T1160" s="136">
        <f t="shared" si="500"/>
        <v>60</v>
      </c>
      <c r="U1160" s="135">
        <f t="shared" si="500"/>
        <v>1</v>
      </c>
      <c r="V1160" s="136">
        <f t="shared" si="500"/>
        <v>0</v>
      </c>
      <c r="W1160" s="135">
        <f t="shared" si="500"/>
        <v>0</v>
      </c>
      <c r="X1160" s="135">
        <f t="shared" si="500"/>
        <v>0</v>
      </c>
      <c r="Y1160" s="135">
        <f t="shared" si="500"/>
        <v>0</v>
      </c>
      <c r="Z1160" s="135">
        <f t="shared" si="500"/>
        <v>14</v>
      </c>
      <c r="AA1160" s="135">
        <f t="shared" si="500"/>
        <v>9</v>
      </c>
      <c r="AB1160" s="135">
        <f t="shared" si="500"/>
        <v>3</v>
      </c>
      <c r="AC1160" s="135">
        <f t="shared" si="500"/>
        <v>33</v>
      </c>
    </row>
    <row r="1161">
      <c r="D1161" s="82">
        <v>100.0</v>
      </c>
      <c r="E1161" s="4">
        <v>3.0</v>
      </c>
      <c r="I1161" s="13">
        <f t="shared" ref="I1161:Q1161" si="501">I1160-U1160</f>
        <v>-1</v>
      </c>
      <c r="J1161" s="66">
        <f t="shared" si="501"/>
        <v>0</v>
      </c>
      <c r="K1161" s="13">
        <f t="shared" si="501"/>
        <v>70</v>
      </c>
      <c r="L1161" s="13">
        <f t="shared" si="501"/>
        <v>86</v>
      </c>
      <c r="M1161" s="13">
        <f t="shared" si="501"/>
        <v>105</v>
      </c>
      <c r="N1161" s="13">
        <f t="shared" si="501"/>
        <v>31</v>
      </c>
      <c r="O1161" s="13">
        <f t="shared" si="501"/>
        <v>80</v>
      </c>
      <c r="P1161" s="13">
        <f t="shared" si="501"/>
        <v>65</v>
      </c>
      <c r="Q1161" s="13">
        <f t="shared" si="501"/>
        <v>64</v>
      </c>
    </row>
    <row r="1162">
      <c r="D1162" s="6">
        <f>C1160</f>
        <v>662</v>
      </c>
      <c r="E1162" s="13">
        <f>D1162*E1161/D1161</f>
        <v>19.86</v>
      </c>
    </row>
    <row r="1163">
      <c r="D1163" s="6"/>
      <c r="F1163" s="4" t="s">
        <v>16</v>
      </c>
      <c r="G1163" s="4" t="s">
        <v>251</v>
      </c>
      <c r="H1163" s="75" t="s">
        <v>253</v>
      </c>
      <c r="I1163" s="4" t="s">
        <v>93</v>
      </c>
      <c r="J1163" s="4" t="s">
        <v>227</v>
      </c>
      <c r="K1163" s="4" t="s">
        <v>89</v>
      </c>
      <c r="L1163" s="4" t="s">
        <v>80</v>
      </c>
      <c r="M1163" s="4" t="s">
        <v>81</v>
      </c>
      <c r="N1163" s="4" t="s">
        <v>232</v>
      </c>
      <c r="O1163" s="4" t="s">
        <v>180</v>
      </c>
      <c r="P1163" s="4" t="s">
        <v>264</v>
      </c>
      <c r="Q1163" s="4" t="s">
        <v>280</v>
      </c>
      <c r="R1163" s="127" t="s">
        <v>236</v>
      </c>
      <c r="S1163" s="128" t="s">
        <v>233</v>
      </c>
      <c r="T1163" s="128" t="s">
        <v>234</v>
      </c>
      <c r="U1163" s="128" t="s">
        <v>238</v>
      </c>
      <c r="V1163" s="128" t="s">
        <v>231</v>
      </c>
      <c r="W1163" s="128" t="s">
        <v>239</v>
      </c>
      <c r="X1163" s="128" t="s">
        <v>246</v>
      </c>
      <c r="Y1163" s="128" t="s">
        <v>247</v>
      </c>
      <c r="Z1163" s="128" t="s">
        <v>248</v>
      </c>
      <c r="AA1163" s="128" t="s">
        <v>267</v>
      </c>
      <c r="AB1163" s="130" t="s">
        <v>268</v>
      </c>
      <c r="AC1163" s="130" t="s">
        <v>169</v>
      </c>
    </row>
    <row r="1164">
      <c r="B1164" s="114" t="s">
        <v>4</v>
      </c>
      <c r="D1164" s="6"/>
      <c r="F1164" s="13">
        <f t="shared" ref="F1164:F1175" si="502">sum(I1164:Q1164)</f>
        <v>0</v>
      </c>
      <c r="G1164" s="66">
        <f t="shared" ref="G1164:G1175" si="503">S1148+T1148</f>
        <v>3</v>
      </c>
      <c r="H1164" s="119">
        <f t="shared" ref="H1164:H1175" si="504">G1164-sum(I1164:Q1164)</f>
        <v>3</v>
      </c>
      <c r="L1164" s="150"/>
      <c r="M1164" s="67"/>
      <c r="O1164" s="67"/>
      <c r="R1164" s="154" t="s">
        <v>4</v>
      </c>
      <c r="S1164" s="67"/>
      <c r="T1164" s="66"/>
      <c r="V1164" s="67"/>
      <c r="Y1164" s="138"/>
      <c r="AC1164" s="138"/>
    </row>
    <row r="1165">
      <c r="B1165" s="13" t="s">
        <v>5</v>
      </c>
      <c r="D1165" s="6"/>
      <c r="F1165" s="13">
        <f t="shared" si="502"/>
        <v>0</v>
      </c>
      <c r="G1165" s="66">
        <f t="shared" si="503"/>
        <v>4</v>
      </c>
      <c r="H1165" s="119">
        <f t="shared" si="504"/>
        <v>4</v>
      </c>
      <c r="L1165" s="150"/>
      <c r="M1165" s="67"/>
      <c r="R1165" s="154" t="s">
        <v>5</v>
      </c>
      <c r="S1165" s="67"/>
      <c r="T1165" s="67"/>
      <c r="V1165" s="67"/>
      <c r="Y1165" s="140"/>
      <c r="AC1165" s="140"/>
    </row>
    <row r="1166">
      <c r="B1166" s="114" t="s">
        <v>6</v>
      </c>
      <c r="D1166" s="6"/>
      <c r="F1166" s="13">
        <f t="shared" si="502"/>
        <v>0</v>
      </c>
      <c r="G1166" s="66">
        <f t="shared" si="503"/>
        <v>5</v>
      </c>
      <c r="H1166" s="119">
        <f t="shared" si="504"/>
        <v>5</v>
      </c>
      <c r="L1166" s="150"/>
      <c r="M1166" s="67"/>
      <c r="O1166" s="67"/>
      <c r="R1166" s="154" t="s">
        <v>6</v>
      </c>
      <c r="S1166" s="67"/>
      <c r="T1166" s="67"/>
      <c r="V1166" s="67"/>
      <c r="Y1166" s="139"/>
      <c r="AC1166" s="139"/>
    </row>
    <row r="1167">
      <c r="B1167" s="13" t="s">
        <v>7</v>
      </c>
      <c r="D1167" s="6"/>
      <c r="F1167" s="13">
        <f t="shared" si="502"/>
        <v>0</v>
      </c>
      <c r="G1167" s="66">
        <f t="shared" si="503"/>
        <v>1</v>
      </c>
      <c r="H1167" s="119">
        <f t="shared" si="504"/>
        <v>1</v>
      </c>
      <c r="L1167" s="150"/>
      <c r="M1167" s="67"/>
      <c r="O1167" s="67"/>
      <c r="R1167" s="154" t="s">
        <v>7</v>
      </c>
      <c r="S1167" s="67"/>
      <c r="T1167" s="66"/>
      <c r="V1167" s="67"/>
      <c r="Y1167" s="140"/>
      <c r="AC1167" s="140"/>
    </row>
    <row r="1168">
      <c r="B1168" s="114" t="s">
        <v>8</v>
      </c>
      <c r="D1168" s="6"/>
      <c r="F1168" s="13">
        <f t="shared" si="502"/>
        <v>0</v>
      </c>
      <c r="G1168" s="66">
        <f t="shared" si="503"/>
        <v>6</v>
      </c>
      <c r="H1168" s="119">
        <f t="shared" si="504"/>
        <v>6</v>
      </c>
      <c r="L1168" s="150"/>
      <c r="M1168" s="67"/>
      <c r="O1168" s="67"/>
      <c r="R1168" s="154" t="s">
        <v>8</v>
      </c>
      <c r="S1168" s="67"/>
      <c r="T1168" s="67"/>
      <c r="V1168" s="67"/>
      <c r="Y1168" s="134"/>
      <c r="AC1168" s="134"/>
    </row>
    <row r="1169">
      <c r="B1169" s="13" t="s">
        <v>9</v>
      </c>
      <c r="D1169" s="6"/>
      <c r="F1169" s="13">
        <f t="shared" si="502"/>
        <v>0</v>
      </c>
      <c r="G1169" s="66">
        <f t="shared" si="503"/>
        <v>4</v>
      </c>
      <c r="H1169" s="119">
        <f t="shared" si="504"/>
        <v>4</v>
      </c>
      <c r="L1169" s="150"/>
      <c r="O1169" s="67"/>
      <c r="R1169" s="154" t="s">
        <v>9</v>
      </c>
      <c r="S1169" s="67"/>
      <c r="T1169" s="67"/>
      <c r="V1169" s="67"/>
      <c r="Y1169" s="133"/>
      <c r="AC1169" s="133"/>
    </row>
    <row r="1170">
      <c r="B1170" s="114" t="s">
        <v>10</v>
      </c>
      <c r="D1170" s="6"/>
      <c r="F1170" s="13">
        <f t="shared" si="502"/>
        <v>0</v>
      </c>
      <c r="G1170" s="66">
        <f t="shared" si="503"/>
        <v>2</v>
      </c>
      <c r="H1170" s="119">
        <f t="shared" si="504"/>
        <v>2</v>
      </c>
      <c r="L1170" s="150"/>
      <c r="M1170" s="67"/>
      <c r="O1170" s="67"/>
      <c r="R1170" s="154" t="s">
        <v>10</v>
      </c>
      <c r="S1170" s="67"/>
      <c r="T1170" s="67"/>
      <c r="V1170" s="67"/>
      <c r="Y1170" s="134"/>
      <c r="AC1170" s="134"/>
    </row>
    <row r="1171">
      <c r="B1171" s="13" t="s">
        <v>11</v>
      </c>
      <c r="D1171" s="6"/>
      <c r="F1171" s="13">
        <f t="shared" si="502"/>
        <v>0</v>
      </c>
      <c r="G1171" s="66">
        <f t="shared" si="503"/>
        <v>0</v>
      </c>
      <c r="H1171" s="119">
        <f t="shared" si="504"/>
        <v>0</v>
      </c>
      <c r="L1171" s="150"/>
      <c r="M1171" s="67"/>
      <c r="O1171" s="67"/>
      <c r="R1171" s="154" t="s">
        <v>11</v>
      </c>
      <c r="S1171" s="67"/>
      <c r="T1171" s="67"/>
      <c r="V1171" s="67"/>
      <c r="Y1171" s="140"/>
      <c r="AC1171" s="140"/>
    </row>
    <row r="1172">
      <c r="B1172" s="114" t="s">
        <v>12</v>
      </c>
      <c r="D1172" s="6"/>
      <c r="F1172" s="13">
        <f t="shared" si="502"/>
        <v>0</v>
      </c>
      <c r="G1172" s="66">
        <f t="shared" si="503"/>
        <v>1</v>
      </c>
      <c r="H1172" s="119">
        <f t="shared" si="504"/>
        <v>1</v>
      </c>
      <c r="L1172" s="152"/>
      <c r="O1172" s="67"/>
      <c r="R1172" s="154" t="s">
        <v>12</v>
      </c>
      <c r="S1172" s="67"/>
      <c r="T1172" s="67"/>
      <c r="V1172" s="66"/>
      <c r="Y1172" s="139"/>
      <c r="AC1172" s="139"/>
    </row>
    <row r="1173">
      <c r="B1173" s="13" t="s">
        <v>13</v>
      </c>
      <c r="D1173" s="6"/>
      <c r="F1173" s="13">
        <f t="shared" si="502"/>
        <v>0</v>
      </c>
      <c r="G1173" s="66">
        <f t="shared" si="503"/>
        <v>3</v>
      </c>
      <c r="H1173" s="119">
        <f t="shared" si="504"/>
        <v>3</v>
      </c>
      <c r="L1173" s="150"/>
      <c r="R1173" s="154" t="s">
        <v>13</v>
      </c>
      <c r="S1173" s="67"/>
      <c r="T1173" s="67"/>
      <c r="V1173" s="67"/>
      <c r="Y1173" s="140"/>
      <c r="AC1173" s="140"/>
    </row>
    <row r="1174">
      <c r="B1174" s="114" t="s">
        <v>14</v>
      </c>
      <c r="F1174" s="13">
        <f t="shared" si="502"/>
        <v>0</v>
      </c>
      <c r="G1174" s="66">
        <f t="shared" si="503"/>
        <v>3</v>
      </c>
      <c r="H1174" s="119">
        <f t="shared" si="504"/>
        <v>3</v>
      </c>
      <c r="K1174" s="67"/>
      <c r="L1174" s="152"/>
      <c r="O1174" s="67"/>
      <c r="R1174" s="154" t="s">
        <v>14</v>
      </c>
      <c r="S1174" s="67"/>
      <c r="T1174" s="67"/>
      <c r="V1174" s="67"/>
      <c r="Y1174" s="134"/>
      <c r="AC1174" s="134"/>
    </row>
    <row r="1175">
      <c r="B1175" s="13" t="s">
        <v>15</v>
      </c>
      <c r="F1175" s="13">
        <f t="shared" si="502"/>
        <v>0</v>
      </c>
      <c r="G1175" s="66">
        <f t="shared" si="503"/>
        <v>28</v>
      </c>
      <c r="H1175" s="119">
        <f t="shared" si="504"/>
        <v>28</v>
      </c>
      <c r="L1175" s="150"/>
      <c r="O1175" s="67"/>
      <c r="R1175" s="154" t="s">
        <v>15</v>
      </c>
      <c r="S1175" s="67"/>
      <c r="T1175" s="67"/>
      <c r="V1175" s="67"/>
      <c r="Y1175" s="140"/>
      <c r="AC1175" s="140"/>
    </row>
    <row r="1176">
      <c r="G1176" s="66">
        <f t="shared" ref="G1176:Q1176" si="505">sum(G1164:G1175)</f>
        <v>60</v>
      </c>
      <c r="H1176" s="66">
        <f t="shared" si="505"/>
        <v>60</v>
      </c>
      <c r="I1176" s="97">
        <f t="shared" si="505"/>
        <v>0</v>
      </c>
      <c r="J1176" s="97">
        <f t="shared" si="505"/>
        <v>0</v>
      </c>
      <c r="K1176" s="97">
        <f t="shared" si="505"/>
        <v>0</v>
      </c>
      <c r="L1176" s="153">
        <f t="shared" si="505"/>
        <v>0</v>
      </c>
      <c r="M1176" s="118">
        <f t="shared" si="505"/>
        <v>0</v>
      </c>
      <c r="N1176" s="97">
        <f t="shared" si="505"/>
        <v>0</v>
      </c>
      <c r="O1176" s="118">
        <f t="shared" si="505"/>
        <v>0</v>
      </c>
      <c r="P1176" s="97">
        <f t="shared" si="505"/>
        <v>0</v>
      </c>
      <c r="Q1176" s="97">
        <f t="shared" si="505"/>
        <v>0</v>
      </c>
      <c r="R1176" s="135"/>
      <c r="S1176" s="136">
        <f t="shared" ref="S1176:V1176" si="506">sum(S1164:S1175)</f>
        <v>0</v>
      </c>
      <c r="T1176" s="136">
        <f t="shared" si="506"/>
        <v>0</v>
      </c>
      <c r="U1176" s="135">
        <f t="shared" si="506"/>
        <v>0</v>
      </c>
      <c r="V1176" s="136">
        <f t="shared" si="506"/>
        <v>0</v>
      </c>
      <c r="W1176" s="137">
        <v>4.0</v>
      </c>
      <c r="X1176" s="135">
        <f t="shared" ref="X1176:AA1176" si="507">sum(X1164:X1175)</f>
        <v>0</v>
      </c>
      <c r="Y1176" s="135">
        <f t="shared" si="507"/>
        <v>0</v>
      </c>
      <c r="Z1176" s="135">
        <f t="shared" si="507"/>
        <v>0</v>
      </c>
      <c r="AA1176" s="135">
        <f t="shared" si="507"/>
        <v>0</v>
      </c>
      <c r="AB1176" s="135">
        <f>sum(Y1164:Y1175)</f>
        <v>0</v>
      </c>
      <c r="AC1176" s="135">
        <f>sum(AC1164:AC1175)</f>
        <v>0</v>
      </c>
    </row>
    <row r="1177">
      <c r="C1177" s="4" t="s">
        <v>270</v>
      </c>
      <c r="D1177" s="82" t="s">
        <v>2</v>
      </c>
      <c r="E1177" s="4" t="s">
        <v>272</v>
      </c>
      <c r="F1177" s="4" t="s">
        <v>16</v>
      </c>
      <c r="G1177" s="4" t="s">
        <v>276</v>
      </c>
      <c r="H1177" s="4" t="s">
        <v>277</v>
      </c>
      <c r="I1177" s="4" t="s">
        <v>93</v>
      </c>
      <c r="J1177" s="4" t="s">
        <v>227</v>
      </c>
      <c r="K1177" s="4" t="s">
        <v>89</v>
      </c>
      <c r="L1177" s="4" t="s">
        <v>80</v>
      </c>
      <c r="M1177" s="4" t="s">
        <v>81</v>
      </c>
      <c r="N1177" s="4" t="s">
        <v>232</v>
      </c>
      <c r="O1177" s="4" t="s">
        <v>180</v>
      </c>
      <c r="P1177" s="4" t="s">
        <v>264</v>
      </c>
      <c r="Q1177" s="4" t="s">
        <v>169</v>
      </c>
      <c r="R1177" s="127" t="s">
        <v>236</v>
      </c>
      <c r="S1177" s="128" t="s">
        <v>233</v>
      </c>
      <c r="T1177" s="128" t="s">
        <v>234</v>
      </c>
      <c r="U1177" s="128" t="s">
        <v>238</v>
      </c>
      <c r="V1177" s="128" t="s">
        <v>231</v>
      </c>
      <c r="W1177" s="128" t="s">
        <v>239</v>
      </c>
      <c r="X1177" s="128" t="s">
        <v>246</v>
      </c>
      <c r="Y1177" s="128" t="s">
        <v>247</v>
      </c>
      <c r="Z1177" s="128" t="s">
        <v>248</v>
      </c>
      <c r="AA1177" s="128" t="s">
        <v>283</v>
      </c>
      <c r="AB1177" s="130" t="s">
        <v>268</v>
      </c>
      <c r="AC1177" s="130" t="s">
        <v>169</v>
      </c>
      <c r="AD1177" s="160"/>
      <c r="AE1177" s="160"/>
    </row>
    <row r="1178">
      <c r="A1178" s="11">
        <v>46167.0</v>
      </c>
      <c r="B1178" s="114" t="s">
        <v>4</v>
      </c>
      <c r="C1178" s="115">
        <v>45.0</v>
      </c>
      <c r="D1178" s="82">
        <v>4.0</v>
      </c>
      <c r="E1178" s="66">
        <f t="shared" ref="E1178:E1190" si="508">G1164</f>
        <v>3</v>
      </c>
      <c r="F1178" s="13">
        <f t="shared" ref="F1178:F1189" si="509">sum(H1178:P1178)+Q1178</f>
        <v>43</v>
      </c>
      <c r="G1178" s="6">
        <f t="shared" ref="G1178:G1189" si="510">C1178+D1178-F1178+E1178</f>
        <v>9</v>
      </c>
      <c r="I1178" s="115"/>
      <c r="J1178" s="115"/>
      <c r="K1178" s="115">
        <v>5.0</v>
      </c>
      <c r="L1178" s="115">
        <v>7.0</v>
      </c>
      <c r="M1178" s="115">
        <v>9.0</v>
      </c>
      <c r="N1178" s="115">
        <v>3.0</v>
      </c>
      <c r="O1178" s="115">
        <v>7.0</v>
      </c>
      <c r="P1178" s="115">
        <v>7.0</v>
      </c>
      <c r="Q1178" s="115">
        <v>5.0</v>
      </c>
      <c r="R1178" s="90" t="s">
        <v>4</v>
      </c>
      <c r="S1178" s="67">
        <v>4.0</v>
      </c>
      <c r="T1178" s="66">
        <f t="shared" ref="T1178:T1189" si="511">sum(U1178:AC1178)</f>
        <v>8</v>
      </c>
      <c r="V1178" s="67"/>
      <c r="W1178" s="4">
        <v>2.0</v>
      </c>
      <c r="X1178" s="4">
        <v>1.0</v>
      </c>
      <c r="Y1178" s="4">
        <v>2.0</v>
      </c>
      <c r="AB1178" s="138">
        <v>3.0</v>
      </c>
      <c r="AC1178" s="138"/>
      <c r="AD1178" s="160"/>
      <c r="AE1178" s="160"/>
    </row>
    <row r="1179">
      <c r="A1179" s="11">
        <v>46167.0</v>
      </c>
      <c r="B1179" s="13" t="s">
        <v>5</v>
      </c>
      <c r="C1179" s="4">
        <v>30.0</v>
      </c>
      <c r="D1179" s="82">
        <v>2.0</v>
      </c>
      <c r="E1179" s="66">
        <f t="shared" si="508"/>
        <v>4</v>
      </c>
      <c r="F1179" s="13">
        <f t="shared" si="509"/>
        <v>25</v>
      </c>
      <c r="G1179" s="6">
        <f t="shared" si="510"/>
        <v>11</v>
      </c>
      <c r="K1179" s="4">
        <v>3.0</v>
      </c>
      <c r="L1179" s="13">
        <v>5.0</v>
      </c>
      <c r="M1179" s="13">
        <v>5.0</v>
      </c>
      <c r="N1179" s="13">
        <v>1.0</v>
      </c>
      <c r="O1179" s="4">
        <v>4.0</v>
      </c>
      <c r="P1179" s="13">
        <v>4.0</v>
      </c>
      <c r="Q1179" s="4">
        <v>3.0</v>
      </c>
      <c r="R1179" s="90" t="s">
        <v>5</v>
      </c>
      <c r="S1179" s="67">
        <v>7.0</v>
      </c>
      <c r="T1179" s="66">
        <f t="shared" si="511"/>
        <v>9</v>
      </c>
      <c r="V1179" s="67"/>
      <c r="X1179" s="4">
        <v>3.0</v>
      </c>
      <c r="Y1179" s="4">
        <v>3.0</v>
      </c>
      <c r="Z1179" s="4">
        <v>2.0</v>
      </c>
      <c r="AB1179" s="140">
        <v>1.0</v>
      </c>
      <c r="AC1179" s="140"/>
      <c r="AD1179" s="160"/>
      <c r="AE1179" s="160"/>
    </row>
    <row r="1180">
      <c r="A1180" s="11">
        <v>46167.0</v>
      </c>
      <c r="B1180" s="114" t="s">
        <v>6</v>
      </c>
      <c r="C1180" s="115">
        <v>25.0</v>
      </c>
      <c r="D1180" s="6"/>
      <c r="E1180" s="66">
        <f t="shared" si="508"/>
        <v>5</v>
      </c>
      <c r="F1180" s="13">
        <f t="shared" si="509"/>
        <v>24</v>
      </c>
      <c r="G1180" s="6">
        <f t="shared" si="510"/>
        <v>6</v>
      </c>
      <c r="I1180" s="115"/>
      <c r="J1180" s="115"/>
      <c r="K1180" s="115">
        <v>3.0</v>
      </c>
      <c r="L1180" s="115">
        <v>4.0</v>
      </c>
      <c r="M1180" s="115">
        <v>5.0</v>
      </c>
      <c r="N1180" s="115">
        <v>2.0</v>
      </c>
      <c r="O1180" s="115">
        <v>3.0</v>
      </c>
      <c r="P1180" s="115">
        <v>4.0</v>
      </c>
      <c r="Q1180" s="115">
        <v>3.0</v>
      </c>
      <c r="R1180" s="90" t="s">
        <v>6</v>
      </c>
      <c r="S1180" s="67">
        <v>1.0</v>
      </c>
      <c r="T1180" s="66">
        <f t="shared" si="511"/>
        <v>0</v>
      </c>
      <c r="V1180" s="67"/>
      <c r="AB1180" s="139"/>
      <c r="AC1180" s="139"/>
      <c r="AD1180" s="160"/>
      <c r="AE1180" s="160"/>
    </row>
    <row r="1181">
      <c r="A1181" s="11">
        <v>46167.0</v>
      </c>
      <c r="B1181" s="13" t="s">
        <v>7</v>
      </c>
      <c r="C1181" s="4">
        <v>25.0</v>
      </c>
      <c r="D1181" s="82">
        <v>2.0</v>
      </c>
      <c r="E1181" s="66">
        <f t="shared" si="508"/>
        <v>1</v>
      </c>
      <c r="F1181" s="13">
        <f t="shared" si="509"/>
        <v>25</v>
      </c>
      <c r="G1181" s="6">
        <f t="shared" si="510"/>
        <v>3</v>
      </c>
      <c r="K1181" s="4">
        <v>3.0</v>
      </c>
      <c r="L1181" s="4">
        <v>5.0</v>
      </c>
      <c r="M1181" s="4">
        <v>5.0</v>
      </c>
      <c r="N1181" s="13">
        <v>1.0</v>
      </c>
      <c r="O1181" s="4">
        <v>3.0</v>
      </c>
      <c r="P1181" s="4">
        <v>4.0</v>
      </c>
      <c r="Q1181" s="4">
        <v>4.0</v>
      </c>
      <c r="R1181" s="90" t="s">
        <v>7</v>
      </c>
      <c r="S1181" s="67"/>
      <c r="T1181" s="66">
        <f t="shared" si="511"/>
        <v>6</v>
      </c>
      <c r="V1181" s="67"/>
      <c r="W1181" s="4">
        <v>2.0</v>
      </c>
      <c r="AA1181" s="4">
        <v>1.0</v>
      </c>
      <c r="AB1181" s="140"/>
      <c r="AC1181" s="140">
        <v>3.0</v>
      </c>
      <c r="AD1181" s="160"/>
      <c r="AE1181" s="160"/>
    </row>
    <row r="1182">
      <c r="A1182" s="11">
        <v>46167.0</v>
      </c>
      <c r="B1182" s="114" t="s">
        <v>8</v>
      </c>
      <c r="C1182" s="115">
        <v>45.0</v>
      </c>
      <c r="D1182" s="82">
        <v>1.0</v>
      </c>
      <c r="E1182" s="66">
        <f t="shared" si="508"/>
        <v>6</v>
      </c>
      <c r="F1182" s="13">
        <f t="shared" si="509"/>
        <v>44</v>
      </c>
      <c r="G1182" s="6">
        <f t="shared" si="510"/>
        <v>8</v>
      </c>
      <c r="I1182" s="115"/>
      <c r="J1182" s="115"/>
      <c r="K1182" s="115">
        <v>5.0</v>
      </c>
      <c r="L1182" s="115">
        <v>7.0</v>
      </c>
      <c r="M1182" s="115">
        <v>9.0</v>
      </c>
      <c r="N1182" s="115">
        <v>2.0</v>
      </c>
      <c r="O1182" s="115">
        <v>7.0</v>
      </c>
      <c r="P1182" s="115">
        <v>7.0</v>
      </c>
      <c r="Q1182" s="115">
        <v>7.0</v>
      </c>
      <c r="R1182" s="90" t="s">
        <v>8</v>
      </c>
      <c r="S1182" s="67">
        <v>3.0</v>
      </c>
      <c r="T1182" s="66">
        <f t="shared" si="511"/>
        <v>11</v>
      </c>
      <c r="V1182" s="67"/>
      <c r="W1182" s="4">
        <v>4.0</v>
      </c>
      <c r="X1182" s="4">
        <v>3.0</v>
      </c>
      <c r="AA1182" s="4">
        <v>2.0</v>
      </c>
      <c r="AB1182" s="139">
        <v>2.0</v>
      </c>
      <c r="AC1182" s="139"/>
      <c r="AD1182" s="160"/>
      <c r="AE1182" s="160"/>
    </row>
    <row r="1183">
      <c r="A1183" s="11">
        <v>46167.0</v>
      </c>
      <c r="B1183" s="13" t="s">
        <v>9</v>
      </c>
      <c r="C1183" s="4">
        <v>45.0</v>
      </c>
      <c r="D1183" s="82">
        <v>4.0</v>
      </c>
      <c r="E1183" s="66">
        <f t="shared" si="508"/>
        <v>4</v>
      </c>
      <c r="F1183" s="13">
        <f t="shared" si="509"/>
        <v>47</v>
      </c>
      <c r="G1183" s="6">
        <f t="shared" si="510"/>
        <v>6</v>
      </c>
      <c r="K1183" s="4">
        <v>5.0</v>
      </c>
      <c r="L1183" s="4">
        <v>7.0</v>
      </c>
      <c r="M1183" s="4">
        <v>9.0</v>
      </c>
      <c r="N1183" s="13">
        <v>3.0</v>
      </c>
      <c r="O1183" s="4">
        <v>9.0</v>
      </c>
      <c r="P1183" s="4">
        <v>7.0</v>
      </c>
      <c r="Q1183" s="4">
        <v>7.0</v>
      </c>
      <c r="R1183" s="90" t="s">
        <v>9</v>
      </c>
      <c r="S1183" s="67">
        <v>2.0</v>
      </c>
      <c r="T1183" s="66">
        <f t="shared" si="511"/>
        <v>6</v>
      </c>
      <c r="V1183" s="67"/>
      <c r="W1183" s="4">
        <v>3.0</v>
      </c>
      <c r="AA1183" s="4">
        <v>2.0</v>
      </c>
      <c r="AB1183" s="140">
        <v>1.0</v>
      </c>
      <c r="AC1183" s="140"/>
      <c r="AD1183" s="160"/>
      <c r="AE1183" s="160"/>
    </row>
    <row r="1184">
      <c r="A1184" s="11">
        <v>46167.0</v>
      </c>
      <c r="B1184" s="114" t="s">
        <v>10</v>
      </c>
      <c r="C1184" s="115">
        <v>35.0</v>
      </c>
      <c r="D1184" s="6"/>
      <c r="E1184" s="66">
        <f t="shared" si="508"/>
        <v>2</v>
      </c>
      <c r="F1184" s="13">
        <f t="shared" si="509"/>
        <v>28</v>
      </c>
      <c r="G1184" s="6">
        <f t="shared" si="510"/>
        <v>9</v>
      </c>
      <c r="I1184" s="115"/>
      <c r="J1184" s="115"/>
      <c r="K1184" s="115">
        <v>4.0</v>
      </c>
      <c r="L1184" s="115">
        <v>5.0</v>
      </c>
      <c r="M1184" s="115">
        <v>5.0</v>
      </c>
      <c r="N1184" s="115">
        <v>2.0</v>
      </c>
      <c r="O1184" s="115">
        <v>3.0</v>
      </c>
      <c r="P1184" s="115">
        <v>4.0</v>
      </c>
      <c r="Q1184" s="115">
        <v>5.0</v>
      </c>
      <c r="R1184" s="90" t="s">
        <v>10</v>
      </c>
      <c r="S1184" s="67">
        <v>4.0</v>
      </c>
      <c r="T1184" s="66">
        <f t="shared" si="511"/>
        <v>3</v>
      </c>
      <c r="V1184" s="67"/>
      <c r="W1184" s="4">
        <v>2.0</v>
      </c>
      <c r="X1184" s="4">
        <v>1.0</v>
      </c>
      <c r="AB1184" s="139"/>
      <c r="AC1184" s="139"/>
      <c r="AD1184" s="160"/>
      <c r="AE1184" s="160"/>
    </row>
    <row r="1185">
      <c r="A1185" s="11">
        <v>46167.0</v>
      </c>
      <c r="B1185" s="13" t="s">
        <v>11</v>
      </c>
      <c r="C1185" s="4">
        <v>30.0</v>
      </c>
      <c r="D1185" s="82">
        <v>1.0</v>
      </c>
      <c r="E1185" s="66">
        <f t="shared" si="508"/>
        <v>0</v>
      </c>
      <c r="F1185" s="13">
        <f t="shared" si="509"/>
        <v>25</v>
      </c>
      <c r="G1185" s="6">
        <f t="shared" si="510"/>
        <v>6</v>
      </c>
      <c r="K1185" s="4">
        <v>3.0</v>
      </c>
      <c r="L1185" s="4">
        <v>5.0</v>
      </c>
      <c r="M1185" s="13">
        <v>5.0</v>
      </c>
      <c r="N1185" s="13">
        <v>1.0</v>
      </c>
      <c r="O1185" s="13">
        <v>2.0</v>
      </c>
      <c r="P1185" s="4">
        <v>4.0</v>
      </c>
      <c r="Q1185" s="4">
        <v>5.0</v>
      </c>
      <c r="R1185" s="90" t="s">
        <v>11</v>
      </c>
      <c r="S1185" s="67">
        <v>4.0</v>
      </c>
      <c r="T1185" s="66">
        <f t="shared" si="511"/>
        <v>6</v>
      </c>
      <c r="V1185" s="67"/>
      <c r="Z1185" s="4">
        <v>1.0</v>
      </c>
      <c r="AB1185" s="140">
        <v>3.0</v>
      </c>
      <c r="AC1185" s="140">
        <v>2.0</v>
      </c>
      <c r="AD1185" s="160"/>
      <c r="AE1185" s="160"/>
    </row>
    <row r="1186">
      <c r="A1186" s="11">
        <v>46167.0</v>
      </c>
      <c r="B1186" s="114" t="s">
        <v>12</v>
      </c>
      <c r="C1186" s="115">
        <v>30.0</v>
      </c>
      <c r="D1186" s="6"/>
      <c r="E1186" s="66">
        <f t="shared" si="508"/>
        <v>1</v>
      </c>
      <c r="F1186" s="13">
        <f t="shared" si="509"/>
        <v>27</v>
      </c>
      <c r="G1186" s="6">
        <f t="shared" si="510"/>
        <v>4</v>
      </c>
      <c r="I1186" s="115"/>
      <c r="J1186" s="115"/>
      <c r="K1186" s="115">
        <v>3.0</v>
      </c>
      <c r="L1186" s="115">
        <v>5.0</v>
      </c>
      <c r="M1186" s="115">
        <v>5.0</v>
      </c>
      <c r="N1186" s="115">
        <v>2.0</v>
      </c>
      <c r="O1186" s="115">
        <v>5.0</v>
      </c>
      <c r="P1186" s="115">
        <v>3.0</v>
      </c>
      <c r="Q1186" s="115">
        <v>4.0</v>
      </c>
      <c r="R1186" s="90" t="s">
        <v>12</v>
      </c>
      <c r="S1186" s="67">
        <v>1.0</v>
      </c>
      <c r="T1186" s="66">
        <f t="shared" si="511"/>
        <v>9</v>
      </c>
      <c r="V1186" s="67"/>
      <c r="Y1186" s="4">
        <v>3.0</v>
      </c>
      <c r="AA1186" s="4">
        <v>4.0</v>
      </c>
      <c r="AB1186" s="139">
        <v>1.0</v>
      </c>
      <c r="AC1186" s="139">
        <v>1.0</v>
      </c>
      <c r="AD1186" s="160"/>
      <c r="AE1186" s="160"/>
    </row>
    <row r="1187">
      <c r="A1187" s="11">
        <v>46167.0</v>
      </c>
      <c r="B1187" s="13" t="s">
        <v>13</v>
      </c>
      <c r="C1187" s="4">
        <v>35.0</v>
      </c>
      <c r="D1187" s="82">
        <v>3.0</v>
      </c>
      <c r="E1187" s="66">
        <f t="shared" si="508"/>
        <v>3</v>
      </c>
      <c r="F1187" s="13">
        <f t="shared" si="509"/>
        <v>32</v>
      </c>
      <c r="G1187" s="6">
        <f t="shared" si="510"/>
        <v>9</v>
      </c>
      <c r="K1187" s="13">
        <v>4.0</v>
      </c>
      <c r="L1187" s="13">
        <v>5.0</v>
      </c>
      <c r="M1187" s="4">
        <v>7.0</v>
      </c>
      <c r="N1187" s="13">
        <v>2.0</v>
      </c>
      <c r="O1187" s="4">
        <v>5.0</v>
      </c>
      <c r="P1187" s="4">
        <v>4.0</v>
      </c>
      <c r="Q1187" s="4">
        <v>5.0</v>
      </c>
      <c r="R1187" s="90" t="s">
        <v>13</v>
      </c>
      <c r="S1187" s="67"/>
      <c r="T1187" s="66">
        <f t="shared" si="511"/>
        <v>5</v>
      </c>
      <c r="V1187" s="67"/>
      <c r="Y1187" s="4">
        <v>1.0</v>
      </c>
      <c r="AA1187" s="4">
        <v>2.0</v>
      </c>
      <c r="AB1187" s="140">
        <v>2.0</v>
      </c>
      <c r="AC1187" s="140"/>
      <c r="AD1187" s="160"/>
      <c r="AE1187" s="160"/>
    </row>
    <row r="1188">
      <c r="A1188" s="11">
        <v>46167.0</v>
      </c>
      <c r="B1188" s="114" t="s">
        <v>14</v>
      </c>
      <c r="C1188" s="115">
        <v>30.0</v>
      </c>
      <c r="D1188" s="6"/>
      <c r="E1188" s="66">
        <f t="shared" si="508"/>
        <v>3</v>
      </c>
      <c r="F1188" s="13">
        <f t="shared" si="509"/>
        <v>26</v>
      </c>
      <c r="G1188" s="6">
        <f t="shared" si="510"/>
        <v>7</v>
      </c>
      <c r="I1188" s="115"/>
      <c r="J1188" s="115"/>
      <c r="K1188" s="115">
        <v>4.0</v>
      </c>
      <c r="L1188" s="115">
        <v>5.0</v>
      </c>
      <c r="M1188" s="115">
        <v>6.0</v>
      </c>
      <c r="N1188" s="115">
        <v>1.0</v>
      </c>
      <c r="O1188" s="115">
        <v>3.0</v>
      </c>
      <c r="P1188" s="115">
        <v>3.0</v>
      </c>
      <c r="Q1188" s="115">
        <v>4.0</v>
      </c>
      <c r="R1188" s="90" t="s">
        <v>14</v>
      </c>
      <c r="S1188" s="67">
        <v>5.0</v>
      </c>
      <c r="T1188" s="66">
        <f t="shared" si="511"/>
        <v>1</v>
      </c>
      <c r="V1188" s="67"/>
      <c r="W1188" s="4">
        <v>1.0</v>
      </c>
      <c r="AB1188" s="139"/>
      <c r="AC1188" s="139"/>
      <c r="AD1188" s="160"/>
      <c r="AE1188" s="160"/>
    </row>
    <row r="1189">
      <c r="A1189" s="11">
        <v>46167.0</v>
      </c>
      <c r="B1189" s="13" t="s">
        <v>15</v>
      </c>
      <c r="C1189" s="4">
        <v>225.0</v>
      </c>
      <c r="D1189" s="82"/>
      <c r="E1189" s="66">
        <f t="shared" si="508"/>
        <v>28</v>
      </c>
      <c r="F1189" s="13">
        <f t="shared" si="509"/>
        <v>286</v>
      </c>
      <c r="G1189" s="6">
        <f t="shared" si="510"/>
        <v>-33</v>
      </c>
      <c r="I1189" s="4">
        <v>7.0</v>
      </c>
      <c r="K1189" s="4">
        <v>33.0</v>
      </c>
      <c r="L1189" s="4">
        <v>40.0</v>
      </c>
      <c r="M1189" s="4">
        <v>51.0</v>
      </c>
      <c r="N1189" s="4">
        <v>35.0</v>
      </c>
      <c r="O1189" s="4">
        <v>40.0</v>
      </c>
      <c r="P1189" s="4">
        <v>31.0</v>
      </c>
      <c r="Q1189" s="4">
        <f>31+18</f>
        <v>49</v>
      </c>
      <c r="R1189" s="90" t="s">
        <v>15</v>
      </c>
      <c r="S1189" s="67">
        <v>9.0</v>
      </c>
      <c r="T1189" s="66">
        <f t="shared" si="511"/>
        <v>57</v>
      </c>
      <c r="U1189" s="4">
        <v>7.0</v>
      </c>
      <c r="V1189" s="67"/>
      <c r="W1189" s="4">
        <v>9.0</v>
      </c>
      <c r="X1189" s="4">
        <v>16.0</v>
      </c>
      <c r="Y1189" s="4">
        <v>1.0</v>
      </c>
      <c r="Z1189" s="4">
        <v>13.0</v>
      </c>
      <c r="AA1189" s="4">
        <v>11.0</v>
      </c>
      <c r="AB1189" s="140"/>
      <c r="AC1189" s="140"/>
      <c r="AD1189" s="160"/>
      <c r="AE1189" s="160"/>
    </row>
    <row r="1190">
      <c r="A1190" s="11">
        <v>46167.0</v>
      </c>
      <c r="B1190" s="4" t="s">
        <v>16</v>
      </c>
      <c r="C1190" s="13">
        <f t="shared" ref="C1190:D1190" si="512">sum(C1178:C1189)</f>
        <v>600</v>
      </c>
      <c r="D1190" s="6">
        <f t="shared" si="512"/>
        <v>17</v>
      </c>
      <c r="E1190" s="66">
        <f t="shared" si="508"/>
        <v>60</v>
      </c>
      <c r="F1190" s="13">
        <f t="shared" ref="F1190:G1190" si="513">sum(F1178:F1189)</f>
        <v>632</v>
      </c>
      <c r="G1190" s="6">
        <f t="shared" si="513"/>
        <v>45</v>
      </c>
      <c r="I1190" s="157">
        <f t="shared" ref="I1190:Q1190" si="514">sum(I1178:I1189)</f>
        <v>7</v>
      </c>
      <c r="J1190" s="157">
        <f t="shared" si="514"/>
        <v>0</v>
      </c>
      <c r="K1190" s="157">
        <f t="shared" si="514"/>
        <v>75</v>
      </c>
      <c r="L1190" s="157">
        <f t="shared" si="514"/>
        <v>100</v>
      </c>
      <c r="M1190" s="157">
        <f t="shared" si="514"/>
        <v>121</v>
      </c>
      <c r="N1190" s="157">
        <f t="shared" si="514"/>
        <v>55</v>
      </c>
      <c r="O1190" s="157">
        <f t="shared" si="514"/>
        <v>91</v>
      </c>
      <c r="P1190" s="157">
        <f t="shared" si="514"/>
        <v>82</v>
      </c>
      <c r="Q1190" s="157">
        <f t="shared" si="514"/>
        <v>101</v>
      </c>
      <c r="R1190" s="135"/>
      <c r="S1190" s="136">
        <f t="shared" ref="S1190:AC1190" si="515">sum(S1178:S1189)</f>
        <v>40</v>
      </c>
      <c r="T1190" s="136">
        <f t="shared" si="515"/>
        <v>121</v>
      </c>
      <c r="U1190" s="135">
        <f t="shared" si="515"/>
        <v>7</v>
      </c>
      <c r="V1190" s="136">
        <f t="shared" si="515"/>
        <v>0</v>
      </c>
      <c r="W1190" s="135">
        <f t="shared" si="515"/>
        <v>23</v>
      </c>
      <c r="X1190" s="135">
        <f t="shared" si="515"/>
        <v>24</v>
      </c>
      <c r="Y1190" s="135">
        <f t="shared" si="515"/>
        <v>10</v>
      </c>
      <c r="Z1190" s="135">
        <f t="shared" si="515"/>
        <v>16</v>
      </c>
      <c r="AA1190" s="135">
        <f t="shared" si="515"/>
        <v>22</v>
      </c>
      <c r="AB1190" s="135">
        <f t="shared" si="515"/>
        <v>13</v>
      </c>
      <c r="AC1190" s="135">
        <f t="shared" si="515"/>
        <v>6</v>
      </c>
      <c r="AD1190" s="160"/>
      <c r="AE1190" s="160"/>
    </row>
    <row r="1191">
      <c r="D1191" s="82">
        <v>100.0</v>
      </c>
      <c r="E1191" s="4">
        <v>3.0</v>
      </c>
      <c r="I1191" s="13">
        <f t="shared" ref="I1191:Q1191" si="516">I1190-U1190</f>
        <v>0</v>
      </c>
      <c r="J1191" s="66">
        <f t="shared" si="516"/>
        <v>0</v>
      </c>
      <c r="K1191" s="13">
        <f t="shared" si="516"/>
        <v>52</v>
      </c>
      <c r="L1191" s="13">
        <f t="shared" si="516"/>
        <v>76</v>
      </c>
      <c r="M1191" s="13">
        <f t="shared" si="516"/>
        <v>111</v>
      </c>
      <c r="N1191" s="13">
        <f t="shared" si="516"/>
        <v>39</v>
      </c>
      <c r="O1191" s="13">
        <f t="shared" si="516"/>
        <v>69</v>
      </c>
      <c r="P1191" s="13">
        <f t="shared" si="516"/>
        <v>69</v>
      </c>
      <c r="Q1191" s="13">
        <f t="shared" si="516"/>
        <v>95</v>
      </c>
      <c r="AD1191" s="160"/>
      <c r="AE1191" s="160"/>
    </row>
    <row r="1192">
      <c r="D1192" s="4">
        <f>C1190</f>
        <v>600</v>
      </c>
      <c r="E1192" s="13">
        <f>D1192*3/100</f>
        <v>18</v>
      </c>
      <c r="I1192" s="97"/>
      <c r="J1192" s="97"/>
      <c r="K1192" s="97"/>
      <c r="L1192" s="160"/>
      <c r="M1192" s="97"/>
      <c r="N1192" s="97"/>
      <c r="O1192" s="97"/>
      <c r="P1192" s="97"/>
      <c r="Q1192" s="97"/>
      <c r="R1192" s="160"/>
      <c r="S1192" s="160"/>
      <c r="T1192" s="160"/>
      <c r="U1192" s="160"/>
      <c r="V1192" s="160"/>
      <c r="W1192" s="160"/>
      <c r="X1192" s="160"/>
      <c r="Y1192" s="160"/>
      <c r="Z1192" s="160"/>
      <c r="AA1192" s="160"/>
      <c r="AB1192" s="160"/>
      <c r="AC1192" s="160"/>
      <c r="AD1192" s="160"/>
      <c r="AE1192" s="160"/>
    </row>
    <row r="1193">
      <c r="C1193" s="4" t="s">
        <v>270</v>
      </c>
      <c r="D1193" s="82" t="s">
        <v>2</v>
      </c>
      <c r="E1193" s="4" t="s">
        <v>272</v>
      </c>
      <c r="F1193" s="4" t="s">
        <v>16</v>
      </c>
      <c r="G1193" s="4" t="s">
        <v>276</v>
      </c>
      <c r="H1193" s="4" t="s">
        <v>277</v>
      </c>
      <c r="I1193" s="4" t="s">
        <v>93</v>
      </c>
      <c r="J1193" s="4" t="s">
        <v>227</v>
      </c>
      <c r="K1193" s="4" t="s">
        <v>89</v>
      </c>
      <c r="L1193" s="4" t="s">
        <v>80</v>
      </c>
      <c r="M1193" s="4" t="s">
        <v>81</v>
      </c>
      <c r="N1193" s="4" t="s">
        <v>232</v>
      </c>
      <c r="O1193" s="4" t="s">
        <v>180</v>
      </c>
      <c r="P1193" s="4" t="s">
        <v>264</v>
      </c>
      <c r="Q1193" s="4" t="s">
        <v>169</v>
      </c>
      <c r="R1193" s="127" t="s">
        <v>236</v>
      </c>
      <c r="S1193" s="128" t="s">
        <v>233</v>
      </c>
      <c r="T1193" s="128" t="s">
        <v>234</v>
      </c>
      <c r="U1193" s="128" t="s">
        <v>238</v>
      </c>
      <c r="V1193" s="128" t="s">
        <v>231</v>
      </c>
      <c r="W1193" s="128" t="s">
        <v>239</v>
      </c>
      <c r="X1193" s="128" t="s">
        <v>246</v>
      </c>
      <c r="Y1193" s="128" t="s">
        <v>247</v>
      </c>
      <c r="Z1193" s="128" t="s">
        <v>248</v>
      </c>
      <c r="AA1193" s="128" t="s">
        <v>283</v>
      </c>
      <c r="AB1193" s="130" t="s">
        <v>268</v>
      </c>
      <c r="AC1193" s="130" t="s">
        <v>169</v>
      </c>
      <c r="AD1193" s="160"/>
      <c r="AE1193" s="160"/>
    </row>
    <row r="1194">
      <c r="A1194" s="11">
        <v>46168.0</v>
      </c>
      <c r="B1194" s="114" t="s">
        <v>4</v>
      </c>
      <c r="C1194" s="115">
        <v>19.0</v>
      </c>
      <c r="D1194" s="82"/>
      <c r="E1194" s="66">
        <f t="shared" ref="E1194:E1206" si="517">S1178+T1178</f>
        <v>12</v>
      </c>
      <c r="F1194" s="13">
        <f t="shared" ref="F1194:F1205" si="518">sum(H1194:P1194)+Q1194</f>
        <v>31</v>
      </c>
      <c r="G1194" s="6">
        <f t="shared" ref="G1194:G1205" si="519">C1194+D1194-F1194+E1194</f>
        <v>0</v>
      </c>
      <c r="I1194" s="115"/>
      <c r="J1194" s="115"/>
      <c r="K1194" s="115">
        <v>5.0</v>
      </c>
      <c r="L1194" s="115">
        <v>5.0</v>
      </c>
      <c r="M1194" s="115">
        <v>7.0</v>
      </c>
      <c r="N1194" s="115"/>
      <c r="O1194" s="115">
        <v>5.0</v>
      </c>
      <c r="P1194" s="115">
        <v>4.0</v>
      </c>
      <c r="Q1194" s="115">
        <v>5.0</v>
      </c>
      <c r="R1194" s="90" t="s">
        <v>4</v>
      </c>
      <c r="S1194" s="67"/>
      <c r="T1194" s="66">
        <f t="shared" ref="T1194:T1205" si="520">sum(U1194:AC1194)</f>
        <v>3</v>
      </c>
      <c r="V1194" s="67"/>
      <c r="X1194" s="4">
        <v>3.0</v>
      </c>
      <c r="AB1194" s="138"/>
      <c r="AC1194" s="138"/>
      <c r="AD1194" s="160"/>
      <c r="AE1194" s="160"/>
    </row>
    <row r="1195">
      <c r="A1195" s="11">
        <v>46168.0</v>
      </c>
      <c r="B1195" s="13" t="s">
        <v>5</v>
      </c>
      <c r="C1195" s="4">
        <v>8.0</v>
      </c>
      <c r="D1195" s="82"/>
      <c r="E1195" s="66">
        <f t="shared" si="517"/>
        <v>16</v>
      </c>
      <c r="F1195" s="13">
        <f t="shared" si="518"/>
        <v>24</v>
      </c>
      <c r="G1195" s="6">
        <f t="shared" si="519"/>
        <v>0</v>
      </c>
      <c r="K1195" s="4">
        <v>3.0</v>
      </c>
      <c r="L1195" s="13">
        <v>5.0</v>
      </c>
      <c r="M1195" s="13">
        <v>5.0</v>
      </c>
      <c r="O1195" s="4">
        <v>4.0</v>
      </c>
      <c r="P1195" s="4">
        <v>2.0</v>
      </c>
      <c r="Q1195" s="4">
        <v>5.0</v>
      </c>
      <c r="R1195" s="90" t="s">
        <v>5</v>
      </c>
      <c r="S1195" s="67"/>
      <c r="T1195" s="66">
        <f t="shared" si="520"/>
        <v>5</v>
      </c>
      <c r="V1195" s="67"/>
      <c r="W1195" s="4">
        <v>1.0</v>
      </c>
      <c r="X1195" s="4">
        <v>2.0</v>
      </c>
      <c r="AB1195" s="140"/>
      <c r="AC1195" s="140">
        <v>2.0</v>
      </c>
      <c r="AD1195" s="160"/>
      <c r="AE1195" s="160"/>
    </row>
    <row r="1196">
      <c r="A1196" s="11">
        <v>46168.0</v>
      </c>
      <c r="B1196" s="114" t="s">
        <v>6</v>
      </c>
      <c r="C1196" s="115">
        <v>13.0</v>
      </c>
      <c r="D1196" s="82">
        <v>2.0</v>
      </c>
      <c r="E1196" s="66">
        <f t="shared" si="517"/>
        <v>1</v>
      </c>
      <c r="F1196" s="13">
        <f t="shared" si="518"/>
        <v>16</v>
      </c>
      <c r="G1196" s="6">
        <f t="shared" si="519"/>
        <v>0</v>
      </c>
      <c r="I1196" s="115"/>
      <c r="J1196" s="115"/>
      <c r="K1196" s="115">
        <v>2.0</v>
      </c>
      <c r="L1196" s="115">
        <v>4.0</v>
      </c>
      <c r="M1196" s="115">
        <v>4.0</v>
      </c>
      <c r="N1196" s="115"/>
      <c r="O1196" s="115">
        <v>3.0</v>
      </c>
      <c r="P1196" s="115"/>
      <c r="Q1196" s="115">
        <v>3.0</v>
      </c>
      <c r="R1196" s="90" t="s">
        <v>6</v>
      </c>
      <c r="S1196" s="67"/>
      <c r="T1196" s="66">
        <f t="shared" si="520"/>
        <v>2</v>
      </c>
      <c r="V1196" s="67"/>
      <c r="X1196" s="4">
        <v>2.0</v>
      </c>
      <c r="AB1196" s="139"/>
      <c r="AC1196" s="139"/>
      <c r="AD1196" s="160"/>
      <c r="AE1196" s="160"/>
    </row>
    <row r="1197">
      <c r="A1197" s="11">
        <v>46168.0</v>
      </c>
      <c r="B1197" s="13" t="s">
        <v>7</v>
      </c>
      <c r="C1197" s="4">
        <v>18.0</v>
      </c>
      <c r="D1197" s="82">
        <v>2.0</v>
      </c>
      <c r="E1197" s="66">
        <f t="shared" si="517"/>
        <v>6</v>
      </c>
      <c r="F1197" s="13">
        <f t="shared" si="518"/>
        <v>26</v>
      </c>
      <c r="G1197" s="6">
        <f t="shared" si="519"/>
        <v>0</v>
      </c>
      <c r="K1197" s="4">
        <v>3.0</v>
      </c>
      <c r="L1197" s="13">
        <v>4.0</v>
      </c>
      <c r="M1197" s="4">
        <v>5.0</v>
      </c>
      <c r="O1197" s="4">
        <v>3.0</v>
      </c>
      <c r="P1197" s="4">
        <v>7.0</v>
      </c>
      <c r="Q1197" s="4">
        <v>4.0</v>
      </c>
      <c r="R1197" s="90" t="s">
        <v>7</v>
      </c>
      <c r="S1197" s="67"/>
      <c r="T1197" s="66">
        <f t="shared" si="520"/>
        <v>8</v>
      </c>
      <c r="V1197" s="67"/>
      <c r="W1197" s="4">
        <v>1.0</v>
      </c>
      <c r="X1197" s="4">
        <v>3.0</v>
      </c>
      <c r="Y1197" s="4">
        <v>4.0</v>
      </c>
      <c r="AB1197" s="140"/>
      <c r="AC1197" s="140"/>
      <c r="AD1197" s="160"/>
      <c r="AE1197" s="160"/>
    </row>
    <row r="1198">
      <c r="A1198" s="11">
        <v>46168.0</v>
      </c>
      <c r="B1198" s="114" t="s">
        <v>8</v>
      </c>
      <c r="C1198" s="115">
        <v>25.0</v>
      </c>
      <c r="D1198" s="82">
        <v>5.0</v>
      </c>
      <c r="E1198" s="66">
        <f t="shared" si="517"/>
        <v>14</v>
      </c>
      <c r="F1198" s="13">
        <f t="shared" si="518"/>
        <v>44</v>
      </c>
      <c r="G1198" s="6">
        <f t="shared" si="519"/>
        <v>0</v>
      </c>
      <c r="I1198" s="115"/>
      <c r="J1198" s="115"/>
      <c r="K1198" s="115">
        <v>5.0</v>
      </c>
      <c r="L1198" s="115">
        <v>7.0</v>
      </c>
      <c r="M1198" s="115">
        <v>7.0</v>
      </c>
      <c r="N1198" s="115"/>
      <c r="O1198" s="115">
        <v>7.0</v>
      </c>
      <c r="P1198" s="115">
        <v>7.0</v>
      </c>
      <c r="Q1198" s="115">
        <v>11.0</v>
      </c>
      <c r="R1198" s="90" t="s">
        <v>8</v>
      </c>
      <c r="S1198" s="67"/>
      <c r="T1198" s="66">
        <f t="shared" si="520"/>
        <v>4</v>
      </c>
      <c r="V1198" s="67"/>
      <c r="X1198" s="4">
        <v>1.0</v>
      </c>
      <c r="Y1198" s="4">
        <v>3.0</v>
      </c>
      <c r="AB1198" s="139"/>
      <c r="AC1198" s="139"/>
      <c r="AD1198" s="160"/>
      <c r="AE1198" s="160"/>
    </row>
    <row r="1199">
      <c r="A1199" s="11">
        <v>46168.0</v>
      </c>
      <c r="B1199" s="13" t="s">
        <v>9</v>
      </c>
      <c r="C1199" s="4">
        <v>18.0</v>
      </c>
      <c r="D1199" s="82">
        <v>6.0</v>
      </c>
      <c r="E1199" s="66">
        <f t="shared" si="517"/>
        <v>8</v>
      </c>
      <c r="F1199" s="13">
        <f t="shared" si="518"/>
        <v>32</v>
      </c>
      <c r="G1199" s="6">
        <f t="shared" si="519"/>
        <v>0</v>
      </c>
      <c r="K1199" s="4">
        <v>4.0</v>
      </c>
      <c r="L1199" s="4">
        <v>5.0</v>
      </c>
      <c r="M1199" s="4">
        <v>5.0</v>
      </c>
      <c r="O1199" s="4">
        <v>5.0</v>
      </c>
      <c r="P1199" s="4">
        <v>4.0</v>
      </c>
      <c r="Q1199" s="4">
        <v>9.0</v>
      </c>
      <c r="R1199" s="90" t="s">
        <v>9</v>
      </c>
      <c r="S1199" s="67"/>
      <c r="T1199" s="66">
        <f t="shared" si="520"/>
        <v>0</v>
      </c>
      <c r="V1199" s="67"/>
      <c r="AB1199" s="140"/>
      <c r="AC1199" s="140"/>
      <c r="AD1199" s="160"/>
      <c r="AE1199" s="160"/>
    </row>
    <row r="1200">
      <c r="A1200" s="11">
        <v>46168.0</v>
      </c>
      <c r="B1200" s="114" t="s">
        <v>10</v>
      </c>
      <c r="C1200" s="115">
        <v>10.0</v>
      </c>
      <c r="D1200" s="6"/>
      <c r="E1200" s="66">
        <f t="shared" si="517"/>
        <v>7</v>
      </c>
      <c r="F1200" s="13">
        <f t="shared" si="518"/>
        <v>17</v>
      </c>
      <c r="G1200" s="6">
        <f t="shared" si="519"/>
        <v>0</v>
      </c>
      <c r="I1200" s="115"/>
      <c r="J1200" s="115"/>
      <c r="K1200" s="115">
        <v>2.0</v>
      </c>
      <c r="L1200" s="115">
        <v>3.0</v>
      </c>
      <c r="M1200" s="115">
        <v>4.0</v>
      </c>
      <c r="N1200" s="115"/>
      <c r="O1200" s="115">
        <v>3.0</v>
      </c>
      <c r="P1200" s="115"/>
      <c r="Q1200" s="115">
        <v>5.0</v>
      </c>
      <c r="R1200" s="90" t="s">
        <v>10</v>
      </c>
      <c r="S1200" s="67"/>
      <c r="T1200" s="66">
        <f t="shared" si="520"/>
        <v>1</v>
      </c>
      <c r="V1200" s="67"/>
      <c r="Y1200" s="4">
        <v>1.0</v>
      </c>
      <c r="AB1200" s="139"/>
      <c r="AC1200" s="139"/>
      <c r="AD1200" s="160"/>
      <c r="AE1200" s="160"/>
    </row>
    <row r="1201">
      <c r="A1201" s="11">
        <v>46168.0</v>
      </c>
      <c r="B1201" s="13" t="s">
        <v>11</v>
      </c>
      <c r="C1201" s="4">
        <v>11.0</v>
      </c>
      <c r="D1201" s="82">
        <v>2.0</v>
      </c>
      <c r="E1201" s="66">
        <f t="shared" si="517"/>
        <v>10</v>
      </c>
      <c r="F1201" s="13">
        <f t="shared" si="518"/>
        <v>23</v>
      </c>
      <c r="G1201" s="6">
        <f t="shared" si="519"/>
        <v>0</v>
      </c>
      <c r="K1201" s="4">
        <v>3.0</v>
      </c>
      <c r="L1201" s="4">
        <v>4.0</v>
      </c>
      <c r="M1201" s="13">
        <v>5.0</v>
      </c>
      <c r="O1201" s="13">
        <v>2.0</v>
      </c>
      <c r="P1201" s="4">
        <v>4.0</v>
      </c>
      <c r="Q1201" s="4">
        <v>5.0</v>
      </c>
      <c r="R1201" s="90" t="s">
        <v>11</v>
      </c>
      <c r="S1201" s="67"/>
      <c r="T1201" s="66">
        <f t="shared" si="520"/>
        <v>1</v>
      </c>
      <c r="V1201" s="67"/>
      <c r="AA1201" s="4">
        <v>1.0</v>
      </c>
      <c r="AB1201" s="140"/>
      <c r="AC1201" s="140"/>
      <c r="AD1201" s="160"/>
      <c r="AE1201" s="160"/>
    </row>
    <row r="1202">
      <c r="A1202" s="11">
        <v>46168.0</v>
      </c>
      <c r="B1202" s="114" t="s">
        <v>12</v>
      </c>
      <c r="C1202" s="115">
        <v>16.0</v>
      </c>
      <c r="D1202" s="82">
        <v>1.0</v>
      </c>
      <c r="E1202" s="66">
        <f t="shared" si="517"/>
        <v>10</v>
      </c>
      <c r="F1202" s="13">
        <f t="shared" si="518"/>
        <v>27</v>
      </c>
      <c r="G1202" s="6">
        <f t="shared" si="519"/>
        <v>0</v>
      </c>
      <c r="I1202" s="115"/>
      <c r="J1202" s="115"/>
      <c r="K1202" s="115">
        <v>3.0</v>
      </c>
      <c r="L1202" s="115">
        <v>7.0</v>
      </c>
      <c r="M1202" s="115">
        <v>7.0</v>
      </c>
      <c r="N1202" s="115"/>
      <c r="O1202" s="115">
        <v>3.0</v>
      </c>
      <c r="P1202" s="115">
        <v>2.0</v>
      </c>
      <c r="Q1202" s="115">
        <v>5.0</v>
      </c>
      <c r="R1202" s="90" t="s">
        <v>12</v>
      </c>
      <c r="S1202" s="67"/>
      <c r="T1202" s="66">
        <f t="shared" si="520"/>
        <v>5</v>
      </c>
      <c r="V1202" s="67"/>
      <c r="Y1202" s="4">
        <v>5.0</v>
      </c>
      <c r="AB1202" s="139"/>
      <c r="AC1202" s="139"/>
      <c r="AD1202" s="160"/>
      <c r="AE1202" s="160"/>
    </row>
    <row r="1203">
      <c r="A1203" s="11">
        <v>46168.0</v>
      </c>
      <c r="B1203" s="13" t="s">
        <v>13</v>
      </c>
      <c r="C1203" s="4">
        <v>12.0</v>
      </c>
      <c r="D1203" s="82">
        <v>2.0</v>
      </c>
      <c r="E1203" s="66">
        <f t="shared" si="517"/>
        <v>5</v>
      </c>
      <c r="F1203" s="13">
        <f t="shared" si="518"/>
        <v>19</v>
      </c>
      <c r="G1203" s="6">
        <f t="shared" si="519"/>
        <v>0</v>
      </c>
      <c r="K1203" s="4">
        <v>3.0</v>
      </c>
      <c r="L1203" s="4">
        <v>4.0</v>
      </c>
      <c r="M1203" s="4">
        <v>4.0</v>
      </c>
      <c r="O1203" s="4">
        <v>2.0</v>
      </c>
      <c r="P1203" s="4">
        <v>2.0</v>
      </c>
      <c r="Q1203" s="4">
        <v>4.0</v>
      </c>
      <c r="R1203" s="90" t="s">
        <v>13</v>
      </c>
      <c r="S1203" s="67"/>
      <c r="T1203" s="66">
        <f t="shared" si="520"/>
        <v>1</v>
      </c>
      <c r="V1203" s="67"/>
      <c r="AB1203" s="140"/>
      <c r="AC1203" s="140">
        <v>1.0</v>
      </c>
      <c r="AD1203" s="160"/>
      <c r="AE1203" s="160"/>
    </row>
    <row r="1204">
      <c r="A1204" s="11">
        <v>46168.0</v>
      </c>
      <c r="B1204" s="114" t="s">
        <v>14</v>
      </c>
      <c r="C1204" s="115">
        <v>15.0</v>
      </c>
      <c r="D1204" s="6"/>
      <c r="E1204" s="66">
        <f t="shared" si="517"/>
        <v>6</v>
      </c>
      <c r="F1204" s="13">
        <f t="shared" si="518"/>
        <v>21</v>
      </c>
      <c r="G1204" s="6">
        <f t="shared" si="519"/>
        <v>0</v>
      </c>
      <c r="I1204" s="115"/>
      <c r="J1204" s="115"/>
      <c r="K1204" s="115">
        <v>4.0</v>
      </c>
      <c r="L1204" s="115">
        <v>5.0</v>
      </c>
      <c r="M1204" s="115">
        <v>6.0</v>
      </c>
      <c r="N1204" s="115"/>
      <c r="O1204" s="115">
        <v>3.0</v>
      </c>
      <c r="P1204" s="115">
        <v>1.0</v>
      </c>
      <c r="Q1204" s="115">
        <v>2.0</v>
      </c>
      <c r="R1204" s="90" t="s">
        <v>14</v>
      </c>
      <c r="S1204" s="67"/>
      <c r="T1204" s="66">
        <f t="shared" si="520"/>
        <v>4</v>
      </c>
      <c r="V1204" s="67"/>
      <c r="Y1204" s="4">
        <v>3.0</v>
      </c>
      <c r="AA1204" s="4">
        <v>1.0</v>
      </c>
      <c r="AB1204" s="139"/>
      <c r="AC1204" s="139"/>
      <c r="AD1204" s="160"/>
      <c r="AE1204" s="160"/>
    </row>
    <row r="1205">
      <c r="A1205" s="11">
        <v>46168.0</v>
      </c>
      <c r="B1205" s="13" t="s">
        <v>15</v>
      </c>
      <c r="C1205" s="4">
        <v>150.0</v>
      </c>
      <c r="D1205" s="82"/>
      <c r="E1205" s="66">
        <f t="shared" si="517"/>
        <v>66</v>
      </c>
      <c r="F1205" s="13">
        <f t="shared" si="518"/>
        <v>214</v>
      </c>
      <c r="G1205" s="6">
        <f t="shared" si="519"/>
        <v>2</v>
      </c>
      <c r="K1205" s="4">
        <v>29.0</v>
      </c>
      <c r="L1205" s="4">
        <v>30.0</v>
      </c>
      <c r="M1205" s="4">
        <v>50.0</v>
      </c>
      <c r="O1205" s="4">
        <v>33.0</v>
      </c>
      <c r="P1205" s="4">
        <v>35.0</v>
      </c>
      <c r="Q1205" s="4">
        <v>37.0</v>
      </c>
      <c r="R1205" s="90" t="s">
        <v>15</v>
      </c>
      <c r="S1205" s="67"/>
      <c r="T1205" s="66">
        <f t="shared" si="520"/>
        <v>27</v>
      </c>
      <c r="V1205" s="67"/>
      <c r="X1205" s="4">
        <v>5.0</v>
      </c>
      <c r="Y1205" s="4">
        <v>20.0</v>
      </c>
      <c r="AA1205" s="4">
        <v>1.0</v>
      </c>
      <c r="AB1205" s="140"/>
      <c r="AC1205" s="140">
        <v>1.0</v>
      </c>
      <c r="AD1205" s="160"/>
      <c r="AE1205" s="160"/>
    </row>
    <row r="1206">
      <c r="A1206" s="11">
        <v>46168.0</v>
      </c>
      <c r="B1206" s="4" t="s">
        <v>16</v>
      </c>
      <c r="C1206" s="13">
        <f t="shared" ref="C1206:D1206" si="521">sum(C1194:C1205)</f>
        <v>315</v>
      </c>
      <c r="D1206" s="6">
        <f t="shared" si="521"/>
        <v>20</v>
      </c>
      <c r="E1206" s="66">
        <f t="shared" si="517"/>
        <v>161</v>
      </c>
      <c r="F1206" s="13">
        <f t="shared" ref="F1206:G1206" si="522">sum(F1194:F1205)</f>
        <v>494</v>
      </c>
      <c r="G1206" s="6">
        <f t="shared" si="522"/>
        <v>2</v>
      </c>
      <c r="I1206" s="157">
        <f t="shared" ref="I1206:Q1206" si="523">sum(I1194:I1205)</f>
        <v>0</v>
      </c>
      <c r="J1206" s="157">
        <f t="shared" si="523"/>
        <v>0</v>
      </c>
      <c r="K1206" s="157">
        <f t="shared" si="523"/>
        <v>66</v>
      </c>
      <c r="L1206" s="157">
        <f t="shared" si="523"/>
        <v>83</v>
      </c>
      <c r="M1206" s="157">
        <f t="shared" si="523"/>
        <v>109</v>
      </c>
      <c r="N1206" s="157">
        <f t="shared" si="523"/>
        <v>0</v>
      </c>
      <c r="O1206" s="157">
        <f t="shared" si="523"/>
        <v>73</v>
      </c>
      <c r="P1206" s="157">
        <f t="shared" si="523"/>
        <v>68</v>
      </c>
      <c r="Q1206" s="157">
        <f t="shared" si="523"/>
        <v>95</v>
      </c>
      <c r="R1206" s="135"/>
      <c r="S1206" s="136">
        <f t="shared" ref="S1206:AC1206" si="524">sum(S1194:S1205)</f>
        <v>0</v>
      </c>
      <c r="T1206" s="136">
        <f t="shared" si="524"/>
        <v>61</v>
      </c>
      <c r="U1206" s="135">
        <f t="shared" si="524"/>
        <v>0</v>
      </c>
      <c r="V1206" s="136">
        <f t="shared" si="524"/>
        <v>0</v>
      </c>
      <c r="W1206" s="135">
        <f t="shared" si="524"/>
        <v>2</v>
      </c>
      <c r="X1206" s="135">
        <f t="shared" si="524"/>
        <v>16</v>
      </c>
      <c r="Y1206" s="135">
        <f t="shared" si="524"/>
        <v>36</v>
      </c>
      <c r="Z1206" s="135">
        <f t="shared" si="524"/>
        <v>0</v>
      </c>
      <c r="AA1206" s="135">
        <f t="shared" si="524"/>
        <v>3</v>
      </c>
      <c r="AB1206" s="135">
        <f t="shared" si="524"/>
        <v>0</v>
      </c>
      <c r="AC1206" s="135">
        <f t="shared" si="524"/>
        <v>4</v>
      </c>
      <c r="AD1206" s="160"/>
      <c r="AE1206" s="160"/>
    </row>
    <row r="1207">
      <c r="D1207" s="82">
        <v>100.0</v>
      </c>
      <c r="E1207" s="4">
        <v>3.0</v>
      </c>
      <c r="I1207" s="13">
        <f t="shared" ref="I1207:Q1207" si="525">I1206-U1206</f>
        <v>0</v>
      </c>
      <c r="J1207" s="66">
        <f t="shared" si="525"/>
        <v>0</v>
      </c>
      <c r="K1207" s="13">
        <f t="shared" si="525"/>
        <v>64</v>
      </c>
      <c r="L1207" s="13">
        <f t="shared" si="525"/>
        <v>67</v>
      </c>
      <c r="M1207" s="13">
        <f t="shared" si="525"/>
        <v>73</v>
      </c>
      <c r="N1207" s="13">
        <f t="shared" si="525"/>
        <v>0</v>
      </c>
      <c r="O1207" s="13">
        <f t="shared" si="525"/>
        <v>70</v>
      </c>
      <c r="P1207" s="13">
        <f t="shared" si="525"/>
        <v>68</v>
      </c>
      <c r="Q1207" s="13">
        <f t="shared" si="525"/>
        <v>91</v>
      </c>
      <c r="AC1207" s="4" t="s">
        <v>284</v>
      </c>
      <c r="AD1207" s="160"/>
      <c r="AE1207" s="160"/>
    </row>
    <row r="1208">
      <c r="D1208" s="4">
        <v>306.0</v>
      </c>
      <c r="E1208" s="13">
        <f>D1208*3/100</f>
        <v>9.18</v>
      </c>
      <c r="I1208" s="97"/>
      <c r="J1208" s="97"/>
      <c r="K1208" s="97"/>
      <c r="L1208" s="160"/>
      <c r="M1208" s="97"/>
      <c r="N1208" s="97"/>
      <c r="O1208" s="97"/>
      <c r="P1208" s="97"/>
      <c r="Q1208" s="97"/>
      <c r="R1208" s="160"/>
      <c r="S1208" s="160"/>
      <c r="T1208" s="160"/>
      <c r="U1208" s="160"/>
      <c r="V1208" s="160"/>
      <c r="W1208" s="160"/>
      <c r="X1208" s="160"/>
      <c r="Y1208" s="160"/>
      <c r="Z1208" s="160"/>
      <c r="AA1208" s="160"/>
      <c r="AB1208" s="160"/>
      <c r="AC1208" s="160"/>
      <c r="AD1208" s="160"/>
      <c r="AE1208" s="160"/>
    </row>
    <row r="1209">
      <c r="C1209" s="4" t="s">
        <v>288</v>
      </c>
      <c r="D1209" s="4" t="s">
        <v>2</v>
      </c>
      <c r="I1209" s="97"/>
      <c r="J1209" s="97"/>
      <c r="K1209" s="97"/>
      <c r="L1209" s="160"/>
      <c r="M1209" s="97"/>
      <c r="N1209" s="97"/>
      <c r="O1209" s="97"/>
      <c r="P1209" s="97"/>
      <c r="Q1209" s="97"/>
      <c r="R1209" s="160"/>
      <c r="S1209" s="160"/>
      <c r="T1209" s="160"/>
      <c r="U1209" s="160"/>
      <c r="V1209" s="160"/>
      <c r="W1209" s="160"/>
      <c r="X1209" s="160"/>
      <c r="Y1209" s="160"/>
      <c r="Z1209" s="160"/>
      <c r="AA1209" s="160"/>
      <c r="AB1209" s="160"/>
      <c r="AC1209" s="160"/>
      <c r="AD1209" s="160"/>
      <c r="AE1209" s="160"/>
    </row>
    <row r="1210">
      <c r="B1210" s="114" t="s">
        <v>4</v>
      </c>
      <c r="C1210" s="13">
        <f t="shared" ref="C1210:D1210" si="526">C1178+C1194</f>
        <v>64</v>
      </c>
      <c r="D1210" s="6">
        <f t="shared" si="526"/>
        <v>4</v>
      </c>
      <c r="I1210" s="97"/>
      <c r="J1210" s="97"/>
      <c r="K1210" s="97"/>
      <c r="L1210" s="160"/>
      <c r="M1210" s="97"/>
      <c r="N1210" s="97"/>
      <c r="O1210" s="97"/>
      <c r="P1210" s="97"/>
      <c r="Q1210" s="97"/>
      <c r="R1210" s="160"/>
      <c r="S1210" s="160"/>
      <c r="T1210" s="160"/>
      <c r="U1210" s="160"/>
      <c r="V1210" s="160"/>
      <c r="W1210" s="160"/>
      <c r="X1210" s="160"/>
      <c r="Y1210" s="160"/>
      <c r="Z1210" s="160"/>
      <c r="AA1210" s="160"/>
      <c r="AB1210" s="160"/>
      <c r="AC1210" s="160"/>
      <c r="AD1210" s="160"/>
      <c r="AE1210" s="160"/>
    </row>
    <row r="1211">
      <c r="B1211" s="13" t="s">
        <v>5</v>
      </c>
      <c r="C1211" s="13">
        <f t="shared" ref="C1211:D1211" si="527">C1179+C1195</f>
        <v>38</v>
      </c>
      <c r="D1211" s="6">
        <f t="shared" si="527"/>
        <v>2</v>
      </c>
      <c r="I1211" s="97"/>
      <c r="J1211" s="97"/>
      <c r="K1211" s="97"/>
      <c r="L1211" s="160"/>
      <c r="M1211" s="97"/>
      <c r="N1211" s="97"/>
      <c r="O1211" s="97"/>
      <c r="P1211" s="97"/>
      <c r="Q1211" s="97"/>
      <c r="R1211" s="160"/>
      <c r="S1211" s="160"/>
      <c r="T1211" s="160"/>
      <c r="U1211" s="160"/>
      <c r="V1211" s="160"/>
      <c r="W1211" s="160"/>
      <c r="X1211" s="160"/>
      <c r="Y1211" s="160"/>
      <c r="Z1211" s="160"/>
      <c r="AA1211" s="160"/>
      <c r="AB1211" s="160"/>
      <c r="AC1211" s="160"/>
      <c r="AD1211" s="160"/>
      <c r="AE1211" s="160"/>
    </row>
    <row r="1212">
      <c r="B1212" s="114" t="s">
        <v>6</v>
      </c>
      <c r="C1212" s="13">
        <f t="shared" ref="C1212:D1212" si="528">C1180+C1196</f>
        <v>38</v>
      </c>
      <c r="D1212" s="6">
        <f t="shared" si="528"/>
        <v>2</v>
      </c>
      <c r="I1212" s="97"/>
      <c r="J1212" s="97"/>
      <c r="K1212" s="97"/>
      <c r="L1212" s="160"/>
      <c r="M1212" s="97"/>
      <c r="N1212" s="97"/>
      <c r="O1212" s="97"/>
      <c r="P1212" s="97"/>
      <c r="Q1212" s="97"/>
      <c r="R1212" s="160"/>
      <c r="S1212" s="160"/>
      <c r="T1212" s="160"/>
      <c r="U1212" s="160"/>
      <c r="V1212" s="160"/>
      <c r="W1212" s="160"/>
      <c r="X1212" s="160"/>
      <c r="Y1212" s="160"/>
      <c r="Z1212" s="160"/>
      <c r="AA1212" s="160"/>
      <c r="AB1212" s="160"/>
      <c r="AC1212" s="160"/>
      <c r="AD1212" s="160"/>
      <c r="AE1212" s="160"/>
    </row>
    <row r="1213">
      <c r="B1213" s="13" t="s">
        <v>7</v>
      </c>
      <c r="C1213" s="13">
        <f t="shared" ref="C1213:D1213" si="529">C1181+C1197</f>
        <v>43</v>
      </c>
      <c r="D1213" s="6">
        <f t="shared" si="529"/>
        <v>4</v>
      </c>
      <c r="I1213" s="97"/>
      <c r="J1213" s="97"/>
      <c r="K1213" s="97"/>
      <c r="L1213" s="160"/>
      <c r="M1213" s="97"/>
      <c r="N1213" s="97"/>
      <c r="O1213" s="97"/>
      <c r="P1213" s="97"/>
      <c r="Q1213" s="97"/>
      <c r="R1213" s="160"/>
      <c r="S1213" s="160"/>
      <c r="T1213" s="160"/>
      <c r="U1213" s="160"/>
      <c r="V1213" s="160"/>
      <c r="W1213" s="160"/>
      <c r="X1213" s="160"/>
      <c r="Y1213" s="160"/>
      <c r="Z1213" s="160"/>
      <c r="AA1213" s="160"/>
      <c r="AB1213" s="160"/>
      <c r="AC1213" s="160"/>
      <c r="AD1213" s="160"/>
      <c r="AE1213" s="160"/>
    </row>
    <row r="1214">
      <c r="B1214" s="114" t="s">
        <v>8</v>
      </c>
      <c r="C1214" s="13">
        <f t="shared" ref="C1214:D1214" si="530">C1182+C1198</f>
        <v>70</v>
      </c>
      <c r="D1214" s="6">
        <f t="shared" si="530"/>
        <v>6</v>
      </c>
      <c r="I1214" s="97"/>
      <c r="J1214" s="97"/>
      <c r="K1214" s="97"/>
      <c r="L1214" s="160"/>
      <c r="M1214" s="97"/>
      <c r="N1214" s="97"/>
      <c r="O1214" s="97"/>
      <c r="P1214" s="97"/>
      <c r="Q1214" s="97"/>
      <c r="R1214" s="160"/>
      <c r="S1214" s="160"/>
      <c r="T1214" s="160"/>
      <c r="U1214" s="160"/>
      <c r="V1214" s="160"/>
      <c r="W1214" s="160"/>
      <c r="X1214" s="160"/>
      <c r="Y1214" s="160"/>
      <c r="Z1214" s="160"/>
      <c r="AA1214" s="160"/>
      <c r="AB1214" s="160"/>
      <c r="AC1214" s="160"/>
      <c r="AD1214" s="160"/>
      <c r="AE1214" s="160"/>
    </row>
    <row r="1215">
      <c r="B1215" s="13" t="s">
        <v>9</v>
      </c>
      <c r="C1215" s="13">
        <f t="shared" ref="C1215:D1215" si="531">C1183+C1199</f>
        <v>63</v>
      </c>
      <c r="D1215" s="6">
        <f t="shared" si="531"/>
        <v>10</v>
      </c>
      <c r="I1215" s="97"/>
      <c r="J1215" s="97"/>
      <c r="K1215" s="97"/>
      <c r="L1215" s="160"/>
      <c r="M1215" s="97"/>
      <c r="N1215" s="97"/>
      <c r="O1215" s="97"/>
      <c r="P1215" s="97"/>
      <c r="Q1215" s="97"/>
      <c r="R1215" s="160"/>
      <c r="S1215" s="160"/>
      <c r="T1215" s="160"/>
      <c r="U1215" s="160"/>
      <c r="V1215" s="160"/>
      <c r="W1215" s="160"/>
      <c r="X1215" s="160"/>
      <c r="Y1215" s="160"/>
      <c r="Z1215" s="160"/>
      <c r="AA1215" s="160"/>
      <c r="AB1215" s="160"/>
      <c r="AC1215" s="160"/>
      <c r="AD1215" s="160"/>
      <c r="AE1215" s="160"/>
    </row>
    <row r="1216">
      <c r="B1216" s="114" t="s">
        <v>10</v>
      </c>
      <c r="C1216" s="13">
        <f t="shared" ref="C1216:D1216" si="532">C1184+C1200</f>
        <v>45</v>
      </c>
      <c r="D1216" s="6">
        <f t="shared" si="532"/>
        <v>0</v>
      </c>
      <c r="I1216" s="97"/>
      <c r="J1216" s="97"/>
      <c r="K1216" s="97"/>
      <c r="L1216" s="160"/>
      <c r="M1216" s="97"/>
      <c r="N1216" s="97"/>
      <c r="O1216" s="97"/>
      <c r="P1216" s="97"/>
      <c r="Q1216" s="97"/>
      <c r="R1216" s="160"/>
      <c r="S1216" s="160"/>
      <c r="T1216" s="160"/>
      <c r="U1216" s="160"/>
      <c r="V1216" s="160"/>
      <c r="W1216" s="160"/>
      <c r="X1216" s="160"/>
      <c r="Y1216" s="160"/>
      <c r="Z1216" s="160"/>
      <c r="AA1216" s="160"/>
      <c r="AB1216" s="160"/>
      <c r="AC1216" s="160"/>
      <c r="AD1216" s="160"/>
      <c r="AE1216" s="160"/>
    </row>
    <row r="1217">
      <c r="B1217" s="13" t="s">
        <v>11</v>
      </c>
      <c r="C1217" s="13">
        <f t="shared" ref="C1217:D1217" si="533">C1185+C1201</f>
        <v>41</v>
      </c>
      <c r="D1217" s="6">
        <f t="shared" si="533"/>
        <v>3</v>
      </c>
      <c r="I1217" s="97"/>
      <c r="J1217" s="97"/>
      <c r="K1217" s="97"/>
      <c r="L1217" s="160"/>
      <c r="M1217" s="97"/>
      <c r="N1217" s="97"/>
      <c r="O1217" s="97"/>
      <c r="P1217" s="97"/>
      <c r="Q1217" s="97"/>
      <c r="R1217" s="160"/>
      <c r="S1217" s="160"/>
      <c r="T1217" s="160"/>
      <c r="U1217" s="160"/>
      <c r="V1217" s="160"/>
      <c r="W1217" s="160"/>
      <c r="X1217" s="160"/>
      <c r="Y1217" s="160"/>
      <c r="Z1217" s="160"/>
      <c r="AA1217" s="160"/>
      <c r="AB1217" s="160"/>
      <c r="AC1217" s="160"/>
      <c r="AD1217" s="160"/>
      <c r="AE1217" s="160"/>
    </row>
    <row r="1218">
      <c r="B1218" s="114" t="s">
        <v>12</v>
      </c>
      <c r="C1218" s="13">
        <f t="shared" ref="C1218:D1218" si="534">C1186+C1202</f>
        <v>46</v>
      </c>
      <c r="D1218" s="6">
        <f t="shared" si="534"/>
        <v>1</v>
      </c>
      <c r="F1218" s="82"/>
      <c r="I1218" s="97"/>
      <c r="J1218" s="97"/>
      <c r="K1218" s="97"/>
      <c r="L1218" s="160"/>
      <c r="M1218" s="97"/>
      <c r="N1218" s="97"/>
      <c r="O1218" s="97"/>
      <c r="P1218" s="97"/>
      <c r="Q1218" s="97"/>
      <c r="R1218" s="160"/>
      <c r="S1218" s="160"/>
      <c r="T1218" s="160"/>
      <c r="U1218" s="160"/>
      <c r="V1218" s="160"/>
      <c r="W1218" s="160"/>
      <c r="X1218" s="160"/>
      <c r="Y1218" s="160"/>
      <c r="Z1218" s="160"/>
      <c r="AA1218" s="160"/>
      <c r="AB1218" s="160"/>
      <c r="AC1218" s="160"/>
      <c r="AD1218" s="160"/>
      <c r="AE1218" s="160"/>
    </row>
    <row r="1219">
      <c r="B1219" s="13" t="s">
        <v>13</v>
      </c>
      <c r="C1219" s="13">
        <f t="shared" ref="C1219:D1219" si="535">C1187+C1203</f>
        <v>47</v>
      </c>
      <c r="D1219" s="6">
        <f t="shared" si="535"/>
        <v>5</v>
      </c>
      <c r="I1219" s="97"/>
      <c r="J1219" s="97"/>
      <c r="K1219" s="97"/>
      <c r="L1219" s="160"/>
      <c r="M1219" s="97"/>
      <c r="N1219" s="97"/>
      <c r="O1219" s="97"/>
      <c r="P1219" s="97"/>
      <c r="Q1219" s="97"/>
      <c r="R1219" s="160"/>
      <c r="S1219" s="160"/>
      <c r="T1219" s="160"/>
      <c r="U1219" s="160"/>
      <c r="V1219" s="160"/>
      <c r="W1219" s="160"/>
      <c r="X1219" s="160"/>
      <c r="Y1219" s="160"/>
      <c r="Z1219" s="160"/>
      <c r="AA1219" s="160"/>
      <c r="AB1219" s="160"/>
      <c r="AC1219" s="160"/>
      <c r="AD1219" s="160"/>
      <c r="AE1219" s="160"/>
    </row>
    <row r="1220">
      <c r="B1220" s="114" t="s">
        <v>14</v>
      </c>
      <c r="C1220" s="13">
        <f t="shared" ref="C1220:D1220" si="536">C1188+C1204</f>
        <v>45</v>
      </c>
      <c r="D1220" s="6">
        <f t="shared" si="536"/>
        <v>0</v>
      </c>
      <c r="I1220" s="97"/>
      <c r="J1220" s="97"/>
      <c r="K1220" s="97"/>
      <c r="L1220" s="160"/>
      <c r="M1220" s="97"/>
      <c r="N1220" s="97"/>
      <c r="O1220" s="97"/>
      <c r="P1220" s="97"/>
      <c r="Q1220" s="97"/>
      <c r="R1220" s="160"/>
      <c r="S1220" s="160"/>
      <c r="T1220" s="160"/>
      <c r="U1220" s="160"/>
      <c r="V1220" s="160"/>
      <c r="W1220" s="160"/>
      <c r="X1220" s="160"/>
      <c r="Y1220" s="160"/>
      <c r="Z1220" s="160"/>
      <c r="AA1220" s="160"/>
      <c r="AB1220" s="160"/>
      <c r="AC1220" s="160"/>
      <c r="AD1220" s="160"/>
      <c r="AE1220" s="160"/>
    </row>
    <row r="1221">
      <c r="B1221" s="13" t="s">
        <v>15</v>
      </c>
      <c r="C1221" s="13">
        <f t="shared" ref="C1221:D1221" si="537">C1189+C1205</f>
        <v>375</v>
      </c>
      <c r="D1221" s="6">
        <f t="shared" si="537"/>
        <v>0</v>
      </c>
      <c r="I1221" s="97"/>
      <c r="J1221" s="97"/>
      <c r="K1221" s="97"/>
      <c r="L1221" s="160"/>
      <c r="M1221" s="97"/>
      <c r="N1221" s="97"/>
      <c r="O1221" s="97"/>
      <c r="P1221" s="97"/>
      <c r="Q1221" s="97"/>
      <c r="R1221" s="160"/>
      <c r="S1221" s="160"/>
      <c r="T1221" s="160"/>
      <c r="U1221" s="160"/>
      <c r="V1221" s="160"/>
      <c r="W1221" s="160"/>
      <c r="X1221" s="160"/>
      <c r="Y1221" s="160"/>
      <c r="Z1221" s="160"/>
      <c r="AA1221" s="160"/>
      <c r="AB1221" s="160"/>
      <c r="AC1221" s="160"/>
      <c r="AD1221" s="160"/>
      <c r="AE1221" s="160"/>
    </row>
    <row r="1222">
      <c r="B1222" s="4" t="s">
        <v>16</v>
      </c>
      <c r="C1222" s="13">
        <f t="shared" ref="C1222:D1222" si="538">C1190+C1206</f>
        <v>915</v>
      </c>
      <c r="D1222" s="6">
        <f t="shared" si="538"/>
        <v>37</v>
      </c>
      <c r="I1222" s="97"/>
      <c r="J1222" s="97"/>
      <c r="K1222" s="97"/>
      <c r="L1222" s="160"/>
      <c r="M1222" s="97"/>
      <c r="N1222" s="97"/>
      <c r="O1222" s="97"/>
      <c r="P1222" s="97"/>
      <c r="Q1222" s="97"/>
      <c r="R1222" s="160"/>
      <c r="S1222" s="160"/>
      <c r="T1222" s="160"/>
      <c r="U1222" s="160"/>
      <c r="V1222" s="160"/>
      <c r="W1222" s="160"/>
      <c r="X1222" s="160"/>
      <c r="Y1222" s="160"/>
      <c r="Z1222" s="160"/>
      <c r="AA1222" s="160"/>
      <c r="AB1222" s="160"/>
      <c r="AC1222" s="160"/>
      <c r="AD1222" s="160"/>
      <c r="AE1222" s="160"/>
    </row>
    <row r="1223">
      <c r="I1223" s="97"/>
      <c r="J1223" s="97"/>
      <c r="K1223" s="97"/>
      <c r="L1223" s="160"/>
      <c r="M1223" s="97"/>
      <c r="N1223" s="97"/>
      <c r="O1223" s="97"/>
      <c r="P1223" s="97"/>
      <c r="Q1223" s="97"/>
      <c r="R1223" s="160"/>
      <c r="S1223" s="160"/>
      <c r="T1223" s="160"/>
      <c r="U1223" s="160"/>
      <c r="V1223" s="160"/>
      <c r="W1223" s="160"/>
      <c r="X1223" s="160"/>
      <c r="Y1223" s="160"/>
      <c r="Z1223" s="160"/>
      <c r="AA1223" s="160"/>
      <c r="AB1223" s="160"/>
      <c r="AC1223" s="160"/>
      <c r="AD1223" s="160"/>
      <c r="AE1223" s="160"/>
    </row>
    <row r="1224">
      <c r="D1224" s="4" t="s">
        <v>270</v>
      </c>
      <c r="E1224" s="82" t="s">
        <v>2</v>
      </c>
      <c r="I1224" s="4" t="s">
        <v>270</v>
      </c>
      <c r="J1224" s="82" t="s">
        <v>2</v>
      </c>
      <c r="K1224" s="97"/>
      <c r="L1224" s="160"/>
      <c r="M1224" s="97"/>
      <c r="N1224" s="97"/>
      <c r="O1224" s="97"/>
      <c r="P1224" s="97"/>
      <c r="Q1224" s="97"/>
      <c r="R1224" s="160"/>
      <c r="S1224" s="160"/>
      <c r="T1224" s="160"/>
      <c r="U1224" s="160"/>
      <c r="V1224" s="160"/>
      <c r="W1224" s="160"/>
      <c r="X1224" s="160"/>
      <c r="Y1224" s="160"/>
      <c r="Z1224" s="160"/>
      <c r="AA1224" s="160"/>
      <c r="AB1224" s="160"/>
      <c r="AC1224" s="160"/>
      <c r="AD1224" s="160"/>
      <c r="AE1224" s="160"/>
    </row>
    <row r="1225">
      <c r="B1225" s="11">
        <v>46167.0</v>
      </c>
      <c r="C1225" s="114" t="s">
        <v>4</v>
      </c>
      <c r="D1225" s="115">
        <v>45.0</v>
      </c>
      <c r="E1225" s="82">
        <v>4.0</v>
      </c>
      <c r="G1225" s="11">
        <v>46168.0</v>
      </c>
      <c r="H1225" s="114" t="s">
        <v>4</v>
      </c>
      <c r="I1225" s="115">
        <f t="shared" ref="I1225:I1236" si="539">C1210-D1225</f>
        <v>19</v>
      </c>
      <c r="J1225" s="82"/>
      <c r="K1225" s="97"/>
      <c r="L1225" s="160"/>
      <c r="M1225" s="97"/>
      <c r="N1225" s="97"/>
      <c r="O1225" s="97"/>
      <c r="P1225" s="97"/>
      <c r="Q1225" s="97"/>
      <c r="R1225" s="160"/>
      <c r="S1225" s="160"/>
      <c r="T1225" s="160"/>
      <c r="U1225" s="160"/>
      <c r="V1225" s="160"/>
      <c r="W1225" s="160"/>
      <c r="X1225" s="160"/>
      <c r="Y1225" s="160"/>
      <c r="Z1225" s="160"/>
      <c r="AA1225" s="160"/>
      <c r="AB1225" s="160"/>
      <c r="AC1225" s="160"/>
      <c r="AD1225" s="160"/>
      <c r="AE1225" s="160"/>
    </row>
    <row r="1226">
      <c r="B1226" s="11">
        <v>46167.0</v>
      </c>
      <c r="C1226" s="13" t="s">
        <v>5</v>
      </c>
      <c r="D1226" s="4">
        <v>30.0</v>
      </c>
      <c r="E1226" s="82">
        <v>2.0</v>
      </c>
      <c r="G1226" s="11">
        <v>46168.0</v>
      </c>
      <c r="H1226" s="13" t="s">
        <v>5</v>
      </c>
      <c r="I1226" s="115">
        <f t="shared" si="539"/>
        <v>8</v>
      </c>
      <c r="J1226" s="82">
        <v>2.0</v>
      </c>
      <c r="K1226" s="97"/>
      <c r="L1226" s="160"/>
      <c r="M1226" s="97"/>
      <c r="N1226" s="97"/>
      <c r="O1226" s="97"/>
      <c r="P1226" s="97"/>
      <c r="Q1226" s="97"/>
      <c r="R1226" s="160"/>
      <c r="S1226" s="160"/>
      <c r="T1226" s="160"/>
      <c r="U1226" s="160"/>
      <c r="V1226" s="160"/>
      <c r="W1226" s="160"/>
      <c r="X1226" s="160"/>
      <c r="Y1226" s="160"/>
      <c r="Z1226" s="160"/>
      <c r="AA1226" s="160"/>
      <c r="AB1226" s="160"/>
      <c r="AC1226" s="160"/>
      <c r="AD1226" s="160"/>
      <c r="AE1226" s="160"/>
    </row>
    <row r="1227">
      <c r="B1227" s="11">
        <v>46167.0</v>
      </c>
      <c r="C1227" s="114" t="s">
        <v>6</v>
      </c>
      <c r="D1227" s="115">
        <v>25.0</v>
      </c>
      <c r="E1227" s="6"/>
      <c r="G1227" s="11">
        <v>46168.0</v>
      </c>
      <c r="H1227" s="114" t="s">
        <v>6</v>
      </c>
      <c r="I1227" s="115">
        <f t="shared" si="539"/>
        <v>13</v>
      </c>
      <c r="J1227" s="6"/>
      <c r="K1227" s="97"/>
      <c r="L1227" s="160"/>
      <c r="M1227" s="97"/>
      <c r="N1227" s="97"/>
      <c r="O1227" s="97"/>
      <c r="P1227" s="97"/>
      <c r="Q1227" s="97"/>
      <c r="R1227" s="160"/>
      <c r="S1227" s="160"/>
      <c r="T1227" s="160"/>
      <c r="U1227" s="160"/>
      <c r="V1227" s="160"/>
      <c r="W1227" s="160"/>
      <c r="X1227" s="160"/>
      <c r="Y1227" s="160"/>
      <c r="Z1227" s="160"/>
      <c r="AA1227" s="160"/>
      <c r="AB1227" s="160"/>
      <c r="AC1227" s="160"/>
      <c r="AD1227" s="160"/>
      <c r="AE1227" s="160"/>
    </row>
    <row r="1228">
      <c r="B1228" s="11">
        <v>46167.0</v>
      </c>
      <c r="C1228" s="13" t="s">
        <v>7</v>
      </c>
      <c r="D1228" s="4">
        <v>25.0</v>
      </c>
      <c r="E1228" s="82">
        <v>2.0</v>
      </c>
      <c r="G1228" s="11">
        <v>46168.0</v>
      </c>
      <c r="H1228" s="13" t="s">
        <v>7</v>
      </c>
      <c r="I1228" s="115">
        <f t="shared" si="539"/>
        <v>18</v>
      </c>
      <c r="J1228" s="82">
        <v>2.0</v>
      </c>
      <c r="K1228" s="97"/>
      <c r="L1228" s="160"/>
      <c r="M1228" s="97"/>
      <c r="N1228" s="97"/>
      <c r="O1228" s="97"/>
      <c r="P1228" s="97"/>
      <c r="Q1228" s="97"/>
      <c r="R1228" s="160"/>
      <c r="S1228" s="160"/>
      <c r="T1228" s="160"/>
      <c r="U1228" s="160"/>
      <c r="V1228" s="160"/>
      <c r="W1228" s="160"/>
      <c r="X1228" s="160"/>
      <c r="Y1228" s="160"/>
      <c r="Z1228" s="160"/>
      <c r="AA1228" s="160"/>
      <c r="AB1228" s="160"/>
      <c r="AC1228" s="160"/>
      <c r="AD1228" s="160"/>
      <c r="AE1228" s="160"/>
    </row>
    <row r="1229">
      <c r="B1229" s="11">
        <v>46167.0</v>
      </c>
      <c r="C1229" s="114" t="s">
        <v>8</v>
      </c>
      <c r="D1229" s="115">
        <v>45.0</v>
      </c>
      <c r="E1229" s="82">
        <v>1.0</v>
      </c>
      <c r="G1229" s="11">
        <v>46168.0</v>
      </c>
      <c r="H1229" s="114" t="s">
        <v>8</v>
      </c>
      <c r="I1229" s="115">
        <f t="shared" si="539"/>
        <v>25</v>
      </c>
      <c r="J1229" s="82">
        <v>2.0</v>
      </c>
      <c r="K1229" s="97"/>
      <c r="L1229" s="160"/>
      <c r="M1229" s="97"/>
      <c r="N1229" s="97"/>
      <c r="O1229" s="97"/>
      <c r="P1229" s="97"/>
      <c r="Q1229" s="97"/>
      <c r="R1229" s="160"/>
      <c r="S1229" s="160"/>
      <c r="T1229" s="160"/>
      <c r="U1229" s="160"/>
      <c r="V1229" s="160"/>
      <c r="W1229" s="160"/>
      <c r="X1229" s="160"/>
      <c r="Y1229" s="160"/>
      <c r="Z1229" s="160"/>
      <c r="AA1229" s="160"/>
      <c r="AB1229" s="160"/>
      <c r="AC1229" s="160"/>
      <c r="AD1229" s="160"/>
      <c r="AE1229" s="160"/>
    </row>
    <row r="1230">
      <c r="B1230" s="11">
        <v>46167.0</v>
      </c>
      <c r="C1230" s="13" t="s">
        <v>9</v>
      </c>
      <c r="D1230" s="4">
        <v>45.0</v>
      </c>
      <c r="E1230" s="82">
        <v>4.0</v>
      </c>
      <c r="G1230" s="11">
        <v>46168.0</v>
      </c>
      <c r="H1230" s="13" t="s">
        <v>9</v>
      </c>
      <c r="I1230" s="115">
        <f t="shared" si="539"/>
        <v>18</v>
      </c>
      <c r="J1230" s="82">
        <v>4.0</v>
      </c>
      <c r="K1230" s="97"/>
      <c r="L1230" s="160"/>
      <c r="M1230" s="97"/>
      <c r="N1230" s="97"/>
      <c r="O1230" s="97"/>
      <c r="P1230" s="97"/>
      <c r="Q1230" s="97"/>
      <c r="R1230" s="160"/>
      <c r="S1230" s="160"/>
      <c r="T1230" s="160"/>
      <c r="U1230" s="160"/>
      <c r="V1230" s="160"/>
      <c r="W1230" s="160"/>
      <c r="X1230" s="160"/>
      <c r="Y1230" s="160"/>
      <c r="Z1230" s="160"/>
      <c r="AA1230" s="160"/>
      <c r="AB1230" s="160"/>
      <c r="AC1230" s="160"/>
      <c r="AD1230" s="160"/>
      <c r="AE1230" s="160"/>
    </row>
    <row r="1231">
      <c r="B1231" s="11">
        <v>46167.0</v>
      </c>
      <c r="C1231" s="114" t="s">
        <v>10</v>
      </c>
      <c r="D1231" s="115">
        <v>35.0</v>
      </c>
      <c r="E1231" s="6"/>
      <c r="G1231" s="11">
        <v>46168.0</v>
      </c>
      <c r="H1231" s="114" t="s">
        <v>10</v>
      </c>
      <c r="I1231" s="115">
        <f t="shared" si="539"/>
        <v>10</v>
      </c>
      <c r="J1231" s="6"/>
      <c r="K1231" s="97"/>
      <c r="L1231" s="160"/>
      <c r="M1231" s="97"/>
      <c r="N1231" s="97"/>
      <c r="O1231" s="97"/>
      <c r="P1231" s="97"/>
      <c r="Q1231" s="97"/>
      <c r="R1231" s="160"/>
      <c r="S1231" s="160"/>
      <c r="T1231" s="160"/>
      <c r="U1231" s="160"/>
      <c r="V1231" s="160"/>
      <c r="W1231" s="160"/>
      <c r="X1231" s="160"/>
      <c r="Y1231" s="160"/>
      <c r="Z1231" s="160"/>
      <c r="AA1231" s="160"/>
      <c r="AB1231" s="160"/>
      <c r="AC1231" s="160"/>
      <c r="AD1231" s="160"/>
      <c r="AE1231" s="160"/>
    </row>
    <row r="1232">
      <c r="B1232" s="11">
        <v>46167.0</v>
      </c>
      <c r="C1232" s="13" t="s">
        <v>11</v>
      </c>
      <c r="D1232" s="4">
        <v>30.0</v>
      </c>
      <c r="E1232" s="82">
        <v>1.0</v>
      </c>
      <c r="G1232" s="11">
        <v>46168.0</v>
      </c>
      <c r="H1232" s="13" t="s">
        <v>11</v>
      </c>
      <c r="I1232" s="115">
        <f t="shared" si="539"/>
        <v>11</v>
      </c>
      <c r="J1232" s="82">
        <v>2.0</v>
      </c>
      <c r="K1232" s="97"/>
      <c r="L1232" s="160"/>
      <c r="M1232" s="97"/>
      <c r="N1232" s="97"/>
      <c r="O1232" s="97"/>
      <c r="P1232" s="97"/>
      <c r="Q1232" s="97"/>
      <c r="R1232" s="160"/>
      <c r="S1232" s="160"/>
      <c r="T1232" s="160"/>
      <c r="U1232" s="160"/>
      <c r="V1232" s="160"/>
      <c r="W1232" s="160"/>
      <c r="X1232" s="160"/>
      <c r="Y1232" s="160"/>
      <c r="Z1232" s="160"/>
      <c r="AA1232" s="160"/>
      <c r="AB1232" s="160"/>
      <c r="AC1232" s="160"/>
      <c r="AD1232" s="160"/>
      <c r="AE1232" s="160"/>
    </row>
    <row r="1233">
      <c r="B1233" s="11">
        <v>46167.0</v>
      </c>
      <c r="C1233" s="114" t="s">
        <v>12</v>
      </c>
      <c r="D1233" s="115">
        <v>30.0</v>
      </c>
      <c r="E1233" s="6"/>
      <c r="G1233" s="11">
        <v>46168.0</v>
      </c>
      <c r="H1233" s="114" t="s">
        <v>12</v>
      </c>
      <c r="I1233" s="115">
        <f t="shared" si="539"/>
        <v>16</v>
      </c>
      <c r="J1233" s="82">
        <v>1.0</v>
      </c>
      <c r="K1233" s="97"/>
      <c r="L1233" s="160"/>
      <c r="M1233" s="97"/>
      <c r="N1233" s="97"/>
      <c r="O1233" s="97"/>
      <c r="P1233" s="97"/>
      <c r="Q1233" s="97"/>
      <c r="R1233" s="160"/>
      <c r="S1233" s="160"/>
      <c r="T1233" s="160"/>
      <c r="U1233" s="160"/>
      <c r="V1233" s="160"/>
      <c r="W1233" s="160"/>
      <c r="X1233" s="160"/>
      <c r="Y1233" s="160"/>
      <c r="Z1233" s="160"/>
      <c r="AA1233" s="160"/>
      <c r="AB1233" s="160"/>
      <c r="AC1233" s="160"/>
      <c r="AD1233" s="160"/>
      <c r="AE1233" s="160"/>
    </row>
    <row r="1234">
      <c r="B1234" s="11">
        <v>46167.0</v>
      </c>
      <c r="C1234" s="13" t="s">
        <v>13</v>
      </c>
      <c r="D1234" s="4">
        <v>35.0</v>
      </c>
      <c r="E1234" s="82">
        <v>3.0</v>
      </c>
      <c r="G1234" s="11">
        <v>46168.0</v>
      </c>
      <c r="H1234" s="13" t="s">
        <v>13</v>
      </c>
      <c r="I1234" s="115">
        <f t="shared" si="539"/>
        <v>12</v>
      </c>
      <c r="J1234" s="82">
        <v>2.0</v>
      </c>
      <c r="K1234" s="97"/>
      <c r="L1234" s="160"/>
      <c r="M1234" s="97"/>
      <c r="N1234" s="97"/>
      <c r="O1234" s="97"/>
      <c r="P1234" s="97"/>
      <c r="Q1234" s="97"/>
      <c r="R1234" s="160"/>
      <c r="S1234" s="160"/>
      <c r="T1234" s="160"/>
      <c r="U1234" s="160"/>
      <c r="V1234" s="160"/>
      <c r="W1234" s="160"/>
      <c r="X1234" s="160"/>
      <c r="Y1234" s="160"/>
      <c r="Z1234" s="160"/>
      <c r="AA1234" s="160"/>
      <c r="AB1234" s="160"/>
      <c r="AC1234" s="160"/>
      <c r="AD1234" s="160"/>
      <c r="AE1234" s="160"/>
    </row>
    <row r="1235">
      <c r="B1235" s="11">
        <v>46167.0</v>
      </c>
      <c r="C1235" s="114" t="s">
        <v>14</v>
      </c>
      <c r="D1235" s="115">
        <v>30.0</v>
      </c>
      <c r="E1235" s="6"/>
      <c r="G1235" s="11">
        <v>46168.0</v>
      </c>
      <c r="H1235" s="114" t="s">
        <v>14</v>
      </c>
      <c r="I1235" s="115">
        <f t="shared" si="539"/>
        <v>15</v>
      </c>
      <c r="J1235" s="6"/>
      <c r="K1235" s="97"/>
      <c r="L1235" s="160"/>
      <c r="M1235" s="97"/>
      <c r="N1235" s="97"/>
      <c r="O1235" s="97"/>
      <c r="P1235" s="97"/>
      <c r="Q1235" s="97"/>
      <c r="R1235" s="160"/>
      <c r="S1235" s="160"/>
      <c r="T1235" s="160"/>
      <c r="U1235" s="160"/>
      <c r="V1235" s="160"/>
      <c r="W1235" s="160"/>
      <c r="X1235" s="160"/>
      <c r="Y1235" s="160"/>
      <c r="Z1235" s="160"/>
      <c r="AA1235" s="160"/>
      <c r="AB1235" s="160"/>
      <c r="AC1235" s="160"/>
      <c r="AD1235" s="160"/>
      <c r="AE1235" s="160"/>
    </row>
    <row r="1236">
      <c r="B1236" s="11">
        <v>46167.0</v>
      </c>
      <c r="C1236" s="13" t="s">
        <v>15</v>
      </c>
      <c r="D1236" s="4">
        <v>225.0</v>
      </c>
      <c r="E1236" s="82"/>
      <c r="G1236" s="11">
        <v>46168.0</v>
      </c>
      <c r="H1236" s="13" t="s">
        <v>15</v>
      </c>
      <c r="I1236" s="115">
        <f t="shared" si="539"/>
        <v>150</v>
      </c>
      <c r="J1236" s="82"/>
      <c r="K1236" s="97"/>
      <c r="L1236" s="160"/>
      <c r="M1236" s="97"/>
      <c r="N1236" s="97"/>
      <c r="O1236" s="97"/>
      <c r="P1236" s="97"/>
      <c r="Q1236" s="97"/>
      <c r="R1236" s="160"/>
      <c r="S1236" s="160"/>
      <c r="T1236" s="160"/>
      <c r="U1236" s="160"/>
      <c r="V1236" s="160"/>
      <c r="W1236" s="160"/>
      <c r="X1236" s="160"/>
      <c r="Y1236" s="160"/>
      <c r="Z1236" s="160"/>
      <c r="AA1236" s="160"/>
      <c r="AB1236" s="160"/>
      <c r="AC1236" s="160"/>
      <c r="AD1236" s="160"/>
      <c r="AE1236" s="160"/>
    </row>
    <row r="1237">
      <c r="B1237" s="11">
        <v>46167.0</v>
      </c>
      <c r="C1237" s="4" t="s">
        <v>16</v>
      </c>
      <c r="D1237" s="13">
        <f t="shared" ref="D1237:E1237" si="540">sum(D1225:D1236)</f>
        <v>600</v>
      </c>
      <c r="E1237" s="6">
        <f t="shared" si="540"/>
        <v>17</v>
      </c>
      <c r="G1237" s="11">
        <v>46168.0</v>
      </c>
      <c r="H1237" s="4" t="s">
        <v>16</v>
      </c>
      <c r="I1237" s="13">
        <f t="shared" ref="I1237:J1237" si="541">sum(I1225:I1236)</f>
        <v>315</v>
      </c>
      <c r="J1237" s="6">
        <f t="shared" si="541"/>
        <v>15</v>
      </c>
      <c r="K1237" s="97"/>
      <c r="L1237" s="160"/>
      <c r="M1237" s="97"/>
      <c r="N1237" s="97"/>
      <c r="O1237" s="97"/>
      <c r="P1237" s="97"/>
      <c r="Q1237" s="97"/>
      <c r="R1237" s="160"/>
      <c r="S1237" s="160"/>
      <c r="T1237" s="160"/>
      <c r="U1237" s="160"/>
      <c r="V1237" s="160"/>
      <c r="W1237" s="160"/>
      <c r="X1237" s="160"/>
      <c r="Y1237" s="160"/>
      <c r="Z1237" s="160"/>
      <c r="AA1237" s="160"/>
      <c r="AB1237" s="160"/>
      <c r="AC1237" s="160"/>
      <c r="AD1237" s="160"/>
      <c r="AE1237" s="160"/>
    </row>
    <row r="1238">
      <c r="I1238" s="97"/>
      <c r="J1238" s="97"/>
      <c r="K1238" s="97"/>
      <c r="L1238" s="160"/>
      <c r="M1238" s="97"/>
      <c r="N1238" s="97"/>
      <c r="O1238" s="97"/>
      <c r="P1238" s="97"/>
      <c r="Q1238" s="97"/>
      <c r="R1238" s="160"/>
      <c r="S1238" s="160"/>
      <c r="T1238" s="160"/>
      <c r="U1238" s="160"/>
      <c r="V1238" s="160"/>
      <c r="W1238" s="160"/>
      <c r="X1238" s="160"/>
      <c r="Y1238" s="160"/>
      <c r="Z1238" s="160"/>
      <c r="AA1238" s="160"/>
      <c r="AB1238" s="160"/>
      <c r="AC1238" s="160"/>
      <c r="AD1238" s="160"/>
      <c r="AE1238" s="160"/>
    </row>
    <row r="1239">
      <c r="I1239" s="97"/>
      <c r="J1239" s="97"/>
      <c r="K1239" s="97"/>
      <c r="L1239" s="160"/>
      <c r="M1239" s="97"/>
      <c r="N1239" s="97"/>
      <c r="O1239" s="97"/>
      <c r="P1239" s="97"/>
      <c r="Q1239" s="97"/>
      <c r="R1239" s="160"/>
      <c r="S1239" s="160"/>
      <c r="T1239" s="160"/>
      <c r="U1239" s="160"/>
      <c r="V1239" s="160"/>
      <c r="W1239" s="160"/>
      <c r="X1239" s="160"/>
      <c r="Y1239" s="160"/>
      <c r="Z1239" s="160"/>
      <c r="AA1239" s="160"/>
      <c r="AB1239" s="160"/>
      <c r="AC1239" s="160"/>
      <c r="AD1239" s="160"/>
      <c r="AE1239" s="160"/>
    </row>
    <row r="1240">
      <c r="I1240" s="97"/>
      <c r="J1240" s="97"/>
      <c r="K1240" s="97"/>
      <c r="L1240" s="160"/>
      <c r="M1240" s="97"/>
      <c r="N1240" s="97"/>
      <c r="O1240" s="97"/>
      <c r="P1240" s="97"/>
      <c r="Q1240" s="97"/>
      <c r="R1240" s="160"/>
      <c r="S1240" s="160"/>
      <c r="T1240" s="160"/>
      <c r="U1240" s="160"/>
      <c r="V1240" s="160"/>
      <c r="W1240" s="160"/>
      <c r="X1240" s="160"/>
      <c r="Y1240" s="160"/>
      <c r="Z1240" s="160"/>
      <c r="AA1240" s="160"/>
      <c r="AB1240" s="160"/>
      <c r="AC1240" s="160"/>
      <c r="AD1240" s="160"/>
      <c r="AE1240" s="160"/>
    </row>
    <row r="1241">
      <c r="I1241" s="97"/>
      <c r="J1241" s="97"/>
      <c r="K1241" s="97"/>
      <c r="L1241" s="160"/>
      <c r="M1241" s="97"/>
      <c r="N1241" s="97"/>
      <c r="O1241" s="97"/>
      <c r="P1241" s="97"/>
      <c r="Q1241" s="97"/>
      <c r="R1241" s="160"/>
      <c r="S1241" s="160"/>
      <c r="T1241" s="160"/>
      <c r="U1241" s="160"/>
      <c r="V1241" s="160"/>
      <c r="W1241" s="160"/>
      <c r="X1241" s="160"/>
      <c r="Y1241" s="160"/>
      <c r="Z1241" s="160"/>
      <c r="AA1241" s="160"/>
      <c r="AB1241" s="160"/>
      <c r="AC1241" s="160"/>
      <c r="AD1241" s="160"/>
      <c r="AE1241" s="160"/>
    </row>
    <row r="1242">
      <c r="I1242" s="97"/>
      <c r="J1242" s="97"/>
      <c r="K1242" s="97"/>
      <c r="L1242" s="160"/>
      <c r="M1242" s="97"/>
      <c r="N1242" s="97"/>
      <c r="O1242" s="97"/>
      <c r="P1242" s="97"/>
      <c r="Q1242" s="97"/>
      <c r="R1242" s="160"/>
      <c r="S1242" s="160"/>
      <c r="T1242" s="160"/>
      <c r="U1242" s="160"/>
      <c r="V1242" s="160"/>
      <c r="W1242" s="160"/>
      <c r="X1242" s="160"/>
      <c r="Y1242" s="160"/>
      <c r="Z1242" s="160"/>
      <c r="AA1242" s="160"/>
      <c r="AB1242" s="160"/>
      <c r="AC1242" s="160"/>
      <c r="AD1242" s="160"/>
      <c r="AE1242" s="160"/>
    </row>
    <row r="1243">
      <c r="I1243" s="97"/>
      <c r="J1243" s="97"/>
      <c r="K1243" s="97"/>
      <c r="L1243" s="160"/>
      <c r="M1243" s="97"/>
      <c r="N1243" s="97"/>
      <c r="O1243" s="97"/>
      <c r="P1243" s="97"/>
      <c r="Q1243" s="97"/>
      <c r="R1243" s="160"/>
      <c r="S1243" s="160"/>
      <c r="T1243" s="160"/>
      <c r="U1243" s="160"/>
      <c r="V1243" s="160"/>
      <c r="W1243" s="160"/>
      <c r="X1243" s="160"/>
      <c r="Y1243" s="160"/>
      <c r="Z1243" s="160"/>
      <c r="AA1243" s="160"/>
      <c r="AB1243" s="160"/>
      <c r="AC1243" s="160"/>
      <c r="AD1243" s="160"/>
      <c r="AE1243" s="160"/>
    </row>
    <row r="1244">
      <c r="I1244" s="97"/>
      <c r="J1244" s="97"/>
      <c r="K1244" s="97"/>
      <c r="L1244" s="160"/>
      <c r="M1244" s="97"/>
      <c r="N1244" s="97"/>
      <c r="O1244" s="97"/>
      <c r="P1244" s="97"/>
      <c r="Q1244" s="97"/>
      <c r="R1244" s="160"/>
      <c r="S1244" s="160"/>
      <c r="T1244" s="160"/>
      <c r="U1244" s="160"/>
      <c r="V1244" s="160"/>
      <c r="W1244" s="160"/>
      <c r="X1244" s="160"/>
      <c r="Y1244" s="160"/>
      <c r="Z1244" s="160"/>
      <c r="AA1244" s="160"/>
      <c r="AB1244" s="160"/>
      <c r="AC1244" s="160"/>
      <c r="AD1244" s="160"/>
      <c r="AE1244" s="160"/>
    </row>
    <row r="1245">
      <c r="I1245" s="97"/>
      <c r="J1245" s="97"/>
      <c r="K1245" s="97"/>
      <c r="L1245" s="160"/>
      <c r="M1245" s="97"/>
      <c r="N1245" s="97"/>
      <c r="O1245" s="97"/>
      <c r="P1245" s="97"/>
      <c r="Q1245" s="97"/>
      <c r="R1245" s="160"/>
      <c r="S1245" s="160"/>
      <c r="T1245" s="160"/>
      <c r="U1245" s="160"/>
      <c r="V1245" s="160"/>
      <c r="W1245" s="160"/>
      <c r="X1245" s="160"/>
      <c r="Y1245" s="160"/>
      <c r="Z1245" s="160"/>
      <c r="AA1245" s="160"/>
      <c r="AB1245" s="160"/>
      <c r="AC1245" s="160"/>
      <c r="AD1245" s="160"/>
      <c r="AE1245" s="160"/>
    </row>
    <row r="1246">
      <c r="I1246" s="97"/>
      <c r="J1246" s="97"/>
      <c r="K1246" s="97"/>
      <c r="L1246" s="160"/>
      <c r="M1246" s="97"/>
      <c r="N1246" s="97"/>
      <c r="O1246" s="97"/>
      <c r="P1246" s="97"/>
      <c r="Q1246" s="97"/>
      <c r="R1246" s="160"/>
      <c r="S1246" s="160"/>
      <c r="T1246" s="160"/>
      <c r="U1246" s="160"/>
      <c r="V1246" s="160"/>
      <c r="W1246" s="160"/>
      <c r="X1246" s="160"/>
      <c r="Y1246" s="160"/>
      <c r="Z1246" s="160"/>
      <c r="AA1246" s="160"/>
      <c r="AB1246" s="160"/>
      <c r="AC1246" s="160"/>
      <c r="AD1246" s="160"/>
      <c r="AE1246" s="160"/>
    </row>
    <row r="1247">
      <c r="I1247" s="97"/>
      <c r="J1247" s="97"/>
      <c r="K1247" s="97"/>
      <c r="L1247" s="160"/>
      <c r="M1247" s="97"/>
      <c r="N1247" s="97"/>
      <c r="O1247" s="97"/>
      <c r="P1247" s="97"/>
      <c r="Q1247" s="97"/>
      <c r="R1247" s="160"/>
      <c r="S1247" s="160"/>
      <c r="T1247" s="160"/>
      <c r="U1247" s="160"/>
      <c r="V1247" s="160"/>
      <c r="W1247" s="160"/>
      <c r="X1247" s="160"/>
      <c r="Y1247" s="160"/>
      <c r="Z1247" s="160"/>
      <c r="AA1247" s="160"/>
      <c r="AB1247" s="160"/>
      <c r="AC1247" s="160"/>
      <c r="AD1247" s="160"/>
      <c r="AE1247" s="160"/>
    </row>
    <row r="1248">
      <c r="I1248" s="97"/>
      <c r="J1248" s="97"/>
      <c r="K1248" s="97"/>
      <c r="L1248" s="160"/>
      <c r="M1248" s="97"/>
      <c r="N1248" s="97"/>
      <c r="O1248" s="97"/>
      <c r="P1248" s="97"/>
      <c r="Q1248" s="97"/>
      <c r="R1248" s="160"/>
      <c r="S1248" s="160"/>
      <c r="T1248" s="160"/>
      <c r="U1248" s="160"/>
      <c r="V1248" s="160"/>
      <c r="W1248" s="160"/>
      <c r="X1248" s="160"/>
      <c r="Y1248" s="160"/>
      <c r="Z1248" s="160"/>
      <c r="AA1248" s="160"/>
      <c r="AB1248" s="160"/>
      <c r="AC1248" s="160"/>
      <c r="AD1248" s="160"/>
      <c r="AE1248" s="160"/>
    </row>
    <row r="1249">
      <c r="I1249" s="97"/>
      <c r="J1249" s="97"/>
      <c r="K1249" s="97"/>
      <c r="L1249" s="160"/>
      <c r="M1249" s="97"/>
      <c r="N1249" s="97"/>
      <c r="O1249" s="97"/>
      <c r="P1249" s="97"/>
      <c r="Q1249" s="97"/>
      <c r="R1249" s="160"/>
      <c r="S1249" s="160"/>
      <c r="T1249" s="160"/>
      <c r="U1249" s="160"/>
      <c r="V1249" s="160"/>
      <c r="W1249" s="160"/>
      <c r="X1249" s="160"/>
      <c r="Y1249" s="160"/>
      <c r="Z1249" s="160"/>
      <c r="AA1249" s="160"/>
      <c r="AB1249" s="160"/>
      <c r="AC1249" s="160"/>
      <c r="AD1249" s="160"/>
      <c r="AE1249" s="160"/>
    </row>
    <row r="1250">
      <c r="I1250" s="97"/>
      <c r="J1250" s="97"/>
      <c r="K1250" s="97"/>
      <c r="L1250" s="160"/>
      <c r="M1250" s="97"/>
      <c r="N1250" s="97"/>
      <c r="O1250" s="97"/>
      <c r="P1250" s="97"/>
      <c r="Q1250" s="97"/>
      <c r="R1250" s="160"/>
      <c r="S1250" s="160"/>
      <c r="T1250" s="160"/>
      <c r="U1250" s="160"/>
      <c r="V1250" s="160"/>
      <c r="W1250" s="160"/>
      <c r="X1250" s="160"/>
      <c r="Y1250" s="160"/>
      <c r="Z1250" s="160"/>
      <c r="AA1250" s="160"/>
      <c r="AB1250" s="160"/>
      <c r="AC1250" s="160"/>
      <c r="AD1250" s="160"/>
      <c r="AE1250" s="160"/>
    </row>
    <row r="1251">
      <c r="I1251" s="97"/>
      <c r="J1251" s="97"/>
      <c r="K1251" s="97"/>
      <c r="L1251" s="160"/>
      <c r="M1251" s="97"/>
      <c r="N1251" s="97"/>
      <c r="O1251" s="97"/>
      <c r="P1251" s="97"/>
      <c r="Q1251" s="97"/>
      <c r="R1251" s="160"/>
      <c r="S1251" s="160"/>
      <c r="T1251" s="160"/>
      <c r="U1251" s="160"/>
      <c r="V1251" s="160"/>
      <c r="W1251" s="160"/>
      <c r="X1251" s="160"/>
      <c r="Y1251" s="160"/>
      <c r="Z1251" s="160"/>
      <c r="AA1251" s="160"/>
      <c r="AB1251" s="160"/>
      <c r="AC1251" s="160"/>
      <c r="AD1251" s="160"/>
      <c r="AE1251" s="160"/>
    </row>
    <row r="1252">
      <c r="I1252" s="97"/>
      <c r="J1252" s="97"/>
      <c r="K1252" s="97"/>
      <c r="L1252" s="160"/>
      <c r="M1252" s="97"/>
      <c r="N1252" s="97"/>
      <c r="O1252" s="97"/>
      <c r="P1252" s="97"/>
      <c r="Q1252" s="97"/>
      <c r="R1252" s="160"/>
      <c r="S1252" s="160"/>
      <c r="T1252" s="160"/>
      <c r="U1252" s="160"/>
      <c r="V1252" s="160"/>
      <c r="W1252" s="160"/>
      <c r="X1252" s="160"/>
      <c r="Y1252" s="160"/>
      <c r="Z1252" s="160"/>
      <c r="AA1252" s="160"/>
      <c r="AB1252" s="160"/>
      <c r="AC1252" s="160"/>
      <c r="AD1252" s="160"/>
      <c r="AE1252" s="160"/>
    </row>
    <row r="1253">
      <c r="I1253" s="97"/>
      <c r="J1253" s="97"/>
      <c r="K1253" s="97"/>
      <c r="L1253" s="160"/>
      <c r="M1253" s="97"/>
      <c r="N1253" s="97"/>
      <c r="O1253" s="97"/>
      <c r="P1253" s="97"/>
      <c r="Q1253" s="97"/>
      <c r="R1253" s="160"/>
      <c r="S1253" s="160"/>
      <c r="T1253" s="160"/>
      <c r="U1253" s="160"/>
      <c r="V1253" s="160"/>
      <c r="W1253" s="160"/>
      <c r="X1253" s="160"/>
      <c r="Y1253" s="160"/>
      <c r="Z1253" s="160"/>
      <c r="AA1253" s="160"/>
      <c r="AB1253" s="160"/>
      <c r="AC1253" s="160"/>
      <c r="AD1253" s="160"/>
      <c r="AE1253" s="160"/>
    </row>
    <row r="1254">
      <c r="I1254" s="97"/>
      <c r="J1254" s="97"/>
      <c r="K1254" s="97"/>
      <c r="L1254" s="160"/>
      <c r="M1254" s="97"/>
      <c r="N1254" s="97"/>
      <c r="O1254" s="97"/>
      <c r="P1254" s="97"/>
      <c r="Q1254" s="97"/>
      <c r="R1254" s="160"/>
      <c r="S1254" s="160"/>
      <c r="T1254" s="160"/>
      <c r="U1254" s="160"/>
      <c r="V1254" s="160"/>
      <c r="W1254" s="160"/>
      <c r="X1254" s="160"/>
      <c r="Y1254" s="160"/>
      <c r="Z1254" s="160"/>
      <c r="AA1254" s="160"/>
      <c r="AB1254" s="160"/>
      <c r="AC1254" s="160"/>
      <c r="AD1254" s="160"/>
      <c r="AE1254" s="160"/>
    </row>
    <row r="1255">
      <c r="I1255" s="97"/>
      <c r="J1255" s="97"/>
      <c r="K1255" s="97"/>
      <c r="L1255" s="160"/>
      <c r="M1255" s="97"/>
      <c r="N1255" s="97"/>
      <c r="O1255" s="97"/>
      <c r="P1255" s="97"/>
      <c r="Q1255" s="97"/>
      <c r="R1255" s="160"/>
      <c r="S1255" s="160"/>
      <c r="T1255" s="160"/>
      <c r="U1255" s="160"/>
      <c r="V1255" s="160"/>
      <c r="W1255" s="160"/>
      <c r="X1255" s="160"/>
      <c r="Y1255" s="160"/>
      <c r="Z1255" s="160"/>
      <c r="AA1255" s="160"/>
      <c r="AB1255" s="160"/>
      <c r="AC1255" s="160"/>
      <c r="AD1255" s="160"/>
      <c r="AE1255" s="160"/>
    </row>
    <row r="1256">
      <c r="I1256" s="97"/>
      <c r="J1256" s="97"/>
      <c r="K1256" s="97"/>
      <c r="L1256" s="160"/>
      <c r="M1256" s="97"/>
      <c r="N1256" s="97"/>
      <c r="O1256" s="97"/>
      <c r="P1256" s="97"/>
      <c r="Q1256" s="97"/>
      <c r="R1256" s="160"/>
      <c r="S1256" s="160"/>
      <c r="T1256" s="160"/>
      <c r="U1256" s="160"/>
      <c r="V1256" s="160"/>
      <c r="W1256" s="160"/>
      <c r="X1256" s="160"/>
      <c r="Y1256" s="160"/>
      <c r="Z1256" s="160"/>
      <c r="AA1256" s="160"/>
      <c r="AB1256" s="160"/>
      <c r="AC1256" s="160"/>
      <c r="AD1256" s="160"/>
      <c r="AE1256" s="160"/>
    </row>
    <row r="1257">
      <c r="I1257" s="97"/>
      <c r="J1257" s="97"/>
      <c r="K1257" s="97"/>
      <c r="L1257" s="160"/>
      <c r="M1257" s="97"/>
      <c r="N1257" s="97"/>
      <c r="O1257" s="97"/>
      <c r="P1257" s="97"/>
      <c r="Q1257" s="97"/>
      <c r="R1257" s="160"/>
      <c r="S1257" s="160"/>
      <c r="T1257" s="160"/>
      <c r="U1257" s="160"/>
      <c r="V1257" s="160"/>
      <c r="W1257" s="160"/>
      <c r="X1257" s="160"/>
      <c r="Y1257" s="160"/>
      <c r="Z1257" s="160"/>
      <c r="AA1257" s="160"/>
      <c r="AB1257" s="160"/>
      <c r="AC1257" s="160"/>
      <c r="AD1257" s="160"/>
      <c r="AE1257" s="160"/>
    </row>
    <row r="1258">
      <c r="I1258" s="97"/>
      <c r="J1258" s="97"/>
      <c r="K1258" s="97"/>
      <c r="L1258" s="160"/>
      <c r="M1258" s="97"/>
      <c r="N1258" s="97"/>
      <c r="O1258" s="97"/>
      <c r="P1258" s="97"/>
      <c r="Q1258" s="97"/>
      <c r="R1258" s="160"/>
      <c r="S1258" s="160"/>
      <c r="T1258" s="160"/>
      <c r="U1258" s="160"/>
      <c r="V1258" s="160"/>
      <c r="W1258" s="160"/>
      <c r="X1258" s="160"/>
      <c r="Y1258" s="160"/>
      <c r="Z1258" s="160"/>
      <c r="AA1258" s="160"/>
      <c r="AB1258" s="160"/>
      <c r="AC1258" s="160"/>
      <c r="AD1258" s="160"/>
      <c r="AE1258" s="160"/>
    </row>
    <row r="1259">
      <c r="I1259" s="97"/>
      <c r="J1259" s="97"/>
      <c r="K1259" s="97"/>
      <c r="L1259" s="160"/>
      <c r="M1259" s="97"/>
      <c r="N1259" s="97"/>
      <c r="O1259" s="97"/>
      <c r="P1259" s="97"/>
      <c r="Q1259" s="97"/>
      <c r="R1259" s="160"/>
      <c r="S1259" s="160"/>
      <c r="T1259" s="160"/>
      <c r="U1259" s="160"/>
      <c r="V1259" s="160"/>
      <c r="W1259" s="160"/>
      <c r="X1259" s="160"/>
      <c r="Y1259" s="160"/>
      <c r="Z1259" s="160"/>
      <c r="AA1259" s="160"/>
      <c r="AB1259" s="160"/>
      <c r="AC1259" s="160"/>
      <c r="AD1259" s="160"/>
      <c r="AE1259" s="160"/>
    </row>
    <row r="1260">
      <c r="I1260" s="97"/>
      <c r="J1260" s="97"/>
      <c r="K1260" s="97"/>
      <c r="L1260" s="160"/>
      <c r="M1260" s="97"/>
      <c r="N1260" s="97"/>
      <c r="O1260" s="97"/>
      <c r="P1260" s="97"/>
      <c r="Q1260" s="97"/>
      <c r="R1260" s="160"/>
      <c r="S1260" s="160"/>
      <c r="T1260" s="160"/>
      <c r="U1260" s="160"/>
      <c r="V1260" s="160"/>
      <c r="W1260" s="160"/>
      <c r="X1260" s="160"/>
      <c r="Y1260" s="160"/>
      <c r="Z1260" s="160"/>
      <c r="AA1260" s="160"/>
      <c r="AB1260" s="160"/>
      <c r="AC1260" s="160"/>
      <c r="AD1260" s="160"/>
      <c r="AE1260" s="160"/>
    </row>
    <row r="1261">
      <c r="I1261" s="97"/>
      <c r="J1261" s="97"/>
      <c r="K1261" s="97"/>
      <c r="L1261" s="160"/>
      <c r="M1261" s="97"/>
      <c r="N1261" s="97"/>
      <c r="O1261" s="97"/>
      <c r="P1261" s="97"/>
      <c r="Q1261" s="97"/>
      <c r="R1261" s="160"/>
      <c r="S1261" s="160"/>
      <c r="T1261" s="160"/>
      <c r="U1261" s="160"/>
      <c r="V1261" s="160"/>
      <c r="W1261" s="160"/>
      <c r="X1261" s="160"/>
      <c r="Y1261" s="160"/>
      <c r="Z1261" s="160"/>
      <c r="AA1261" s="160"/>
      <c r="AB1261" s="160"/>
      <c r="AC1261" s="160"/>
      <c r="AD1261" s="160"/>
      <c r="AE1261" s="160"/>
    </row>
    <row r="1262">
      <c r="I1262" s="97"/>
      <c r="J1262" s="97"/>
      <c r="K1262" s="97"/>
      <c r="L1262" s="160"/>
      <c r="M1262" s="97"/>
      <c r="N1262" s="97"/>
      <c r="O1262" s="97"/>
      <c r="P1262" s="97"/>
      <c r="Q1262" s="97"/>
      <c r="R1262" s="160"/>
      <c r="S1262" s="160"/>
      <c r="T1262" s="160"/>
      <c r="U1262" s="160"/>
      <c r="V1262" s="160"/>
      <c r="W1262" s="160"/>
      <c r="X1262" s="160"/>
      <c r="Y1262" s="160"/>
      <c r="Z1262" s="160"/>
      <c r="AA1262" s="160"/>
      <c r="AB1262" s="160"/>
      <c r="AC1262" s="160"/>
      <c r="AD1262" s="160"/>
      <c r="AE1262" s="160"/>
    </row>
    <row r="1263">
      <c r="I1263" s="97"/>
      <c r="J1263" s="97"/>
      <c r="K1263" s="97"/>
      <c r="L1263" s="160"/>
      <c r="M1263" s="97"/>
      <c r="N1263" s="97"/>
      <c r="O1263" s="97"/>
      <c r="P1263" s="97"/>
      <c r="Q1263" s="97"/>
      <c r="R1263" s="160"/>
      <c r="S1263" s="160"/>
      <c r="T1263" s="160"/>
      <c r="U1263" s="160"/>
      <c r="V1263" s="160"/>
      <c r="W1263" s="160"/>
      <c r="X1263" s="160"/>
      <c r="Y1263" s="160"/>
      <c r="Z1263" s="160"/>
      <c r="AA1263" s="160"/>
      <c r="AB1263" s="160"/>
      <c r="AC1263" s="160"/>
      <c r="AD1263" s="160"/>
      <c r="AE1263" s="160"/>
    </row>
    <row r="1264">
      <c r="I1264" s="97"/>
      <c r="J1264" s="97"/>
      <c r="K1264" s="97"/>
      <c r="L1264" s="160"/>
      <c r="M1264" s="97"/>
      <c r="N1264" s="97"/>
      <c r="O1264" s="97"/>
      <c r="P1264" s="97"/>
      <c r="Q1264" s="97"/>
      <c r="R1264" s="160"/>
      <c r="S1264" s="160"/>
      <c r="T1264" s="160"/>
      <c r="U1264" s="160"/>
      <c r="V1264" s="160"/>
      <c r="W1264" s="160"/>
      <c r="X1264" s="160"/>
      <c r="Y1264" s="160"/>
      <c r="Z1264" s="160"/>
      <c r="AA1264" s="160"/>
      <c r="AB1264" s="160"/>
      <c r="AC1264" s="160"/>
      <c r="AD1264" s="160"/>
      <c r="AE1264" s="160"/>
    </row>
    <row r="1265">
      <c r="I1265" s="97"/>
      <c r="J1265" s="97"/>
      <c r="K1265" s="97"/>
      <c r="L1265" s="160"/>
      <c r="M1265" s="97"/>
      <c r="N1265" s="97"/>
      <c r="O1265" s="97"/>
      <c r="P1265" s="97"/>
      <c r="Q1265" s="97"/>
      <c r="R1265" s="160"/>
      <c r="S1265" s="160"/>
      <c r="T1265" s="160"/>
      <c r="U1265" s="160"/>
      <c r="V1265" s="160"/>
      <c r="W1265" s="160"/>
      <c r="X1265" s="160"/>
      <c r="Y1265" s="160"/>
      <c r="Z1265" s="160"/>
      <c r="AA1265" s="160"/>
      <c r="AB1265" s="160"/>
      <c r="AC1265" s="160"/>
      <c r="AD1265" s="160"/>
      <c r="AE1265" s="160"/>
    </row>
    <row r="1266">
      <c r="I1266" s="97"/>
      <c r="J1266" s="97"/>
      <c r="K1266" s="97"/>
      <c r="L1266" s="160"/>
      <c r="M1266" s="97"/>
      <c r="N1266" s="97"/>
      <c r="O1266" s="97"/>
      <c r="P1266" s="97"/>
      <c r="Q1266" s="97"/>
      <c r="R1266" s="160"/>
      <c r="S1266" s="160"/>
      <c r="T1266" s="160"/>
      <c r="U1266" s="160"/>
      <c r="V1266" s="160"/>
      <c r="W1266" s="160"/>
      <c r="X1266" s="160"/>
      <c r="Y1266" s="160"/>
      <c r="Z1266" s="160"/>
      <c r="AA1266" s="160"/>
      <c r="AB1266" s="160"/>
      <c r="AC1266" s="160"/>
      <c r="AD1266" s="160"/>
      <c r="AE1266" s="160"/>
    </row>
    <row r="1267">
      <c r="I1267" s="97"/>
      <c r="J1267" s="97"/>
      <c r="K1267" s="97"/>
      <c r="L1267" s="160"/>
      <c r="M1267" s="97"/>
      <c r="N1267" s="97"/>
      <c r="O1267" s="97"/>
      <c r="P1267" s="97"/>
      <c r="Q1267" s="97"/>
      <c r="R1267" s="160"/>
      <c r="S1267" s="160"/>
      <c r="T1267" s="160"/>
      <c r="U1267" s="160"/>
      <c r="V1267" s="160"/>
      <c r="W1267" s="160"/>
      <c r="X1267" s="160"/>
      <c r="Y1267" s="160"/>
      <c r="Z1267" s="160"/>
      <c r="AA1267" s="160"/>
      <c r="AB1267" s="160"/>
      <c r="AC1267" s="160"/>
      <c r="AD1267" s="160"/>
      <c r="AE1267" s="160"/>
    </row>
    <row r="1268">
      <c r="I1268" s="97"/>
      <c r="J1268" s="97"/>
      <c r="K1268" s="97"/>
      <c r="L1268" s="160"/>
      <c r="M1268" s="97"/>
      <c r="N1268" s="97"/>
      <c r="O1268" s="97"/>
      <c r="P1268" s="97"/>
      <c r="Q1268" s="97"/>
      <c r="R1268" s="160"/>
      <c r="S1268" s="160"/>
      <c r="T1268" s="160"/>
      <c r="U1268" s="160"/>
      <c r="V1268" s="160"/>
      <c r="W1268" s="160"/>
      <c r="X1268" s="160"/>
      <c r="Y1268" s="160"/>
      <c r="Z1268" s="160"/>
      <c r="AA1268" s="160"/>
      <c r="AB1268" s="160"/>
      <c r="AC1268" s="160"/>
      <c r="AD1268" s="160"/>
      <c r="AE1268" s="160"/>
    </row>
    <row r="1269">
      <c r="I1269" s="97"/>
      <c r="J1269" s="97"/>
      <c r="K1269" s="97"/>
      <c r="L1269" s="160"/>
      <c r="M1269" s="97"/>
      <c r="N1269" s="97"/>
      <c r="O1269" s="97"/>
      <c r="P1269" s="97"/>
      <c r="Q1269" s="97"/>
      <c r="R1269" s="160"/>
      <c r="S1269" s="160"/>
      <c r="T1269" s="160"/>
      <c r="U1269" s="160"/>
      <c r="V1269" s="160"/>
      <c r="W1269" s="160"/>
      <c r="X1269" s="160"/>
      <c r="Y1269" s="160"/>
      <c r="Z1269" s="160"/>
      <c r="AA1269" s="160"/>
      <c r="AB1269" s="160"/>
      <c r="AC1269" s="160"/>
      <c r="AD1269" s="160"/>
      <c r="AE1269" s="160"/>
    </row>
    <row r="1270">
      <c r="I1270" s="97"/>
      <c r="J1270" s="97"/>
      <c r="K1270" s="97"/>
      <c r="L1270" s="160"/>
      <c r="M1270" s="97"/>
      <c r="N1270" s="97"/>
      <c r="O1270" s="97"/>
      <c r="P1270" s="97"/>
      <c r="Q1270" s="97"/>
      <c r="R1270" s="160"/>
      <c r="S1270" s="160"/>
      <c r="T1270" s="160"/>
      <c r="U1270" s="160"/>
      <c r="V1270" s="160"/>
      <c r="W1270" s="160"/>
      <c r="X1270" s="160"/>
      <c r="Y1270" s="160"/>
      <c r="Z1270" s="160"/>
      <c r="AA1270" s="160"/>
      <c r="AB1270" s="160"/>
      <c r="AC1270" s="160"/>
      <c r="AD1270" s="160"/>
      <c r="AE1270" s="160"/>
    </row>
    <row r="1271">
      <c r="I1271" s="97"/>
      <c r="J1271" s="97"/>
      <c r="K1271" s="97"/>
      <c r="L1271" s="160"/>
      <c r="M1271" s="97"/>
      <c r="N1271" s="97"/>
      <c r="O1271" s="97"/>
      <c r="P1271" s="97"/>
      <c r="Q1271" s="97"/>
      <c r="R1271" s="160"/>
      <c r="S1271" s="160"/>
      <c r="T1271" s="160"/>
      <c r="U1271" s="160"/>
      <c r="V1271" s="160"/>
      <c r="W1271" s="160"/>
      <c r="X1271" s="160"/>
      <c r="Y1271" s="160"/>
      <c r="Z1271" s="160"/>
      <c r="AA1271" s="160"/>
      <c r="AB1271" s="160"/>
      <c r="AC1271" s="160"/>
      <c r="AD1271" s="160"/>
      <c r="AE1271" s="160"/>
    </row>
    <row r="1272">
      <c r="I1272" s="97"/>
      <c r="J1272" s="97"/>
      <c r="K1272" s="97"/>
      <c r="L1272" s="160"/>
      <c r="M1272" s="97"/>
      <c r="N1272" s="97"/>
      <c r="O1272" s="97"/>
      <c r="P1272" s="97"/>
      <c r="Q1272" s="97"/>
      <c r="R1272" s="160"/>
      <c r="S1272" s="160"/>
      <c r="T1272" s="160"/>
      <c r="U1272" s="160"/>
      <c r="V1272" s="160"/>
      <c r="W1272" s="160"/>
      <c r="X1272" s="160"/>
      <c r="Y1272" s="160"/>
      <c r="Z1272" s="160"/>
      <c r="AA1272" s="160"/>
      <c r="AB1272" s="160"/>
      <c r="AC1272" s="160"/>
      <c r="AD1272" s="160"/>
      <c r="AE1272" s="160"/>
    </row>
    <row r="1273">
      <c r="I1273" s="97"/>
      <c r="J1273" s="97"/>
      <c r="K1273" s="97"/>
      <c r="L1273" s="160"/>
      <c r="M1273" s="97"/>
      <c r="N1273" s="97"/>
      <c r="O1273" s="97"/>
      <c r="P1273" s="97"/>
      <c r="Q1273" s="97"/>
      <c r="R1273" s="160"/>
      <c r="S1273" s="160"/>
      <c r="T1273" s="160"/>
      <c r="U1273" s="160"/>
      <c r="V1273" s="160"/>
      <c r="W1273" s="160"/>
      <c r="X1273" s="160"/>
      <c r="Y1273" s="160"/>
      <c r="Z1273" s="160"/>
      <c r="AA1273" s="160"/>
      <c r="AB1273" s="160"/>
      <c r="AC1273" s="160"/>
      <c r="AD1273" s="160"/>
      <c r="AE1273" s="160"/>
    </row>
    <row r="1274">
      <c r="I1274" s="97"/>
      <c r="J1274" s="97"/>
      <c r="K1274" s="97"/>
      <c r="L1274" s="160"/>
      <c r="M1274" s="97"/>
      <c r="N1274" s="97"/>
      <c r="O1274" s="97"/>
      <c r="P1274" s="97"/>
      <c r="Q1274" s="97"/>
      <c r="R1274" s="160"/>
      <c r="S1274" s="160"/>
      <c r="T1274" s="160"/>
      <c r="U1274" s="160"/>
      <c r="V1274" s="160"/>
      <c r="W1274" s="160"/>
      <c r="X1274" s="160"/>
      <c r="Y1274" s="160"/>
      <c r="Z1274" s="160"/>
      <c r="AA1274" s="160"/>
      <c r="AB1274" s="160"/>
      <c r="AC1274" s="160"/>
      <c r="AD1274" s="160"/>
      <c r="AE1274" s="160"/>
    </row>
    <row r="1275">
      <c r="I1275" s="97"/>
      <c r="J1275" s="97"/>
      <c r="K1275" s="97"/>
      <c r="L1275" s="160"/>
      <c r="M1275" s="97"/>
      <c r="N1275" s="97"/>
      <c r="O1275" s="97"/>
      <c r="P1275" s="97"/>
      <c r="Q1275" s="97"/>
      <c r="R1275" s="160"/>
      <c r="S1275" s="160"/>
      <c r="T1275" s="160"/>
      <c r="U1275" s="160"/>
      <c r="V1275" s="160"/>
      <c r="W1275" s="160"/>
      <c r="X1275" s="160"/>
      <c r="Y1275" s="160"/>
      <c r="Z1275" s="160"/>
      <c r="AA1275" s="160"/>
      <c r="AB1275" s="160"/>
      <c r="AC1275" s="160"/>
      <c r="AD1275" s="160"/>
      <c r="AE1275" s="160"/>
    </row>
    <row r="1276">
      <c r="I1276" s="97"/>
      <c r="J1276" s="97"/>
      <c r="K1276" s="97"/>
      <c r="L1276" s="160"/>
      <c r="M1276" s="97"/>
      <c r="N1276" s="97"/>
      <c r="O1276" s="97"/>
      <c r="P1276" s="97"/>
      <c r="Q1276" s="97"/>
      <c r="R1276" s="160"/>
      <c r="S1276" s="160"/>
      <c r="T1276" s="160"/>
      <c r="U1276" s="160"/>
      <c r="V1276" s="160"/>
      <c r="W1276" s="160"/>
      <c r="X1276" s="160"/>
      <c r="Y1276" s="160"/>
      <c r="Z1276" s="160"/>
      <c r="AA1276" s="160"/>
      <c r="AB1276" s="160"/>
      <c r="AC1276" s="160"/>
      <c r="AD1276" s="160"/>
      <c r="AE1276" s="160"/>
    </row>
    <row r="1277">
      <c r="I1277" s="97"/>
      <c r="J1277" s="97"/>
      <c r="K1277" s="97"/>
      <c r="L1277" s="160"/>
      <c r="M1277" s="97"/>
      <c r="N1277" s="97"/>
      <c r="O1277" s="97"/>
      <c r="P1277" s="97"/>
      <c r="Q1277" s="97"/>
      <c r="R1277" s="160"/>
      <c r="S1277" s="160"/>
      <c r="T1277" s="160"/>
      <c r="U1277" s="160"/>
      <c r="V1277" s="160"/>
      <c r="W1277" s="160"/>
      <c r="X1277" s="160"/>
      <c r="Y1277" s="160"/>
      <c r="Z1277" s="160"/>
      <c r="AA1277" s="160"/>
      <c r="AB1277" s="160"/>
      <c r="AC1277" s="160"/>
      <c r="AD1277" s="160"/>
      <c r="AE1277" s="160"/>
    </row>
    <row r="1278">
      <c r="I1278" s="97"/>
      <c r="J1278" s="97"/>
      <c r="K1278" s="97"/>
      <c r="L1278" s="160"/>
      <c r="M1278" s="97"/>
      <c r="N1278" s="97"/>
      <c r="O1278" s="97"/>
      <c r="P1278" s="97"/>
      <c r="Q1278" s="97"/>
      <c r="R1278" s="160"/>
      <c r="S1278" s="160"/>
      <c r="T1278" s="160"/>
      <c r="U1278" s="160"/>
      <c r="V1278" s="160"/>
      <c r="W1278" s="160"/>
      <c r="X1278" s="160"/>
      <c r="Y1278" s="160"/>
      <c r="Z1278" s="160"/>
      <c r="AA1278" s="160"/>
      <c r="AB1278" s="160"/>
      <c r="AC1278" s="160"/>
      <c r="AD1278" s="160"/>
      <c r="AE1278" s="160"/>
    </row>
    <row r="1279">
      <c r="I1279" s="97"/>
      <c r="J1279" s="97"/>
      <c r="K1279" s="97"/>
      <c r="L1279" s="160"/>
      <c r="M1279" s="97"/>
      <c r="N1279" s="97"/>
      <c r="O1279" s="97"/>
      <c r="P1279" s="97"/>
      <c r="Q1279" s="97"/>
      <c r="R1279" s="160"/>
      <c r="S1279" s="160"/>
      <c r="T1279" s="160"/>
      <c r="U1279" s="160"/>
      <c r="V1279" s="160"/>
      <c r="W1279" s="160"/>
      <c r="X1279" s="160"/>
      <c r="Y1279" s="160"/>
      <c r="Z1279" s="160"/>
      <c r="AA1279" s="160"/>
      <c r="AB1279" s="160"/>
      <c r="AC1279" s="160"/>
      <c r="AD1279" s="160"/>
      <c r="AE1279" s="160"/>
    </row>
    <row r="1280">
      <c r="I1280" s="97"/>
      <c r="J1280" s="97"/>
      <c r="K1280" s="97"/>
      <c r="L1280" s="160"/>
      <c r="M1280" s="97"/>
      <c r="N1280" s="97"/>
      <c r="O1280" s="97"/>
      <c r="P1280" s="97"/>
      <c r="Q1280" s="97"/>
      <c r="R1280" s="160"/>
      <c r="S1280" s="160"/>
      <c r="T1280" s="160"/>
      <c r="U1280" s="160"/>
      <c r="V1280" s="160"/>
      <c r="W1280" s="160"/>
      <c r="X1280" s="160"/>
      <c r="Y1280" s="160"/>
      <c r="Z1280" s="160"/>
      <c r="AA1280" s="160"/>
      <c r="AB1280" s="160"/>
      <c r="AC1280" s="160"/>
      <c r="AD1280" s="160"/>
      <c r="AE1280" s="160"/>
    </row>
    <row r="1281">
      <c r="I1281" s="97"/>
      <c r="J1281" s="97"/>
      <c r="K1281" s="97"/>
      <c r="L1281" s="160"/>
      <c r="M1281" s="97"/>
      <c r="N1281" s="97"/>
      <c r="O1281" s="97"/>
      <c r="P1281" s="97"/>
      <c r="Q1281" s="97"/>
      <c r="R1281" s="160"/>
      <c r="S1281" s="160"/>
      <c r="T1281" s="160"/>
      <c r="U1281" s="160"/>
      <c r="V1281" s="160"/>
      <c r="W1281" s="160"/>
      <c r="X1281" s="160"/>
      <c r="Y1281" s="160"/>
      <c r="Z1281" s="160"/>
      <c r="AA1281" s="160"/>
      <c r="AB1281" s="160"/>
      <c r="AC1281" s="160"/>
      <c r="AD1281" s="160"/>
      <c r="AE1281" s="160"/>
    </row>
    <row r="1282">
      <c r="I1282" s="97"/>
      <c r="J1282" s="97"/>
      <c r="K1282" s="97"/>
      <c r="L1282" s="160"/>
      <c r="M1282" s="97"/>
      <c r="N1282" s="97"/>
      <c r="O1282" s="97"/>
      <c r="P1282" s="97"/>
      <c r="Q1282" s="97"/>
      <c r="R1282" s="160"/>
      <c r="S1282" s="160"/>
      <c r="T1282" s="160"/>
      <c r="U1282" s="160"/>
      <c r="V1282" s="160"/>
      <c r="W1282" s="160"/>
      <c r="X1282" s="160"/>
      <c r="Y1282" s="160"/>
      <c r="Z1282" s="160"/>
      <c r="AA1282" s="160"/>
      <c r="AB1282" s="160"/>
      <c r="AC1282" s="160"/>
      <c r="AD1282" s="160"/>
      <c r="AE1282" s="160"/>
    </row>
    <row r="1283">
      <c r="I1283" s="97"/>
      <c r="J1283" s="97"/>
      <c r="K1283" s="97"/>
      <c r="L1283" s="160"/>
      <c r="M1283" s="97"/>
      <c r="N1283" s="97"/>
      <c r="O1283" s="97"/>
      <c r="P1283" s="97"/>
      <c r="Q1283" s="97"/>
      <c r="R1283" s="160"/>
      <c r="S1283" s="160"/>
      <c r="T1283" s="160"/>
      <c r="U1283" s="160"/>
      <c r="V1283" s="160"/>
      <c r="W1283" s="160"/>
      <c r="X1283" s="160"/>
      <c r="Y1283" s="160"/>
      <c r="Z1283" s="160"/>
      <c r="AA1283" s="160"/>
      <c r="AB1283" s="160"/>
      <c r="AC1283" s="160"/>
      <c r="AD1283" s="160"/>
      <c r="AE1283" s="160"/>
    </row>
    <row r="1284">
      <c r="I1284" s="97"/>
      <c r="J1284" s="97"/>
      <c r="K1284" s="97"/>
      <c r="L1284" s="160"/>
      <c r="M1284" s="97"/>
      <c r="N1284" s="97"/>
      <c r="O1284" s="97"/>
      <c r="P1284" s="97"/>
      <c r="Q1284" s="97"/>
      <c r="R1284" s="160"/>
      <c r="S1284" s="160"/>
      <c r="T1284" s="160"/>
      <c r="U1284" s="160"/>
      <c r="V1284" s="160"/>
      <c r="W1284" s="160"/>
      <c r="X1284" s="160"/>
      <c r="Y1284" s="160"/>
      <c r="Z1284" s="160"/>
      <c r="AA1284" s="160"/>
      <c r="AB1284" s="160"/>
      <c r="AC1284" s="160"/>
      <c r="AD1284" s="160"/>
      <c r="AE1284" s="160"/>
    </row>
    <row r="1285">
      <c r="I1285" s="97"/>
      <c r="J1285" s="97"/>
      <c r="K1285" s="97"/>
      <c r="L1285" s="160"/>
      <c r="M1285" s="97"/>
      <c r="N1285" s="97"/>
      <c r="O1285" s="97"/>
      <c r="P1285" s="97"/>
      <c r="Q1285" s="97"/>
      <c r="R1285" s="160"/>
      <c r="S1285" s="160"/>
      <c r="T1285" s="160"/>
      <c r="U1285" s="160"/>
      <c r="V1285" s="160"/>
      <c r="W1285" s="160"/>
      <c r="X1285" s="160"/>
      <c r="Y1285" s="160"/>
      <c r="Z1285" s="160"/>
      <c r="AA1285" s="160"/>
      <c r="AB1285" s="160"/>
      <c r="AC1285" s="160"/>
      <c r="AD1285" s="160"/>
      <c r="AE1285" s="160"/>
    </row>
    <row r="1286">
      <c r="I1286" s="97"/>
      <c r="J1286" s="97"/>
      <c r="K1286" s="97"/>
      <c r="L1286" s="160"/>
      <c r="M1286" s="97"/>
      <c r="N1286" s="97"/>
      <c r="O1286" s="97"/>
      <c r="P1286" s="97"/>
      <c r="Q1286" s="97"/>
      <c r="R1286" s="160"/>
      <c r="S1286" s="160"/>
      <c r="T1286" s="160"/>
      <c r="U1286" s="160"/>
      <c r="V1286" s="160"/>
      <c r="W1286" s="160"/>
      <c r="X1286" s="160"/>
      <c r="Y1286" s="160"/>
      <c r="Z1286" s="160"/>
      <c r="AA1286" s="160"/>
      <c r="AB1286" s="160"/>
      <c r="AC1286" s="160"/>
      <c r="AD1286" s="160"/>
      <c r="AE1286" s="160"/>
    </row>
    <row r="1287">
      <c r="I1287" s="97"/>
      <c r="J1287" s="97"/>
      <c r="K1287" s="97"/>
      <c r="L1287" s="160"/>
      <c r="M1287" s="97"/>
      <c r="N1287" s="97"/>
      <c r="O1287" s="97"/>
      <c r="P1287" s="97"/>
      <c r="Q1287" s="97"/>
      <c r="R1287" s="160"/>
      <c r="S1287" s="160"/>
      <c r="T1287" s="160"/>
      <c r="U1287" s="160"/>
      <c r="V1287" s="160"/>
      <c r="W1287" s="160"/>
      <c r="X1287" s="160"/>
      <c r="Y1287" s="160"/>
      <c r="Z1287" s="160"/>
      <c r="AA1287" s="160"/>
      <c r="AB1287" s="160"/>
      <c r="AC1287" s="160"/>
      <c r="AD1287" s="160"/>
      <c r="AE1287" s="160"/>
    </row>
    <row r="1288">
      <c r="I1288" s="97"/>
      <c r="J1288" s="97"/>
      <c r="K1288" s="97"/>
      <c r="L1288" s="160"/>
      <c r="M1288" s="97"/>
      <c r="N1288" s="97"/>
      <c r="O1288" s="97"/>
      <c r="P1288" s="97"/>
      <c r="Q1288" s="97"/>
      <c r="R1288" s="160"/>
      <c r="S1288" s="160"/>
      <c r="T1288" s="160"/>
      <c r="U1288" s="160"/>
      <c r="V1288" s="160"/>
      <c r="W1288" s="160"/>
      <c r="X1288" s="160"/>
      <c r="Y1288" s="160"/>
      <c r="Z1288" s="160"/>
      <c r="AA1288" s="160"/>
      <c r="AB1288" s="160"/>
      <c r="AC1288" s="160"/>
      <c r="AD1288" s="160"/>
      <c r="AE1288" s="160"/>
    </row>
    <row r="1289">
      <c r="I1289" s="97"/>
      <c r="J1289" s="97"/>
      <c r="K1289" s="97"/>
      <c r="L1289" s="160"/>
      <c r="M1289" s="97"/>
      <c r="N1289" s="97"/>
      <c r="O1289" s="97"/>
      <c r="P1289" s="97"/>
      <c r="Q1289" s="97"/>
      <c r="R1289" s="160"/>
      <c r="S1289" s="160"/>
      <c r="T1289" s="160"/>
      <c r="U1289" s="160"/>
      <c r="V1289" s="160"/>
      <c r="W1289" s="160"/>
      <c r="X1289" s="160"/>
      <c r="Y1289" s="160"/>
      <c r="Z1289" s="160"/>
      <c r="AA1289" s="160"/>
      <c r="AB1289" s="160"/>
      <c r="AC1289" s="160"/>
      <c r="AD1289" s="160"/>
      <c r="AE1289" s="160"/>
    </row>
    <row r="1290">
      <c r="I1290" s="97"/>
      <c r="J1290" s="97"/>
      <c r="K1290" s="97"/>
      <c r="L1290" s="160"/>
      <c r="M1290" s="97"/>
      <c r="N1290" s="97"/>
      <c r="O1290" s="97"/>
      <c r="P1290" s="97"/>
      <c r="Q1290" s="97"/>
      <c r="R1290" s="160"/>
      <c r="S1290" s="160"/>
      <c r="T1290" s="160"/>
      <c r="U1290" s="160"/>
      <c r="V1290" s="160"/>
      <c r="W1290" s="160"/>
      <c r="X1290" s="160"/>
      <c r="Y1290" s="160"/>
      <c r="Z1290" s="160"/>
      <c r="AA1290" s="160"/>
      <c r="AB1290" s="160"/>
      <c r="AC1290" s="160"/>
      <c r="AD1290" s="160"/>
      <c r="AE1290" s="160"/>
    </row>
    <row r="1291">
      <c r="I1291" s="97"/>
      <c r="J1291" s="97"/>
      <c r="K1291" s="97"/>
      <c r="L1291" s="160"/>
      <c r="M1291" s="97"/>
      <c r="N1291" s="97"/>
      <c r="O1291" s="97"/>
      <c r="P1291" s="97"/>
      <c r="Q1291" s="97"/>
      <c r="R1291" s="160"/>
      <c r="S1291" s="160"/>
      <c r="T1291" s="160"/>
      <c r="U1291" s="160"/>
      <c r="V1291" s="160"/>
      <c r="W1291" s="160"/>
      <c r="X1291" s="160"/>
      <c r="Y1291" s="160"/>
      <c r="Z1291" s="160"/>
      <c r="AA1291" s="160"/>
      <c r="AB1291" s="160"/>
      <c r="AC1291" s="160"/>
      <c r="AD1291" s="160"/>
      <c r="AE1291" s="160"/>
    </row>
    <row r="1292">
      <c r="I1292" s="97"/>
      <c r="J1292" s="97"/>
      <c r="K1292" s="97"/>
      <c r="L1292" s="160"/>
      <c r="M1292" s="97"/>
      <c r="N1292" s="97"/>
      <c r="O1292" s="97"/>
      <c r="P1292" s="97"/>
      <c r="Q1292" s="97"/>
      <c r="R1292" s="160"/>
      <c r="S1292" s="160"/>
      <c r="T1292" s="160"/>
      <c r="U1292" s="160"/>
      <c r="V1292" s="160"/>
      <c r="W1292" s="160"/>
      <c r="X1292" s="160"/>
      <c r="Y1292" s="160"/>
      <c r="Z1292" s="160"/>
      <c r="AA1292" s="160"/>
      <c r="AB1292" s="160"/>
      <c r="AC1292" s="160"/>
      <c r="AD1292" s="160"/>
      <c r="AE1292" s="160"/>
    </row>
    <row r="1293">
      <c r="I1293" s="97"/>
      <c r="J1293" s="97"/>
      <c r="K1293" s="97"/>
      <c r="L1293" s="160"/>
      <c r="M1293" s="97"/>
      <c r="N1293" s="97"/>
      <c r="O1293" s="97"/>
      <c r="P1293" s="97"/>
      <c r="Q1293" s="97"/>
      <c r="R1293" s="160"/>
      <c r="S1293" s="160"/>
      <c r="T1293" s="160"/>
      <c r="U1293" s="160"/>
      <c r="V1293" s="160"/>
      <c r="W1293" s="160"/>
      <c r="X1293" s="160"/>
      <c r="Y1293" s="160"/>
      <c r="Z1293" s="160"/>
      <c r="AA1293" s="160"/>
      <c r="AB1293" s="160"/>
      <c r="AC1293" s="160"/>
      <c r="AD1293" s="160"/>
      <c r="AE1293" s="160"/>
    </row>
    <row r="1294">
      <c r="I1294" s="97"/>
      <c r="J1294" s="97"/>
      <c r="K1294" s="97"/>
      <c r="L1294" s="160"/>
      <c r="M1294" s="97"/>
      <c r="N1294" s="97"/>
      <c r="O1294" s="97"/>
      <c r="P1294" s="97"/>
      <c r="Q1294" s="97"/>
      <c r="R1294" s="160"/>
      <c r="S1294" s="160"/>
      <c r="T1294" s="160"/>
      <c r="U1294" s="160"/>
      <c r="V1294" s="160"/>
      <c r="W1294" s="160"/>
      <c r="X1294" s="160"/>
      <c r="Y1294" s="160"/>
      <c r="Z1294" s="160"/>
      <c r="AA1294" s="160"/>
      <c r="AB1294" s="160"/>
      <c r="AC1294" s="160"/>
      <c r="AD1294" s="160"/>
      <c r="AE1294" s="160"/>
    </row>
    <row r="1295">
      <c r="I1295" s="97"/>
      <c r="J1295" s="97"/>
      <c r="K1295" s="97"/>
      <c r="L1295" s="160"/>
      <c r="M1295" s="97"/>
      <c r="N1295" s="97"/>
      <c r="O1295" s="97"/>
      <c r="P1295" s="97"/>
      <c r="Q1295" s="97"/>
      <c r="R1295" s="160"/>
      <c r="S1295" s="160"/>
      <c r="T1295" s="160"/>
      <c r="U1295" s="160"/>
      <c r="V1295" s="160"/>
      <c r="W1295" s="160"/>
      <c r="X1295" s="160"/>
      <c r="Y1295" s="160"/>
      <c r="Z1295" s="160"/>
      <c r="AA1295" s="160"/>
      <c r="AB1295" s="160"/>
      <c r="AC1295" s="160"/>
      <c r="AD1295" s="160"/>
      <c r="AE1295" s="160"/>
    </row>
    <row r="1296">
      <c r="I1296" s="97"/>
      <c r="J1296" s="97"/>
      <c r="K1296" s="97"/>
      <c r="L1296" s="160"/>
      <c r="M1296" s="97"/>
      <c r="N1296" s="97"/>
      <c r="O1296" s="97"/>
      <c r="P1296" s="97"/>
      <c r="Q1296" s="97"/>
      <c r="R1296" s="160"/>
      <c r="S1296" s="160"/>
      <c r="T1296" s="160"/>
      <c r="U1296" s="160"/>
      <c r="V1296" s="160"/>
      <c r="W1296" s="160"/>
      <c r="X1296" s="160"/>
      <c r="Y1296" s="160"/>
      <c r="Z1296" s="160"/>
      <c r="AA1296" s="160"/>
      <c r="AB1296" s="160"/>
      <c r="AC1296" s="160"/>
      <c r="AD1296" s="160"/>
      <c r="AE1296" s="160"/>
    </row>
    <row r="1297">
      <c r="I1297" s="97"/>
      <c r="J1297" s="97"/>
      <c r="K1297" s="97"/>
      <c r="L1297" s="160"/>
      <c r="M1297" s="97"/>
      <c r="N1297" s="97"/>
      <c r="O1297" s="97"/>
      <c r="P1297" s="97"/>
      <c r="Q1297" s="97"/>
      <c r="R1297" s="160"/>
      <c r="S1297" s="160"/>
      <c r="T1297" s="160"/>
      <c r="U1297" s="160"/>
      <c r="V1297" s="160"/>
      <c r="W1297" s="160"/>
      <c r="X1297" s="160"/>
      <c r="Y1297" s="160"/>
      <c r="Z1297" s="160"/>
      <c r="AA1297" s="160"/>
      <c r="AB1297" s="160"/>
      <c r="AC1297" s="160"/>
      <c r="AD1297" s="160"/>
      <c r="AE1297" s="160"/>
    </row>
    <row r="1298">
      <c r="I1298" s="97"/>
      <c r="J1298" s="97"/>
      <c r="K1298" s="97"/>
      <c r="L1298" s="160"/>
      <c r="M1298" s="97"/>
      <c r="N1298" s="97"/>
      <c r="O1298" s="97"/>
      <c r="P1298" s="97"/>
      <c r="Q1298" s="97"/>
      <c r="R1298" s="160"/>
      <c r="S1298" s="160"/>
      <c r="T1298" s="160"/>
      <c r="U1298" s="160"/>
      <c r="V1298" s="160"/>
      <c r="W1298" s="160"/>
      <c r="X1298" s="160"/>
      <c r="Y1298" s="160"/>
      <c r="Z1298" s="160"/>
      <c r="AA1298" s="160"/>
      <c r="AB1298" s="160"/>
      <c r="AC1298" s="160"/>
      <c r="AD1298" s="160"/>
      <c r="AE1298" s="160"/>
    </row>
    <row r="1299">
      <c r="I1299" s="97"/>
      <c r="J1299" s="97"/>
      <c r="K1299" s="97"/>
      <c r="L1299" s="160"/>
      <c r="M1299" s="97"/>
      <c r="N1299" s="97"/>
      <c r="O1299" s="97"/>
      <c r="P1299" s="97"/>
      <c r="Q1299" s="97"/>
      <c r="R1299" s="160"/>
      <c r="S1299" s="160"/>
      <c r="T1299" s="160"/>
      <c r="U1299" s="160"/>
      <c r="V1299" s="160"/>
      <c r="W1299" s="160"/>
      <c r="X1299" s="160"/>
      <c r="Y1299" s="160"/>
      <c r="Z1299" s="160"/>
      <c r="AA1299" s="160"/>
      <c r="AB1299" s="160"/>
      <c r="AC1299" s="160"/>
      <c r="AD1299" s="160"/>
      <c r="AE1299" s="160"/>
    </row>
    <row r="1300">
      <c r="I1300" s="97"/>
      <c r="J1300" s="97"/>
      <c r="K1300" s="97"/>
      <c r="L1300" s="160"/>
      <c r="M1300" s="97"/>
      <c r="N1300" s="97"/>
      <c r="O1300" s="97"/>
      <c r="P1300" s="97"/>
      <c r="Q1300" s="97"/>
      <c r="R1300" s="160"/>
      <c r="S1300" s="160"/>
      <c r="T1300" s="160"/>
      <c r="U1300" s="160"/>
      <c r="V1300" s="160"/>
      <c r="W1300" s="160"/>
      <c r="X1300" s="160"/>
      <c r="Y1300" s="160"/>
      <c r="Z1300" s="160"/>
      <c r="AA1300" s="160"/>
      <c r="AB1300" s="160"/>
      <c r="AC1300" s="160"/>
      <c r="AD1300" s="160"/>
      <c r="AE1300" s="160"/>
    </row>
    <row r="1301">
      <c r="I1301" s="97"/>
      <c r="J1301" s="97"/>
      <c r="K1301" s="97"/>
      <c r="L1301" s="160"/>
      <c r="M1301" s="97"/>
      <c r="N1301" s="97"/>
      <c r="O1301" s="97"/>
      <c r="P1301" s="97"/>
      <c r="Q1301" s="97"/>
      <c r="R1301" s="160"/>
      <c r="S1301" s="160"/>
      <c r="T1301" s="160"/>
      <c r="U1301" s="160"/>
      <c r="V1301" s="160"/>
      <c r="W1301" s="160"/>
      <c r="X1301" s="160"/>
      <c r="Y1301" s="160"/>
      <c r="Z1301" s="160"/>
      <c r="AA1301" s="160"/>
      <c r="AB1301" s="160"/>
      <c r="AC1301" s="160"/>
      <c r="AD1301" s="160"/>
      <c r="AE1301" s="160"/>
    </row>
    <row r="1302">
      <c r="I1302" s="97"/>
      <c r="J1302" s="97"/>
      <c r="K1302" s="97"/>
      <c r="L1302" s="160"/>
      <c r="M1302" s="97"/>
      <c r="N1302" s="97"/>
      <c r="O1302" s="97"/>
      <c r="P1302" s="97"/>
      <c r="Q1302" s="97"/>
      <c r="R1302" s="160"/>
      <c r="S1302" s="160"/>
      <c r="T1302" s="160"/>
      <c r="U1302" s="160"/>
      <c r="V1302" s="160"/>
      <c r="W1302" s="160"/>
      <c r="X1302" s="160"/>
      <c r="Y1302" s="160"/>
      <c r="Z1302" s="160"/>
      <c r="AA1302" s="160"/>
      <c r="AB1302" s="160"/>
      <c r="AC1302" s="160"/>
      <c r="AD1302" s="160"/>
      <c r="AE1302" s="160"/>
    </row>
    <row r="1303">
      <c r="I1303" s="97"/>
      <c r="J1303" s="97"/>
      <c r="K1303" s="97"/>
      <c r="L1303" s="160"/>
      <c r="M1303" s="97"/>
      <c r="N1303" s="97"/>
      <c r="O1303" s="97"/>
      <c r="P1303" s="97"/>
      <c r="Q1303" s="97"/>
      <c r="R1303" s="160"/>
      <c r="S1303" s="160"/>
      <c r="T1303" s="160"/>
      <c r="U1303" s="160"/>
      <c r="V1303" s="160"/>
      <c r="W1303" s="160"/>
      <c r="X1303" s="160"/>
      <c r="Y1303" s="160"/>
      <c r="Z1303" s="160"/>
      <c r="AA1303" s="160"/>
      <c r="AB1303" s="160"/>
      <c r="AC1303" s="160"/>
      <c r="AD1303" s="160"/>
      <c r="AE1303" s="160"/>
    </row>
    <row r="1304">
      <c r="I1304" s="97"/>
      <c r="J1304" s="97"/>
      <c r="K1304" s="97"/>
      <c r="L1304" s="160"/>
      <c r="M1304" s="97"/>
      <c r="N1304" s="97"/>
      <c r="O1304" s="97"/>
      <c r="P1304" s="97"/>
      <c r="Q1304" s="97"/>
      <c r="R1304" s="160"/>
      <c r="S1304" s="160"/>
      <c r="T1304" s="160"/>
      <c r="U1304" s="160"/>
      <c r="V1304" s="160"/>
      <c r="W1304" s="160"/>
      <c r="X1304" s="160"/>
      <c r="Y1304" s="160"/>
      <c r="Z1304" s="160"/>
      <c r="AA1304" s="160"/>
      <c r="AB1304" s="160"/>
      <c r="AC1304" s="160"/>
      <c r="AD1304" s="160"/>
      <c r="AE1304" s="160"/>
    </row>
    <row r="1305">
      <c r="I1305" s="97"/>
      <c r="J1305" s="97"/>
      <c r="K1305" s="97"/>
      <c r="L1305" s="160"/>
      <c r="M1305" s="97"/>
      <c r="N1305" s="97"/>
      <c r="O1305" s="97"/>
      <c r="P1305" s="97"/>
      <c r="Q1305" s="97"/>
      <c r="R1305" s="160"/>
      <c r="S1305" s="160"/>
      <c r="T1305" s="160"/>
      <c r="U1305" s="160"/>
      <c r="V1305" s="160"/>
      <c r="W1305" s="160"/>
      <c r="X1305" s="160"/>
      <c r="Y1305" s="160"/>
      <c r="Z1305" s="160"/>
      <c r="AA1305" s="160"/>
      <c r="AB1305" s="160"/>
      <c r="AC1305" s="160"/>
      <c r="AD1305" s="160"/>
      <c r="AE1305" s="160"/>
    </row>
    <row r="1306">
      <c r="I1306" s="97"/>
      <c r="J1306" s="97"/>
      <c r="K1306" s="97"/>
      <c r="L1306" s="160"/>
      <c r="M1306" s="97"/>
      <c r="N1306" s="97"/>
      <c r="O1306" s="97"/>
      <c r="P1306" s="97"/>
      <c r="Q1306" s="97"/>
      <c r="R1306" s="160"/>
      <c r="S1306" s="160"/>
      <c r="T1306" s="160"/>
      <c r="U1306" s="160"/>
      <c r="V1306" s="160"/>
      <c r="W1306" s="160"/>
      <c r="X1306" s="160"/>
      <c r="Y1306" s="160"/>
      <c r="Z1306" s="160"/>
      <c r="AA1306" s="160"/>
      <c r="AB1306" s="160"/>
      <c r="AC1306" s="160"/>
      <c r="AD1306" s="160"/>
      <c r="AE1306" s="160"/>
    </row>
    <row r="1307">
      <c r="I1307" s="97"/>
      <c r="J1307" s="97"/>
      <c r="K1307" s="97"/>
      <c r="L1307" s="160"/>
      <c r="M1307" s="97"/>
      <c r="N1307" s="97"/>
      <c r="O1307" s="97"/>
      <c r="P1307" s="97"/>
      <c r="Q1307" s="97"/>
      <c r="R1307" s="160"/>
      <c r="S1307" s="160"/>
      <c r="T1307" s="160"/>
      <c r="U1307" s="160"/>
      <c r="V1307" s="160"/>
      <c r="W1307" s="160"/>
      <c r="X1307" s="160"/>
      <c r="Y1307" s="160"/>
      <c r="Z1307" s="160"/>
      <c r="AA1307" s="160"/>
      <c r="AB1307" s="160"/>
      <c r="AC1307" s="160"/>
      <c r="AD1307" s="160"/>
      <c r="AE1307" s="160"/>
    </row>
    <row r="1308">
      <c r="I1308" s="97"/>
      <c r="J1308" s="97"/>
      <c r="K1308" s="97"/>
      <c r="L1308" s="160"/>
      <c r="M1308" s="97"/>
      <c r="N1308" s="97"/>
      <c r="O1308" s="97"/>
      <c r="P1308" s="97"/>
      <c r="Q1308" s="97"/>
      <c r="R1308" s="160"/>
      <c r="S1308" s="160"/>
      <c r="T1308" s="160"/>
      <c r="U1308" s="160"/>
      <c r="V1308" s="160"/>
      <c r="W1308" s="160"/>
      <c r="X1308" s="160"/>
      <c r="Y1308" s="160"/>
      <c r="Z1308" s="160"/>
      <c r="AA1308" s="160"/>
      <c r="AB1308" s="160"/>
      <c r="AC1308" s="160"/>
      <c r="AD1308" s="160"/>
      <c r="AE1308" s="160"/>
    </row>
    <row r="1309">
      <c r="I1309" s="97"/>
      <c r="J1309" s="97"/>
      <c r="K1309" s="97"/>
      <c r="L1309" s="160"/>
      <c r="M1309" s="97"/>
      <c r="N1309" s="97"/>
      <c r="O1309" s="97"/>
      <c r="P1309" s="97"/>
      <c r="Q1309" s="97"/>
      <c r="R1309" s="160"/>
      <c r="S1309" s="160"/>
      <c r="T1309" s="160"/>
      <c r="U1309" s="160"/>
      <c r="V1309" s="160"/>
      <c r="W1309" s="160"/>
      <c r="X1309" s="160"/>
      <c r="Y1309" s="160"/>
      <c r="Z1309" s="160"/>
      <c r="AA1309" s="160"/>
      <c r="AB1309" s="160"/>
      <c r="AC1309" s="160"/>
      <c r="AD1309" s="160"/>
      <c r="AE1309" s="160"/>
    </row>
    <row r="1310">
      <c r="I1310" s="97"/>
      <c r="J1310" s="97"/>
      <c r="K1310" s="97"/>
      <c r="L1310" s="160"/>
      <c r="M1310" s="97"/>
      <c r="N1310" s="97"/>
      <c r="O1310" s="97"/>
      <c r="P1310" s="97"/>
      <c r="Q1310" s="97"/>
      <c r="R1310" s="160"/>
      <c r="S1310" s="160"/>
      <c r="T1310" s="160"/>
      <c r="U1310" s="160"/>
      <c r="V1310" s="160"/>
      <c r="W1310" s="160"/>
      <c r="X1310" s="160"/>
      <c r="Y1310" s="160"/>
      <c r="Z1310" s="160"/>
      <c r="AA1310" s="160"/>
      <c r="AB1310" s="160"/>
      <c r="AC1310" s="160"/>
      <c r="AD1310" s="160"/>
      <c r="AE1310" s="160"/>
    </row>
    <row r="1311">
      <c r="I1311" s="97"/>
      <c r="J1311" s="97"/>
      <c r="K1311" s="97"/>
      <c r="L1311" s="160"/>
      <c r="M1311" s="97"/>
      <c r="N1311" s="97"/>
      <c r="O1311" s="97"/>
      <c r="P1311" s="97"/>
      <c r="Q1311" s="97"/>
      <c r="R1311" s="160"/>
      <c r="S1311" s="160"/>
      <c r="T1311" s="160"/>
      <c r="U1311" s="160"/>
      <c r="V1311" s="160"/>
      <c r="W1311" s="160"/>
      <c r="X1311" s="160"/>
      <c r="Y1311" s="160"/>
      <c r="Z1311" s="160"/>
      <c r="AA1311" s="160"/>
      <c r="AB1311" s="160"/>
      <c r="AC1311" s="160"/>
      <c r="AD1311" s="160"/>
      <c r="AE1311" s="160"/>
    </row>
    <row r="1312">
      <c r="I1312" s="97"/>
      <c r="J1312" s="97"/>
      <c r="K1312" s="97"/>
      <c r="L1312" s="160"/>
      <c r="M1312" s="97"/>
      <c r="N1312" s="97"/>
      <c r="O1312" s="97"/>
      <c r="P1312" s="97"/>
      <c r="Q1312" s="97"/>
      <c r="R1312" s="160"/>
      <c r="S1312" s="160"/>
      <c r="T1312" s="160"/>
      <c r="U1312" s="160"/>
      <c r="V1312" s="160"/>
      <c r="W1312" s="160"/>
      <c r="X1312" s="160"/>
      <c r="Y1312" s="160"/>
      <c r="Z1312" s="160"/>
      <c r="AA1312" s="160"/>
      <c r="AB1312" s="160"/>
      <c r="AC1312" s="160"/>
      <c r="AD1312" s="160"/>
      <c r="AE1312" s="160"/>
    </row>
    <row r="1313">
      <c r="I1313" s="97"/>
      <c r="J1313" s="97"/>
      <c r="K1313" s="97"/>
      <c r="L1313" s="160"/>
      <c r="M1313" s="97"/>
      <c r="N1313" s="97"/>
      <c r="O1313" s="97"/>
      <c r="P1313" s="97"/>
      <c r="Q1313" s="97"/>
      <c r="R1313" s="160"/>
      <c r="S1313" s="160"/>
      <c r="T1313" s="160"/>
      <c r="U1313" s="160"/>
      <c r="V1313" s="160"/>
      <c r="W1313" s="160"/>
      <c r="X1313" s="160"/>
      <c r="Y1313" s="160"/>
      <c r="Z1313" s="160"/>
      <c r="AA1313" s="160"/>
      <c r="AB1313" s="160"/>
      <c r="AC1313" s="160"/>
      <c r="AD1313" s="160"/>
      <c r="AE1313" s="160"/>
    </row>
    <row r="1314">
      <c r="I1314" s="97"/>
      <c r="J1314" s="97"/>
      <c r="K1314" s="97"/>
      <c r="L1314" s="160"/>
      <c r="M1314" s="97"/>
      <c r="N1314" s="97"/>
      <c r="O1314" s="97"/>
      <c r="P1314" s="97"/>
      <c r="Q1314" s="97"/>
      <c r="R1314" s="160"/>
      <c r="S1314" s="160"/>
      <c r="T1314" s="160"/>
      <c r="U1314" s="160"/>
      <c r="V1314" s="160"/>
      <c r="W1314" s="160"/>
      <c r="X1314" s="160"/>
      <c r="Y1314" s="160"/>
      <c r="Z1314" s="160"/>
      <c r="AA1314" s="160"/>
      <c r="AB1314" s="160"/>
      <c r="AC1314" s="160"/>
      <c r="AD1314" s="160"/>
      <c r="AE1314" s="160"/>
    </row>
    <row r="1315">
      <c r="I1315" s="97"/>
      <c r="J1315" s="97"/>
      <c r="K1315" s="97"/>
      <c r="L1315" s="160"/>
      <c r="M1315" s="97"/>
      <c r="N1315" s="97"/>
      <c r="O1315" s="97"/>
      <c r="P1315" s="97"/>
      <c r="Q1315" s="97"/>
      <c r="R1315" s="160"/>
      <c r="S1315" s="160"/>
      <c r="T1315" s="160"/>
      <c r="U1315" s="160"/>
      <c r="V1315" s="160"/>
      <c r="W1315" s="160"/>
      <c r="X1315" s="160"/>
      <c r="Y1315" s="160"/>
      <c r="Z1315" s="160"/>
      <c r="AA1315" s="160"/>
      <c r="AB1315" s="160"/>
      <c r="AC1315" s="160"/>
      <c r="AD1315" s="160"/>
      <c r="AE1315" s="160"/>
    </row>
    <row r="1316">
      <c r="I1316" s="97"/>
      <c r="J1316" s="97"/>
      <c r="K1316" s="97"/>
      <c r="L1316" s="160"/>
      <c r="M1316" s="97"/>
      <c r="N1316" s="97"/>
      <c r="O1316" s="97"/>
      <c r="P1316" s="97"/>
      <c r="Q1316" s="97"/>
      <c r="R1316" s="160"/>
      <c r="S1316" s="160"/>
      <c r="T1316" s="160"/>
      <c r="U1316" s="160"/>
      <c r="V1316" s="160"/>
      <c r="W1316" s="160"/>
      <c r="X1316" s="160"/>
      <c r="Y1316" s="160"/>
      <c r="Z1316" s="160"/>
      <c r="AA1316" s="160"/>
      <c r="AB1316" s="160"/>
      <c r="AC1316" s="160"/>
      <c r="AD1316" s="160"/>
      <c r="AE1316" s="160"/>
    </row>
    <row r="1317">
      <c r="I1317" s="97"/>
      <c r="J1317" s="97"/>
      <c r="K1317" s="97"/>
      <c r="L1317" s="160"/>
      <c r="M1317" s="97"/>
      <c r="N1317" s="97"/>
      <c r="O1317" s="97"/>
      <c r="P1317" s="97"/>
      <c r="Q1317" s="97"/>
      <c r="R1317" s="160"/>
      <c r="S1317" s="160"/>
      <c r="T1317" s="160"/>
      <c r="U1317" s="160"/>
      <c r="V1317" s="160"/>
      <c r="W1317" s="160"/>
      <c r="X1317" s="160"/>
      <c r="Y1317" s="160"/>
      <c r="Z1317" s="160"/>
      <c r="AA1317" s="160"/>
      <c r="AB1317" s="160"/>
      <c r="AC1317" s="160"/>
      <c r="AD1317" s="160"/>
      <c r="AE1317" s="160"/>
    </row>
    <row r="1318">
      <c r="I1318" s="97"/>
      <c r="J1318" s="97"/>
      <c r="K1318" s="97"/>
      <c r="L1318" s="160"/>
      <c r="M1318" s="97"/>
      <c r="N1318" s="97"/>
      <c r="O1318" s="97"/>
      <c r="P1318" s="97"/>
      <c r="Q1318" s="97"/>
      <c r="R1318" s="160"/>
      <c r="S1318" s="160"/>
      <c r="T1318" s="160"/>
      <c r="U1318" s="160"/>
      <c r="V1318" s="160"/>
      <c r="W1318" s="160"/>
      <c r="X1318" s="160"/>
      <c r="Y1318" s="160"/>
      <c r="Z1318" s="160"/>
      <c r="AA1318" s="160"/>
      <c r="AB1318" s="160"/>
      <c r="AC1318" s="160"/>
      <c r="AD1318" s="160"/>
      <c r="AE1318" s="160"/>
    </row>
    <row r="1319">
      <c r="I1319" s="97"/>
      <c r="J1319" s="97"/>
      <c r="K1319" s="97"/>
      <c r="L1319" s="160"/>
      <c r="M1319" s="97"/>
      <c r="N1319" s="97"/>
      <c r="O1319" s="97"/>
      <c r="P1319" s="97"/>
      <c r="Q1319" s="97"/>
      <c r="R1319" s="160"/>
      <c r="S1319" s="160"/>
      <c r="T1319" s="160"/>
      <c r="U1319" s="160"/>
      <c r="V1319" s="160"/>
      <c r="W1319" s="160"/>
      <c r="X1319" s="160"/>
      <c r="Y1319" s="160"/>
      <c r="Z1319" s="160"/>
      <c r="AA1319" s="160"/>
      <c r="AB1319" s="160"/>
      <c r="AC1319" s="160"/>
      <c r="AD1319" s="160"/>
      <c r="AE1319" s="160"/>
    </row>
    <row r="1320">
      <c r="I1320" s="97"/>
      <c r="J1320" s="97"/>
      <c r="K1320" s="97"/>
      <c r="L1320" s="160"/>
      <c r="M1320" s="97"/>
      <c r="N1320" s="97"/>
      <c r="O1320" s="97"/>
      <c r="P1320" s="97"/>
      <c r="Q1320" s="97"/>
      <c r="R1320" s="160"/>
      <c r="S1320" s="160"/>
      <c r="T1320" s="160"/>
      <c r="U1320" s="160"/>
      <c r="V1320" s="160"/>
      <c r="W1320" s="160"/>
      <c r="X1320" s="160"/>
      <c r="Y1320" s="160"/>
      <c r="Z1320" s="160"/>
      <c r="AA1320" s="160"/>
      <c r="AB1320" s="160"/>
      <c r="AC1320" s="160"/>
      <c r="AD1320" s="160"/>
      <c r="AE1320" s="160"/>
    </row>
    <row r="1321">
      <c r="I1321" s="97"/>
      <c r="J1321" s="97"/>
      <c r="K1321" s="97"/>
      <c r="L1321" s="160"/>
      <c r="M1321" s="97"/>
      <c r="N1321" s="97"/>
      <c r="O1321" s="97"/>
      <c r="P1321" s="97"/>
      <c r="Q1321" s="97"/>
      <c r="R1321" s="160"/>
      <c r="S1321" s="160"/>
      <c r="T1321" s="160"/>
      <c r="U1321" s="160"/>
      <c r="V1321" s="160"/>
      <c r="W1321" s="160"/>
      <c r="X1321" s="160"/>
      <c r="Y1321" s="160"/>
      <c r="Z1321" s="160"/>
      <c r="AA1321" s="160"/>
      <c r="AB1321" s="160"/>
      <c r="AC1321" s="160"/>
      <c r="AD1321" s="160"/>
      <c r="AE1321" s="160"/>
    </row>
    <row r="1322">
      <c r="I1322" s="97"/>
      <c r="J1322" s="97"/>
      <c r="K1322" s="97"/>
      <c r="L1322" s="160"/>
      <c r="M1322" s="97"/>
      <c r="N1322" s="97"/>
      <c r="O1322" s="97"/>
      <c r="P1322" s="97"/>
      <c r="Q1322" s="97"/>
      <c r="R1322" s="160"/>
      <c r="S1322" s="160"/>
      <c r="T1322" s="160"/>
      <c r="U1322" s="160"/>
      <c r="V1322" s="160"/>
      <c r="W1322" s="160"/>
      <c r="X1322" s="160"/>
      <c r="Y1322" s="160"/>
      <c r="Z1322" s="160"/>
      <c r="AA1322" s="160"/>
      <c r="AB1322" s="160"/>
      <c r="AC1322" s="160"/>
      <c r="AD1322" s="160"/>
      <c r="AE1322" s="160"/>
    </row>
    <row r="1323">
      <c r="I1323" s="97"/>
      <c r="J1323" s="97"/>
      <c r="K1323" s="97"/>
      <c r="L1323" s="160"/>
      <c r="M1323" s="97"/>
      <c r="N1323" s="97"/>
      <c r="O1323" s="97"/>
      <c r="P1323" s="97"/>
      <c r="Q1323" s="97"/>
      <c r="R1323" s="160"/>
      <c r="S1323" s="160"/>
      <c r="T1323" s="160"/>
      <c r="U1323" s="160"/>
      <c r="V1323" s="160"/>
      <c r="W1323" s="160"/>
      <c r="X1323" s="160"/>
      <c r="Y1323" s="160"/>
      <c r="Z1323" s="160"/>
      <c r="AA1323" s="160"/>
      <c r="AB1323" s="160"/>
      <c r="AC1323" s="160"/>
      <c r="AD1323" s="160"/>
      <c r="AE1323" s="160"/>
    </row>
    <row r="1324">
      <c r="I1324" s="97"/>
      <c r="J1324" s="97"/>
      <c r="K1324" s="97"/>
      <c r="L1324" s="160"/>
      <c r="M1324" s="97"/>
      <c r="N1324" s="97"/>
      <c r="O1324" s="97"/>
      <c r="P1324" s="97"/>
      <c r="Q1324" s="97"/>
      <c r="R1324" s="160"/>
      <c r="S1324" s="160"/>
      <c r="T1324" s="160"/>
      <c r="U1324" s="160"/>
      <c r="V1324" s="160"/>
      <c r="W1324" s="160"/>
      <c r="X1324" s="160"/>
      <c r="Y1324" s="160"/>
      <c r="Z1324" s="160"/>
      <c r="AA1324" s="160"/>
      <c r="AB1324" s="160"/>
      <c r="AC1324" s="160"/>
      <c r="AD1324" s="160"/>
      <c r="AE1324" s="160"/>
    </row>
    <row r="1325">
      <c r="I1325" s="97"/>
      <c r="J1325" s="97"/>
      <c r="K1325" s="97"/>
      <c r="L1325" s="160"/>
      <c r="M1325" s="97"/>
      <c r="N1325" s="97"/>
      <c r="O1325" s="97"/>
      <c r="P1325" s="97"/>
      <c r="Q1325" s="97"/>
      <c r="R1325" s="160"/>
      <c r="S1325" s="160"/>
      <c r="T1325" s="160"/>
      <c r="U1325" s="160"/>
      <c r="V1325" s="160"/>
      <c r="W1325" s="160"/>
      <c r="X1325" s="160"/>
      <c r="Y1325" s="160"/>
      <c r="Z1325" s="160"/>
      <c r="AA1325" s="160"/>
      <c r="AB1325" s="160"/>
      <c r="AC1325" s="160"/>
      <c r="AD1325" s="160"/>
      <c r="AE1325" s="160"/>
    </row>
    <row r="1326">
      <c r="I1326" s="97"/>
      <c r="J1326" s="97"/>
      <c r="K1326" s="97"/>
      <c r="L1326" s="160"/>
      <c r="M1326" s="97"/>
      <c r="N1326" s="97"/>
      <c r="O1326" s="97"/>
      <c r="P1326" s="97"/>
      <c r="Q1326" s="97"/>
      <c r="R1326" s="160"/>
      <c r="S1326" s="160"/>
      <c r="T1326" s="160"/>
      <c r="U1326" s="160"/>
      <c r="V1326" s="160"/>
      <c r="W1326" s="160"/>
      <c r="X1326" s="160"/>
      <c r="Y1326" s="160"/>
      <c r="Z1326" s="160"/>
      <c r="AA1326" s="160"/>
      <c r="AB1326" s="160"/>
      <c r="AC1326" s="160"/>
      <c r="AD1326" s="160"/>
      <c r="AE1326" s="160"/>
    </row>
    <row r="1327">
      <c r="I1327" s="97"/>
      <c r="J1327" s="97"/>
      <c r="K1327" s="97"/>
      <c r="L1327" s="160"/>
      <c r="M1327" s="97"/>
      <c r="N1327" s="97"/>
      <c r="O1327" s="97"/>
      <c r="P1327" s="97"/>
      <c r="Q1327" s="97"/>
      <c r="R1327" s="160"/>
      <c r="S1327" s="160"/>
      <c r="T1327" s="160"/>
      <c r="U1327" s="160"/>
      <c r="V1327" s="160"/>
      <c r="W1327" s="160"/>
      <c r="X1327" s="160"/>
      <c r="Y1327" s="160"/>
      <c r="Z1327" s="160"/>
      <c r="AA1327" s="160"/>
      <c r="AB1327" s="160"/>
      <c r="AC1327" s="160"/>
      <c r="AD1327" s="160"/>
      <c r="AE1327" s="160"/>
    </row>
    <row r="1328">
      <c r="I1328" s="97"/>
      <c r="J1328" s="97"/>
      <c r="K1328" s="97"/>
      <c r="L1328" s="160"/>
      <c r="M1328" s="97"/>
      <c r="N1328" s="97"/>
      <c r="O1328" s="97"/>
      <c r="P1328" s="97"/>
      <c r="Q1328" s="97"/>
      <c r="R1328" s="160"/>
      <c r="S1328" s="160"/>
      <c r="T1328" s="160"/>
      <c r="U1328" s="160"/>
      <c r="V1328" s="160"/>
      <c r="W1328" s="160"/>
      <c r="X1328" s="160"/>
      <c r="Y1328" s="160"/>
      <c r="Z1328" s="160"/>
      <c r="AA1328" s="160"/>
      <c r="AB1328" s="160"/>
      <c r="AC1328" s="160"/>
      <c r="AD1328" s="160"/>
      <c r="AE1328" s="160"/>
    </row>
    <row r="1329">
      <c r="I1329" s="97"/>
      <c r="J1329" s="97"/>
      <c r="K1329" s="97"/>
      <c r="L1329" s="160"/>
      <c r="M1329" s="97"/>
      <c r="N1329" s="97"/>
      <c r="O1329" s="97"/>
      <c r="P1329" s="97"/>
      <c r="Q1329" s="97"/>
      <c r="R1329" s="160"/>
      <c r="S1329" s="160"/>
      <c r="T1329" s="160"/>
      <c r="U1329" s="160"/>
      <c r="V1329" s="160"/>
      <c r="W1329" s="160"/>
      <c r="X1329" s="160"/>
      <c r="Y1329" s="160"/>
      <c r="Z1329" s="160"/>
      <c r="AA1329" s="160"/>
      <c r="AB1329" s="160"/>
      <c r="AC1329" s="160"/>
      <c r="AD1329" s="160"/>
      <c r="AE1329" s="160"/>
    </row>
    <row r="1330">
      <c r="I1330" s="97"/>
      <c r="J1330" s="97"/>
      <c r="K1330" s="97"/>
      <c r="L1330" s="160"/>
      <c r="M1330" s="97"/>
      <c r="N1330" s="97"/>
      <c r="O1330" s="97"/>
      <c r="P1330" s="97"/>
      <c r="Q1330" s="97"/>
      <c r="R1330" s="160"/>
      <c r="S1330" s="160"/>
      <c r="T1330" s="160"/>
      <c r="U1330" s="160"/>
      <c r="V1330" s="160"/>
      <c r="W1330" s="160"/>
      <c r="X1330" s="160"/>
      <c r="Y1330" s="160"/>
      <c r="Z1330" s="160"/>
      <c r="AA1330" s="160"/>
      <c r="AB1330" s="160"/>
      <c r="AC1330" s="160"/>
      <c r="AD1330" s="160"/>
      <c r="AE1330" s="160"/>
    </row>
    <row r="1331">
      <c r="I1331" s="97"/>
      <c r="J1331" s="97"/>
      <c r="K1331" s="97"/>
      <c r="L1331" s="160"/>
      <c r="M1331" s="97"/>
      <c r="N1331" s="97"/>
      <c r="O1331" s="97"/>
      <c r="P1331" s="97"/>
      <c r="Q1331" s="97"/>
      <c r="R1331" s="160"/>
      <c r="S1331" s="160"/>
      <c r="T1331" s="160"/>
      <c r="U1331" s="160"/>
      <c r="V1331" s="160"/>
      <c r="W1331" s="160"/>
      <c r="X1331" s="160"/>
      <c r="Y1331" s="160"/>
      <c r="Z1331" s="160"/>
      <c r="AA1331" s="160"/>
      <c r="AB1331" s="160"/>
      <c r="AC1331" s="160"/>
      <c r="AD1331" s="160"/>
      <c r="AE1331" s="160"/>
    </row>
    <row r="1332">
      <c r="I1332" s="97"/>
      <c r="J1332" s="97"/>
      <c r="K1332" s="97"/>
      <c r="L1332" s="160"/>
      <c r="M1332" s="97"/>
      <c r="N1332" s="97"/>
      <c r="O1332" s="97"/>
      <c r="P1332" s="97"/>
      <c r="Q1332" s="97"/>
      <c r="R1332" s="160"/>
      <c r="S1332" s="160"/>
      <c r="T1332" s="160"/>
      <c r="U1332" s="160"/>
      <c r="V1332" s="160"/>
      <c r="W1332" s="160"/>
      <c r="X1332" s="160"/>
      <c r="Y1332" s="160"/>
      <c r="Z1332" s="160"/>
      <c r="AA1332" s="160"/>
      <c r="AB1332" s="160"/>
      <c r="AC1332" s="160"/>
      <c r="AD1332" s="160"/>
      <c r="AE1332" s="160"/>
    </row>
    <row r="1333">
      <c r="I1333" s="97"/>
      <c r="J1333" s="97"/>
      <c r="K1333" s="97"/>
      <c r="L1333" s="160"/>
      <c r="M1333" s="97"/>
      <c r="N1333" s="97"/>
      <c r="O1333" s="97"/>
      <c r="P1333" s="97"/>
      <c r="Q1333" s="97"/>
      <c r="R1333" s="160"/>
      <c r="S1333" s="160"/>
      <c r="T1333" s="160"/>
      <c r="U1333" s="160"/>
      <c r="V1333" s="160"/>
      <c r="W1333" s="160"/>
      <c r="X1333" s="160"/>
      <c r="Y1333" s="160"/>
      <c r="Z1333" s="160"/>
      <c r="AA1333" s="160"/>
      <c r="AB1333" s="160"/>
      <c r="AC1333" s="160"/>
      <c r="AD1333" s="160"/>
      <c r="AE1333" s="160"/>
    </row>
    <row r="1334">
      <c r="I1334" s="97"/>
      <c r="J1334" s="97"/>
      <c r="K1334" s="97"/>
      <c r="L1334" s="160"/>
      <c r="M1334" s="97"/>
      <c r="N1334" s="97"/>
      <c r="O1334" s="97"/>
      <c r="P1334" s="97"/>
      <c r="Q1334" s="97"/>
      <c r="R1334" s="160"/>
      <c r="S1334" s="160"/>
      <c r="T1334" s="160"/>
      <c r="U1334" s="160"/>
      <c r="V1334" s="160"/>
      <c r="W1334" s="160"/>
      <c r="X1334" s="160"/>
      <c r="Y1334" s="160"/>
      <c r="Z1334" s="160"/>
      <c r="AA1334" s="160"/>
      <c r="AB1334" s="160"/>
      <c r="AC1334" s="160"/>
      <c r="AD1334" s="160"/>
      <c r="AE1334" s="160"/>
    </row>
    <row r="1335">
      <c r="I1335" s="97"/>
      <c r="J1335" s="97"/>
      <c r="K1335" s="97"/>
      <c r="L1335" s="160"/>
      <c r="M1335" s="97"/>
      <c r="N1335" s="97"/>
      <c r="O1335" s="97"/>
      <c r="P1335" s="97"/>
      <c r="Q1335" s="97"/>
      <c r="R1335" s="160"/>
      <c r="S1335" s="160"/>
      <c r="T1335" s="160"/>
      <c r="U1335" s="160"/>
      <c r="V1335" s="160"/>
      <c r="W1335" s="160"/>
      <c r="X1335" s="160"/>
      <c r="Y1335" s="160"/>
      <c r="Z1335" s="160"/>
      <c r="AA1335" s="160"/>
      <c r="AB1335" s="160"/>
      <c r="AC1335" s="160"/>
      <c r="AD1335" s="160"/>
      <c r="AE1335" s="160"/>
    </row>
    <row r="1336">
      <c r="I1336" s="97"/>
      <c r="J1336" s="97"/>
      <c r="K1336" s="97"/>
      <c r="L1336" s="160"/>
      <c r="M1336" s="97"/>
      <c r="N1336" s="97"/>
      <c r="O1336" s="97"/>
      <c r="P1336" s="97"/>
      <c r="Q1336" s="97"/>
      <c r="R1336" s="160"/>
      <c r="S1336" s="160"/>
      <c r="T1336" s="160"/>
      <c r="U1336" s="160"/>
      <c r="V1336" s="160"/>
      <c r="W1336" s="160"/>
      <c r="X1336" s="160"/>
      <c r="Y1336" s="160"/>
      <c r="Z1336" s="160"/>
      <c r="AA1336" s="160"/>
      <c r="AB1336" s="160"/>
      <c r="AC1336" s="160"/>
      <c r="AD1336" s="160"/>
      <c r="AE1336" s="160"/>
    </row>
    <row r="1337">
      <c r="I1337" s="97"/>
      <c r="J1337" s="97"/>
      <c r="K1337" s="97"/>
      <c r="L1337" s="160"/>
      <c r="M1337" s="97"/>
      <c r="N1337" s="97"/>
      <c r="O1337" s="97"/>
      <c r="P1337" s="97"/>
      <c r="Q1337" s="97"/>
      <c r="R1337" s="160"/>
      <c r="S1337" s="160"/>
      <c r="T1337" s="160"/>
      <c r="U1337" s="160"/>
      <c r="V1337" s="160"/>
      <c r="W1337" s="160"/>
      <c r="X1337" s="160"/>
      <c r="Y1337" s="160"/>
      <c r="Z1337" s="160"/>
      <c r="AA1337" s="160"/>
      <c r="AB1337" s="160"/>
      <c r="AC1337" s="160"/>
      <c r="AD1337" s="160"/>
      <c r="AE1337" s="160"/>
    </row>
    <row r="1338">
      <c r="I1338" s="97"/>
      <c r="J1338" s="97"/>
      <c r="K1338" s="97"/>
      <c r="L1338" s="160"/>
      <c r="M1338" s="97"/>
      <c r="N1338" s="97"/>
      <c r="O1338" s="97"/>
      <c r="P1338" s="97"/>
      <c r="Q1338" s="97"/>
      <c r="R1338" s="160"/>
      <c r="S1338" s="160"/>
      <c r="T1338" s="160"/>
      <c r="U1338" s="160"/>
      <c r="V1338" s="160"/>
      <c r="W1338" s="160"/>
      <c r="X1338" s="160"/>
      <c r="Y1338" s="160"/>
      <c r="Z1338" s="160"/>
      <c r="AA1338" s="160"/>
      <c r="AB1338" s="160"/>
      <c r="AC1338" s="160"/>
      <c r="AD1338" s="160"/>
      <c r="AE1338" s="160"/>
    </row>
    <row r="1339">
      <c r="I1339" s="97"/>
      <c r="J1339" s="97"/>
      <c r="K1339" s="97"/>
      <c r="L1339" s="160"/>
      <c r="M1339" s="97"/>
      <c r="N1339" s="97"/>
      <c r="O1339" s="97"/>
      <c r="P1339" s="97"/>
      <c r="Q1339" s="97"/>
      <c r="R1339" s="160"/>
      <c r="S1339" s="160"/>
      <c r="T1339" s="160"/>
      <c r="U1339" s="160"/>
      <c r="V1339" s="160"/>
      <c r="W1339" s="160"/>
      <c r="X1339" s="160"/>
      <c r="Y1339" s="160"/>
      <c r="Z1339" s="160"/>
      <c r="AA1339" s="160"/>
      <c r="AB1339" s="160"/>
      <c r="AC1339" s="160"/>
      <c r="AD1339" s="160"/>
      <c r="AE1339" s="160"/>
    </row>
    <row r="1340">
      <c r="I1340" s="97"/>
      <c r="J1340" s="97"/>
      <c r="K1340" s="97"/>
      <c r="L1340" s="160"/>
      <c r="M1340" s="97"/>
      <c r="N1340" s="97"/>
      <c r="O1340" s="97"/>
      <c r="P1340" s="97"/>
      <c r="Q1340" s="97"/>
      <c r="R1340" s="160"/>
      <c r="S1340" s="160"/>
      <c r="T1340" s="160"/>
      <c r="U1340" s="160"/>
      <c r="V1340" s="160"/>
      <c r="W1340" s="160"/>
      <c r="X1340" s="160"/>
      <c r="Y1340" s="160"/>
      <c r="Z1340" s="160"/>
      <c r="AA1340" s="160"/>
      <c r="AB1340" s="160"/>
      <c r="AC1340" s="160"/>
      <c r="AD1340" s="160"/>
      <c r="AE1340" s="160"/>
    </row>
    <row r="1341">
      <c r="I1341" s="97"/>
      <c r="J1341" s="97"/>
      <c r="K1341" s="97"/>
      <c r="L1341" s="160"/>
      <c r="M1341" s="97"/>
      <c r="N1341" s="97"/>
      <c r="O1341" s="97"/>
      <c r="P1341" s="97"/>
      <c r="Q1341" s="97"/>
      <c r="R1341" s="160"/>
      <c r="S1341" s="160"/>
      <c r="T1341" s="160"/>
      <c r="U1341" s="160"/>
      <c r="V1341" s="160"/>
      <c r="W1341" s="160"/>
      <c r="X1341" s="160"/>
      <c r="Y1341" s="160"/>
      <c r="Z1341" s="160"/>
      <c r="AA1341" s="160"/>
      <c r="AB1341" s="160"/>
      <c r="AC1341" s="160"/>
      <c r="AD1341" s="160"/>
      <c r="AE1341" s="160"/>
    </row>
    <row r="1342">
      <c r="I1342" s="97"/>
      <c r="J1342" s="97"/>
      <c r="K1342" s="97"/>
      <c r="L1342" s="160"/>
      <c r="M1342" s="97"/>
      <c r="N1342" s="97"/>
      <c r="O1342" s="97"/>
      <c r="P1342" s="97"/>
      <c r="Q1342" s="97"/>
      <c r="R1342" s="160"/>
      <c r="S1342" s="160"/>
      <c r="T1342" s="160"/>
      <c r="U1342" s="160"/>
      <c r="V1342" s="160"/>
      <c r="W1342" s="160"/>
      <c r="X1342" s="160"/>
      <c r="Y1342" s="160"/>
      <c r="Z1342" s="160"/>
      <c r="AA1342" s="160"/>
      <c r="AB1342" s="160"/>
      <c r="AC1342" s="160"/>
      <c r="AD1342" s="160"/>
      <c r="AE1342" s="160"/>
    </row>
    <row r="1343">
      <c r="I1343" s="97"/>
      <c r="J1343" s="97"/>
      <c r="K1343" s="97"/>
      <c r="L1343" s="160"/>
      <c r="M1343" s="97"/>
      <c r="N1343" s="97"/>
      <c r="O1343" s="97"/>
      <c r="P1343" s="97"/>
      <c r="Q1343" s="97"/>
      <c r="R1343" s="160"/>
      <c r="S1343" s="160"/>
      <c r="T1343" s="160"/>
      <c r="U1343" s="160"/>
      <c r="V1343" s="160"/>
      <c r="W1343" s="160"/>
      <c r="X1343" s="160"/>
      <c r="Y1343" s="160"/>
      <c r="Z1343" s="160"/>
      <c r="AA1343" s="160"/>
      <c r="AB1343" s="160"/>
      <c r="AC1343" s="160"/>
      <c r="AD1343" s="160"/>
      <c r="AE1343" s="160"/>
    </row>
    <row r="1344">
      <c r="I1344" s="97"/>
      <c r="J1344" s="97"/>
      <c r="K1344" s="97"/>
      <c r="L1344" s="160"/>
      <c r="M1344" s="97"/>
      <c r="N1344" s="97"/>
      <c r="O1344" s="97"/>
      <c r="P1344" s="97"/>
      <c r="Q1344" s="97"/>
      <c r="R1344" s="160"/>
      <c r="S1344" s="160"/>
      <c r="T1344" s="160"/>
      <c r="U1344" s="160"/>
      <c r="V1344" s="160"/>
      <c r="W1344" s="160"/>
      <c r="X1344" s="160"/>
      <c r="Y1344" s="160"/>
      <c r="Z1344" s="160"/>
      <c r="AA1344" s="160"/>
      <c r="AB1344" s="160"/>
      <c r="AC1344" s="160"/>
      <c r="AD1344" s="160"/>
      <c r="AE1344" s="160"/>
    </row>
    <row r="1345">
      <c r="I1345" s="97"/>
      <c r="J1345" s="97"/>
      <c r="K1345" s="97"/>
      <c r="L1345" s="160"/>
      <c r="M1345" s="97"/>
      <c r="N1345" s="97"/>
      <c r="O1345" s="97"/>
      <c r="P1345" s="97"/>
      <c r="Q1345" s="97"/>
      <c r="R1345" s="160"/>
      <c r="S1345" s="160"/>
      <c r="T1345" s="160"/>
      <c r="U1345" s="160"/>
      <c r="V1345" s="160"/>
      <c r="W1345" s="160"/>
      <c r="X1345" s="160"/>
      <c r="Y1345" s="160"/>
      <c r="Z1345" s="160"/>
      <c r="AA1345" s="160"/>
      <c r="AB1345" s="160"/>
      <c r="AC1345" s="160"/>
      <c r="AD1345" s="160"/>
      <c r="AE1345" s="160"/>
    </row>
    <row r="1346">
      <c r="I1346" s="97"/>
      <c r="J1346" s="97"/>
      <c r="K1346" s="97"/>
      <c r="L1346" s="160"/>
      <c r="M1346" s="97"/>
      <c r="N1346" s="97"/>
      <c r="O1346" s="97"/>
      <c r="P1346" s="97"/>
      <c r="Q1346" s="97"/>
      <c r="R1346" s="160"/>
      <c r="S1346" s="160"/>
      <c r="T1346" s="160"/>
      <c r="U1346" s="160"/>
      <c r="V1346" s="160"/>
      <c r="W1346" s="160"/>
      <c r="X1346" s="160"/>
      <c r="Y1346" s="160"/>
      <c r="Z1346" s="160"/>
      <c r="AA1346" s="160"/>
      <c r="AB1346" s="160"/>
      <c r="AC1346" s="160"/>
      <c r="AD1346" s="160"/>
      <c r="AE1346" s="160"/>
    </row>
    <row r="1347">
      <c r="I1347" s="97"/>
      <c r="J1347" s="97"/>
      <c r="K1347" s="97"/>
      <c r="L1347" s="160"/>
      <c r="M1347" s="97"/>
      <c r="N1347" s="97"/>
      <c r="O1347" s="97"/>
      <c r="P1347" s="97"/>
      <c r="Q1347" s="97"/>
      <c r="R1347" s="160"/>
      <c r="S1347" s="160"/>
      <c r="T1347" s="160"/>
      <c r="U1347" s="160"/>
      <c r="V1347" s="160"/>
      <c r="W1347" s="160"/>
      <c r="X1347" s="160"/>
      <c r="Y1347" s="160"/>
      <c r="Z1347" s="160"/>
      <c r="AA1347" s="160"/>
      <c r="AB1347" s="160"/>
      <c r="AC1347" s="160"/>
      <c r="AD1347" s="160"/>
      <c r="AE1347" s="160"/>
    </row>
    <row r="1348">
      <c r="I1348" s="97"/>
      <c r="J1348" s="97"/>
      <c r="K1348" s="97"/>
      <c r="L1348" s="160"/>
      <c r="M1348" s="97"/>
      <c r="N1348" s="97"/>
      <c r="O1348" s="97"/>
      <c r="P1348" s="97"/>
      <c r="Q1348" s="97"/>
      <c r="R1348" s="160"/>
      <c r="S1348" s="160"/>
      <c r="T1348" s="160"/>
      <c r="U1348" s="160"/>
      <c r="V1348" s="160"/>
      <c r="W1348" s="160"/>
      <c r="X1348" s="160"/>
      <c r="Y1348" s="160"/>
      <c r="Z1348" s="160"/>
      <c r="AA1348" s="160"/>
      <c r="AB1348" s="160"/>
      <c r="AC1348" s="160"/>
      <c r="AD1348" s="160"/>
      <c r="AE1348" s="160"/>
    </row>
    <row r="1349">
      <c r="I1349" s="97"/>
      <c r="J1349" s="97"/>
      <c r="K1349" s="97"/>
      <c r="L1349" s="160"/>
      <c r="M1349" s="97"/>
      <c r="N1349" s="97"/>
      <c r="O1349" s="97"/>
      <c r="P1349" s="97"/>
      <c r="Q1349" s="97"/>
      <c r="R1349" s="160"/>
      <c r="S1349" s="160"/>
      <c r="T1349" s="160"/>
      <c r="U1349" s="160"/>
      <c r="V1349" s="160"/>
      <c r="W1349" s="160"/>
      <c r="X1349" s="160"/>
      <c r="Y1349" s="160"/>
      <c r="Z1349" s="160"/>
      <c r="AA1349" s="160"/>
      <c r="AB1349" s="160"/>
      <c r="AC1349" s="160"/>
      <c r="AD1349" s="160"/>
      <c r="AE1349" s="160"/>
    </row>
    <row r="1350">
      <c r="I1350" s="97"/>
      <c r="J1350" s="97"/>
      <c r="K1350" s="97"/>
      <c r="L1350" s="160"/>
      <c r="M1350" s="97"/>
      <c r="N1350" s="97"/>
      <c r="O1350" s="97"/>
      <c r="P1350" s="97"/>
      <c r="Q1350" s="97"/>
      <c r="R1350" s="160"/>
      <c r="S1350" s="160"/>
      <c r="T1350" s="160"/>
      <c r="U1350" s="160"/>
      <c r="V1350" s="160"/>
      <c r="W1350" s="160"/>
      <c r="X1350" s="160"/>
      <c r="Y1350" s="160"/>
      <c r="Z1350" s="160"/>
      <c r="AA1350" s="160"/>
      <c r="AB1350" s="160"/>
      <c r="AC1350" s="160"/>
      <c r="AD1350" s="160"/>
      <c r="AE1350" s="160"/>
    </row>
    <row r="1351">
      <c r="I1351" s="97"/>
      <c r="J1351" s="97"/>
      <c r="K1351" s="97"/>
      <c r="L1351" s="160"/>
      <c r="M1351" s="97"/>
      <c r="N1351" s="97"/>
      <c r="O1351" s="97"/>
      <c r="P1351" s="97"/>
      <c r="Q1351" s="97"/>
      <c r="R1351" s="160"/>
      <c r="S1351" s="160"/>
      <c r="T1351" s="160"/>
      <c r="U1351" s="160"/>
      <c r="V1351" s="160"/>
      <c r="W1351" s="160"/>
      <c r="X1351" s="160"/>
      <c r="Y1351" s="160"/>
      <c r="Z1351" s="160"/>
      <c r="AA1351" s="160"/>
      <c r="AB1351" s="160"/>
      <c r="AC1351" s="160"/>
      <c r="AD1351" s="160"/>
      <c r="AE1351" s="160"/>
    </row>
    <row r="1352">
      <c r="I1352" s="97"/>
      <c r="J1352" s="97"/>
      <c r="K1352" s="97"/>
      <c r="L1352" s="160"/>
      <c r="M1352" s="97"/>
      <c r="N1352" s="97"/>
      <c r="O1352" s="97"/>
      <c r="P1352" s="97"/>
      <c r="Q1352" s="97"/>
      <c r="R1352" s="160"/>
      <c r="S1352" s="160"/>
      <c r="T1352" s="160"/>
      <c r="U1352" s="160"/>
      <c r="V1352" s="160"/>
      <c r="W1352" s="160"/>
      <c r="X1352" s="160"/>
      <c r="Y1352" s="160"/>
      <c r="Z1352" s="160"/>
      <c r="AA1352" s="160"/>
      <c r="AB1352" s="160"/>
      <c r="AC1352" s="160"/>
      <c r="AD1352" s="160"/>
      <c r="AE1352" s="160"/>
    </row>
    <row r="1353">
      <c r="I1353" s="97"/>
      <c r="J1353" s="97"/>
      <c r="K1353" s="97"/>
      <c r="L1353" s="160"/>
      <c r="M1353" s="97"/>
      <c r="N1353" s="97"/>
      <c r="O1353" s="97"/>
      <c r="P1353" s="97"/>
      <c r="Q1353" s="97"/>
      <c r="R1353" s="160"/>
      <c r="S1353" s="160"/>
      <c r="T1353" s="160"/>
      <c r="U1353" s="160"/>
      <c r="V1353" s="160"/>
      <c r="W1353" s="160"/>
      <c r="X1353" s="160"/>
      <c r="Y1353" s="160"/>
      <c r="Z1353" s="160"/>
      <c r="AA1353" s="160"/>
      <c r="AB1353" s="160"/>
      <c r="AC1353" s="160"/>
      <c r="AD1353" s="160"/>
      <c r="AE1353" s="160"/>
    </row>
    <row r="1354">
      <c r="I1354" s="97"/>
      <c r="J1354" s="97"/>
      <c r="K1354" s="97"/>
      <c r="L1354" s="160"/>
      <c r="M1354" s="97"/>
      <c r="N1354" s="97"/>
      <c r="O1354" s="97"/>
      <c r="P1354" s="97"/>
      <c r="Q1354" s="97"/>
      <c r="R1354" s="160"/>
      <c r="S1354" s="160"/>
      <c r="T1354" s="160"/>
      <c r="U1354" s="160"/>
      <c r="V1354" s="160"/>
      <c r="W1354" s="160"/>
      <c r="X1354" s="160"/>
      <c r="Y1354" s="160"/>
      <c r="Z1354" s="160"/>
      <c r="AA1354" s="160"/>
      <c r="AB1354" s="160"/>
      <c r="AC1354" s="160"/>
      <c r="AD1354" s="160"/>
      <c r="AE1354" s="160"/>
    </row>
    <row r="1355">
      <c r="I1355" s="97"/>
      <c r="J1355" s="97"/>
      <c r="K1355" s="97"/>
      <c r="L1355" s="153"/>
      <c r="M1355" s="97"/>
      <c r="N1355" s="97"/>
      <c r="O1355" s="97"/>
      <c r="P1355" s="97"/>
      <c r="Q1355" s="97"/>
      <c r="R1355" s="135"/>
      <c r="S1355" s="135"/>
      <c r="T1355" s="135"/>
      <c r="U1355" s="135"/>
      <c r="V1355" s="135"/>
      <c r="W1355" s="137"/>
      <c r="X1355" s="135"/>
      <c r="Y1355" s="135"/>
      <c r="Z1355" s="135"/>
      <c r="AA1355" s="135"/>
      <c r="AB1355" s="135"/>
      <c r="AC1355" s="135"/>
    </row>
    <row r="1356">
      <c r="I1356" s="97"/>
      <c r="J1356" s="97"/>
      <c r="K1356" s="97"/>
      <c r="L1356" s="153"/>
      <c r="M1356" s="97"/>
      <c r="N1356" s="97"/>
      <c r="O1356" s="97"/>
      <c r="P1356" s="97"/>
      <c r="Q1356" s="97"/>
      <c r="R1356" s="135"/>
      <c r="S1356" s="135"/>
      <c r="T1356" s="135"/>
      <c r="U1356" s="135"/>
      <c r="V1356" s="135"/>
      <c r="W1356" s="137"/>
      <c r="X1356" s="135"/>
      <c r="Y1356" s="135"/>
      <c r="Z1356" s="135"/>
      <c r="AA1356" s="135"/>
      <c r="AB1356" s="135"/>
      <c r="AC1356" s="135"/>
    </row>
    <row r="1357">
      <c r="I1357" s="97"/>
      <c r="J1357" s="97"/>
      <c r="K1357" s="97"/>
      <c r="L1357" s="153"/>
      <c r="M1357" s="97"/>
      <c r="N1357" s="97"/>
      <c r="O1357" s="97"/>
      <c r="P1357" s="97"/>
      <c r="Q1357" s="97"/>
      <c r="R1357" s="135"/>
      <c r="S1357" s="135"/>
      <c r="T1357" s="135"/>
      <c r="U1357" s="135"/>
      <c r="V1357" s="135"/>
      <c r="W1357" s="137"/>
      <c r="X1357" s="135"/>
      <c r="Y1357" s="135"/>
      <c r="Z1357" s="135"/>
      <c r="AA1357" s="135"/>
      <c r="AB1357" s="135"/>
      <c r="AC1357" s="135"/>
    </row>
    <row r="1358">
      <c r="I1358" s="97"/>
      <c r="J1358" s="97"/>
      <c r="K1358" s="97"/>
      <c r="L1358" s="153"/>
      <c r="M1358" s="97"/>
      <c r="N1358" s="97"/>
      <c r="O1358" s="97"/>
      <c r="P1358" s="97"/>
      <c r="Q1358" s="97"/>
      <c r="R1358" s="135"/>
      <c r="S1358" s="135"/>
      <c r="T1358" s="135"/>
      <c r="U1358" s="135"/>
      <c r="V1358" s="135"/>
      <c r="W1358" s="137"/>
      <c r="X1358" s="135"/>
      <c r="Y1358" s="135"/>
      <c r="Z1358" s="135"/>
      <c r="AA1358" s="135"/>
      <c r="AB1358" s="135"/>
      <c r="AC1358" s="135"/>
    </row>
    <row r="1359">
      <c r="I1359" s="97"/>
      <c r="J1359" s="97"/>
      <c r="K1359" s="97"/>
      <c r="L1359" s="153"/>
      <c r="M1359" s="97"/>
      <c r="N1359" s="97"/>
      <c r="O1359" s="97"/>
      <c r="P1359" s="97"/>
      <c r="Q1359" s="97"/>
      <c r="R1359" s="135"/>
      <c r="S1359" s="135"/>
      <c r="T1359" s="135"/>
      <c r="U1359" s="135"/>
      <c r="V1359" s="135"/>
      <c r="W1359" s="137"/>
      <c r="X1359" s="135"/>
      <c r="Y1359" s="135"/>
      <c r="Z1359" s="135"/>
      <c r="AA1359" s="135"/>
      <c r="AB1359" s="135"/>
      <c r="AC1359" s="135"/>
    </row>
    <row r="1360">
      <c r="I1360" s="97"/>
      <c r="J1360" s="97"/>
      <c r="K1360" s="97"/>
      <c r="L1360" s="153"/>
      <c r="M1360" s="97"/>
      <c r="N1360" s="97"/>
      <c r="O1360" s="97"/>
      <c r="P1360" s="97"/>
      <c r="Q1360" s="97"/>
      <c r="R1360" s="135"/>
      <c r="S1360" s="135"/>
      <c r="T1360" s="135"/>
      <c r="U1360" s="135"/>
      <c r="V1360" s="135"/>
      <c r="W1360" s="137"/>
      <c r="X1360" s="135"/>
      <c r="Y1360" s="135"/>
      <c r="Z1360" s="135"/>
      <c r="AA1360" s="135"/>
      <c r="AB1360" s="135"/>
      <c r="AC1360" s="135"/>
    </row>
    <row r="1361">
      <c r="I1361" s="97"/>
      <c r="J1361" s="97"/>
      <c r="K1361" s="97"/>
      <c r="L1361" s="153"/>
      <c r="M1361" s="97"/>
      <c r="N1361" s="97"/>
      <c r="O1361" s="97"/>
      <c r="P1361" s="97"/>
      <c r="Q1361" s="97"/>
      <c r="R1361" s="135"/>
      <c r="S1361" s="135"/>
      <c r="T1361" s="135"/>
      <c r="U1361" s="135"/>
      <c r="V1361" s="135"/>
      <c r="W1361" s="137"/>
      <c r="X1361" s="135"/>
      <c r="Y1361" s="135"/>
      <c r="Z1361" s="135"/>
      <c r="AA1361" s="135"/>
      <c r="AB1361" s="135"/>
      <c r="AC1361" s="135"/>
    </row>
    <row r="1362">
      <c r="I1362" s="97"/>
      <c r="J1362" s="97"/>
      <c r="K1362" s="97"/>
      <c r="L1362" s="153"/>
      <c r="M1362" s="97"/>
      <c r="N1362" s="97"/>
      <c r="O1362" s="97"/>
      <c r="P1362" s="97"/>
      <c r="Q1362" s="97"/>
      <c r="R1362" s="135"/>
      <c r="S1362" s="135"/>
      <c r="T1362" s="135"/>
      <c r="U1362" s="135"/>
      <c r="V1362" s="135"/>
      <c r="W1362" s="137"/>
      <c r="X1362" s="135"/>
      <c r="Y1362" s="135"/>
      <c r="Z1362" s="135"/>
      <c r="AA1362" s="135"/>
      <c r="AB1362" s="135"/>
      <c r="AC1362" s="135"/>
    </row>
    <row r="1363">
      <c r="I1363" s="97"/>
      <c r="J1363" s="97"/>
      <c r="K1363" s="97"/>
      <c r="L1363" s="153"/>
      <c r="M1363" s="97"/>
      <c r="N1363" s="97"/>
      <c r="O1363" s="97"/>
      <c r="P1363" s="97"/>
      <c r="Q1363" s="97"/>
      <c r="R1363" s="135"/>
      <c r="S1363" s="135"/>
      <c r="T1363" s="135"/>
      <c r="U1363" s="135"/>
      <c r="V1363" s="135"/>
      <c r="W1363" s="137"/>
      <c r="X1363" s="135"/>
      <c r="Y1363" s="135"/>
      <c r="Z1363" s="135"/>
      <c r="AA1363" s="135"/>
      <c r="AB1363" s="135"/>
      <c r="AC1363" s="135"/>
    </row>
    <row r="1364">
      <c r="I1364" s="97"/>
      <c r="J1364" s="97"/>
      <c r="K1364" s="97"/>
      <c r="L1364" s="153"/>
      <c r="M1364" s="97"/>
      <c r="N1364" s="97"/>
      <c r="O1364" s="97"/>
      <c r="P1364" s="97"/>
      <c r="Q1364" s="97"/>
      <c r="R1364" s="135"/>
      <c r="S1364" s="135"/>
      <c r="T1364" s="135"/>
      <c r="U1364" s="135"/>
      <c r="V1364" s="135"/>
      <c r="W1364" s="137"/>
      <c r="X1364" s="135"/>
      <c r="Y1364" s="135"/>
      <c r="Z1364" s="135"/>
      <c r="AA1364" s="135"/>
      <c r="AB1364" s="135"/>
      <c r="AC1364" s="135"/>
    </row>
    <row r="1365">
      <c r="I1365" s="97"/>
      <c r="J1365" s="97"/>
      <c r="K1365" s="97"/>
      <c r="L1365" s="153"/>
      <c r="M1365" s="97"/>
      <c r="N1365" s="97"/>
      <c r="O1365" s="97"/>
      <c r="P1365" s="97"/>
      <c r="Q1365" s="97"/>
      <c r="R1365" s="135"/>
      <c r="S1365" s="135"/>
      <c r="T1365" s="135"/>
      <c r="U1365" s="135"/>
      <c r="V1365" s="135"/>
      <c r="W1365" s="137"/>
      <c r="X1365" s="135"/>
      <c r="Y1365" s="135"/>
      <c r="Z1365" s="135"/>
      <c r="AA1365" s="135"/>
      <c r="AB1365" s="135"/>
      <c r="AC1365" s="135"/>
    </row>
    <row r="1366">
      <c r="I1366" s="97"/>
      <c r="J1366" s="97"/>
      <c r="K1366" s="97"/>
      <c r="L1366" s="153"/>
      <c r="M1366" s="97"/>
      <c r="N1366" s="97"/>
      <c r="O1366" s="97"/>
      <c r="P1366" s="97"/>
      <c r="Q1366" s="97"/>
      <c r="R1366" s="135"/>
      <c r="S1366" s="135"/>
      <c r="T1366" s="135"/>
      <c r="U1366" s="135"/>
      <c r="V1366" s="135"/>
      <c r="W1366" s="137"/>
      <c r="X1366" s="135"/>
      <c r="Y1366" s="135"/>
      <c r="Z1366" s="135"/>
      <c r="AA1366" s="135"/>
      <c r="AB1366" s="135"/>
      <c r="AC1366" s="135"/>
    </row>
    <row r="1367">
      <c r="I1367" s="97"/>
      <c r="J1367" s="97"/>
      <c r="K1367" s="97"/>
      <c r="L1367" s="153"/>
      <c r="M1367" s="97"/>
      <c r="N1367" s="97"/>
      <c r="O1367" s="97"/>
      <c r="P1367" s="97"/>
      <c r="Q1367" s="97"/>
      <c r="R1367" s="135"/>
      <c r="S1367" s="135"/>
      <c r="T1367" s="135"/>
      <c r="U1367" s="135"/>
      <c r="V1367" s="135"/>
      <c r="W1367" s="137"/>
      <c r="X1367" s="135"/>
      <c r="Y1367" s="135"/>
      <c r="Z1367" s="135"/>
      <c r="AA1367" s="135"/>
      <c r="AB1367" s="135"/>
      <c r="AC1367" s="135"/>
    </row>
    <row r="1368">
      <c r="I1368" s="97"/>
      <c r="J1368" s="97"/>
      <c r="K1368" s="97"/>
      <c r="L1368" s="153"/>
      <c r="M1368" s="97"/>
      <c r="N1368" s="97"/>
      <c r="O1368" s="97"/>
      <c r="P1368" s="97"/>
      <c r="Q1368" s="97"/>
      <c r="R1368" s="135"/>
      <c r="S1368" s="135"/>
      <c r="T1368" s="135"/>
      <c r="U1368" s="135"/>
      <c r="V1368" s="135"/>
      <c r="W1368" s="137"/>
      <c r="X1368" s="135"/>
      <c r="Y1368" s="135"/>
      <c r="Z1368" s="135"/>
      <c r="AA1368" s="135"/>
      <c r="AB1368" s="135"/>
      <c r="AC1368" s="135"/>
    </row>
    <row r="1369">
      <c r="I1369" s="97"/>
      <c r="J1369" s="97"/>
      <c r="K1369" s="97"/>
      <c r="L1369" s="153"/>
      <c r="M1369" s="97"/>
      <c r="N1369" s="97"/>
      <c r="O1369" s="97"/>
      <c r="P1369" s="97"/>
      <c r="Q1369" s="97"/>
      <c r="R1369" s="135"/>
      <c r="S1369" s="135"/>
      <c r="T1369" s="135"/>
      <c r="U1369" s="135"/>
      <c r="V1369" s="135"/>
      <c r="W1369" s="137"/>
      <c r="X1369" s="135"/>
      <c r="Y1369" s="135"/>
      <c r="Z1369" s="135"/>
      <c r="AA1369" s="135"/>
      <c r="AB1369" s="135"/>
      <c r="AC1369" s="135"/>
    </row>
    <row r="1370">
      <c r="I1370" s="97"/>
      <c r="J1370" s="97"/>
      <c r="K1370" s="97"/>
      <c r="L1370" s="153"/>
      <c r="M1370" s="97"/>
      <c r="N1370" s="97"/>
      <c r="O1370" s="97"/>
      <c r="P1370" s="97"/>
      <c r="Q1370" s="97"/>
      <c r="R1370" s="135"/>
      <c r="S1370" s="135"/>
      <c r="T1370" s="135"/>
      <c r="U1370" s="135"/>
      <c r="V1370" s="135"/>
      <c r="W1370" s="137"/>
      <c r="X1370" s="135"/>
      <c r="Y1370" s="135"/>
      <c r="Z1370" s="135"/>
      <c r="AA1370" s="135"/>
      <c r="AB1370" s="135"/>
      <c r="AC1370" s="135"/>
    </row>
    <row r="1371">
      <c r="I1371" s="97"/>
      <c r="J1371" s="97"/>
      <c r="K1371" s="97"/>
      <c r="L1371" s="153"/>
      <c r="M1371" s="97"/>
      <c r="N1371" s="97"/>
      <c r="O1371" s="97"/>
      <c r="P1371" s="97"/>
      <c r="Q1371" s="97"/>
      <c r="R1371" s="135"/>
      <c r="S1371" s="135"/>
      <c r="T1371" s="135"/>
      <c r="U1371" s="135"/>
      <c r="V1371" s="135"/>
      <c r="W1371" s="137"/>
      <c r="X1371" s="135"/>
      <c r="Y1371" s="135"/>
      <c r="Z1371" s="135"/>
      <c r="AA1371" s="135"/>
      <c r="AB1371" s="135"/>
      <c r="AC1371" s="135"/>
    </row>
    <row r="1372">
      <c r="I1372" s="97"/>
      <c r="J1372" s="97"/>
      <c r="K1372" s="97"/>
      <c r="L1372" s="153"/>
      <c r="M1372" s="97"/>
      <c r="N1372" s="97"/>
      <c r="O1372" s="97"/>
      <c r="P1372" s="97"/>
      <c r="Q1372" s="97"/>
      <c r="R1372" s="135"/>
      <c r="S1372" s="135"/>
      <c r="T1372" s="135"/>
      <c r="U1372" s="135"/>
      <c r="V1372" s="135"/>
      <c r="W1372" s="137"/>
      <c r="X1372" s="135"/>
      <c r="Y1372" s="135"/>
      <c r="Z1372" s="135"/>
      <c r="AA1372" s="135"/>
      <c r="AB1372" s="135"/>
      <c r="AC1372" s="135"/>
    </row>
    <row r="1373">
      <c r="I1373" s="97"/>
      <c r="J1373" s="97"/>
      <c r="K1373" s="97"/>
      <c r="L1373" s="153"/>
      <c r="M1373" s="97"/>
      <c r="N1373" s="97"/>
      <c r="O1373" s="97"/>
      <c r="P1373" s="97"/>
      <c r="Q1373" s="97"/>
      <c r="R1373" s="135"/>
      <c r="S1373" s="135"/>
      <c r="T1373" s="135"/>
      <c r="U1373" s="135"/>
      <c r="V1373" s="135"/>
      <c r="W1373" s="137"/>
      <c r="X1373" s="135"/>
      <c r="Y1373" s="135"/>
      <c r="Z1373" s="135"/>
      <c r="AA1373" s="135"/>
      <c r="AB1373" s="135"/>
      <c r="AC1373" s="135"/>
    </row>
    <row r="1374">
      <c r="I1374" s="97"/>
      <c r="J1374" s="97"/>
      <c r="K1374" s="97"/>
      <c r="L1374" s="153"/>
      <c r="M1374" s="97"/>
      <c r="N1374" s="97"/>
      <c r="O1374" s="97"/>
      <c r="P1374" s="97"/>
      <c r="Q1374" s="97"/>
      <c r="R1374" s="135"/>
      <c r="S1374" s="135"/>
      <c r="T1374" s="135"/>
      <c r="U1374" s="135"/>
      <c r="V1374" s="135"/>
      <c r="W1374" s="137"/>
      <c r="X1374" s="135"/>
      <c r="Y1374" s="135"/>
      <c r="Z1374" s="135"/>
      <c r="AA1374" s="135"/>
      <c r="AB1374" s="135"/>
      <c r="AC1374" s="135"/>
    </row>
    <row r="1375">
      <c r="I1375" s="97"/>
      <c r="J1375" s="97"/>
      <c r="K1375" s="97"/>
      <c r="L1375" s="153"/>
      <c r="M1375" s="97"/>
      <c r="N1375" s="97"/>
      <c r="O1375" s="97"/>
      <c r="P1375" s="97"/>
      <c r="Q1375" s="97"/>
      <c r="R1375" s="135"/>
      <c r="S1375" s="135"/>
      <c r="T1375" s="135"/>
      <c r="U1375" s="135"/>
      <c r="V1375" s="135"/>
      <c r="W1375" s="137"/>
      <c r="X1375" s="135"/>
      <c r="Y1375" s="135"/>
      <c r="Z1375" s="135"/>
      <c r="AA1375" s="135"/>
      <c r="AB1375" s="135"/>
      <c r="AC1375" s="135"/>
    </row>
    <row r="1376">
      <c r="I1376" s="97"/>
      <c r="J1376" s="97"/>
      <c r="K1376" s="97"/>
      <c r="L1376" s="153"/>
      <c r="M1376" s="97"/>
      <c r="N1376" s="97"/>
      <c r="O1376" s="97"/>
      <c r="P1376" s="97"/>
      <c r="Q1376" s="97"/>
      <c r="R1376" s="135"/>
      <c r="S1376" s="135"/>
      <c r="T1376" s="135"/>
      <c r="U1376" s="135"/>
      <c r="V1376" s="135"/>
      <c r="W1376" s="137"/>
      <c r="X1376" s="135"/>
      <c r="Y1376" s="135"/>
      <c r="Z1376" s="135"/>
      <c r="AA1376" s="135"/>
      <c r="AB1376" s="135"/>
      <c r="AC1376" s="135"/>
    </row>
    <row r="1377">
      <c r="I1377" s="97"/>
      <c r="J1377" s="97"/>
      <c r="K1377" s="97"/>
      <c r="L1377" s="153"/>
      <c r="M1377" s="97"/>
      <c r="N1377" s="97"/>
      <c r="O1377" s="97"/>
      <c r="P1377" s="97"/>
      <c r="Q1377" s="97"/>
      <c r="R1377" s="135"/>
      <c r="S1377" s="135"/>
      <c r="T1377" s="135"/>
      <c r="U1377" s="135"/>
      <c r="V1377" s="135"/>
      <c r="W1377" s="137"/>
      <c r="X1377" s="135"/>
      <c r="Y1377" s="135"/>
      <c r="Z1377" s="135"/>
      <c r="AA1377" s="135"/>
      <c r="AB1377" s="135"/>
      <c r="AC1377" s="135"/>
    </row>
    <row r="1378">
      <c r="I1378" s="97"/>
      <c r="J1378" s="97"/>
      <c r="K1378" s="97"/>
      <c r="L1378" s="153"/>
      <c r="M1378" s="97"/>
      <c r="N1378" s="97"/>
      <c r="O1378" s="97"/>
      <c r="P1378" s="97"/>
      <c r="Q1378" s="97"/>
      <c r="R1378" s="135"/>
      <c r="S1378" s="135"/>
      <c r="T1378" s="135"/>
      <c r="U1378" s="135"/>
      <c r="V1378" s="135"/>
      <c r="W1378" s="137"/>
      <c r="X1378" s="135"/>
      <c r="Y1378" s="135"/>
      <c r="Z1378" s="135"/>
      <c r="AA1378" s="135"/>
      <c r="AB1378" s="135"/>
      <c r="AC1378" s="135"/>
    </row>
    <row r="1379">
      <c r="I1379" s="97"/>
      <c r="J1379" s="97"/>
      <c r="K1379" s="97"/>
      <c r="L1379" s="153"/>
      <c r="M1379" s="97"/>
      <c r="N1379" s="97"/>
      <c r="O1379" s="97"/>
      <c r="P1379" s="97"/>
      <c r="Q1379" s="97"/>
      <c r="R1379" s="135"/>
      <c r="S1379" s="135"/>
      <c r="T1379" s="135"/>
      <c r="U1379" s="135"/>
      <c r="V1379" s="135"/>
      <c r="W1379" s="137"/>
      <c r="X1379" s="135"/>
      <c r="Y1379" s="135"/>
      <c r="Z1379" s="135"/>
      <c r="AA1379" s="135"/>
      <c r="AB1379" s="135"/>
      <c r="AC1379" s="135"/>
    </row>
    <row r="1380">
      <c r="I1380" s="97"/>
      <c r="J1380" s="97"/>
      <c r="K1380" s="97"/>
      <c r="L1380" s="153"/>
      <c r="M1380" s="97"/>
      <c r="N1380" s="97"/>
      <c r="O1380" s="97"/>
      <c r="P1380" s="97"/>
      <c r="Q1380" s="97"/>
      <c r="R1380" s="135"/>
      <c r="S1380" s="135"/>
      <c r="T1380" s="135"/>
      <c r="U1380" s="135"/>
      <c r="V1380" s="135"/>
      <c r="W1380" s="137"/>
      <c r="X1380" s="135"/>
      <c r="Y1380" s="135"/>
      <c r="Z1380" s="135"/>
      <c r="AA1380" s="135"/>
      <c r="AB1380" s="135"/>
      <c r="AC1380" s="135"/>
    </row>
    <row r="1381">
      <c r="I1381" s="97"/>
      <c r="J1381" s="97"/>
      <c r="K1381" s="97"/>
      <c r="L1381" s="153"/>
      <c r="M1381" s="97"/>
      <c r="N1381" s="97"/>
      <c r="O1381" s="97"/>
      <c r="P1381" s="97"/>
      <c r="Q1381" s="97"/>
      <c r="R1381" s="135"/>
      <c r="S1381" s="135"/>
      <c r="T1381" s="135"/>
      <c r="U1381" s="135"/>
      <c r="V1381" s="135"/>
      <c r="W1381" s="137"/>
      <c r="X1381" s="135"/>
      <c r="Y1381" s="135"/>
      <c r="Z1381" s="135"/>
      <c r="AA1381" s="135"/>
      <c r="AB1381" s="135"/>
      <c r="AC1381" s="135"/>
    </row>
    <row r="1382">
      <c r="I1382" s="97"/>
      <c r="J1382" s="97"/>
      <c r="K1382" s="97"/>
      <c r="L1382" s="153"/>
      <c r="M1382" s="97"/>
      <c r="N1382" s="97"/>
      <c r="O1382" s="97"/>
      <c r="P1382" s="97"/>
      <c r="Q1382" s="97"/>
      <c r="R1382" s="135"/>
      <c r="S1382" s="135"/>
      <c r="T1382" s="135"/>
      <c r="U1382" s="135"/>
      <c r="V1382" s="135"/>
      <c r="W1382" s="137"/>
      <c r="X1382" s="135"/>
      <c r="Y1382" s="135"/>
      <c r="Z1382" s="135"/>
      <c r="AA1382" s="135"/>
      <c r="AB1382" s="135"/>
      <c r="AC1382" s="135"/>
    </row>
    <row r="1383">
      <c r="I1383" s="97"/>
      <c r="J1383" s="97"/>
      <c r="K1383" s="97"/>
      <c r="L1383" s="153"/>
      <c r="M1383" s="97"/>
      <c r="N1383" s="97"/>
      <c r="O1383" s="97"/>
      <c r="P1383" s="97"/>
      <c r="Q1383" s="97"/>
      <c r="R1383" s="135"/>
      <c r="S1383" s="135"/>
      <c r="T1383" s="135"/>
      <c r="U1383" s="135"/>
      <c r="V1383" s="135"/>
      <c r="W1383" s="137"/>
      <c r="X1383" s="135"/>
      <c r="Y1383" s="135"/>
      <c r="Z1383" s="135"/>
      <c r="AA1383" s="135"/>
      <c r="AB1383" s="135"/>
      <c r="AC1383" s="135"/>
    </row>
    <row r="1384">
      <c r="I1384" s="97"/>
      <c r="J1384" s="97"/>
      <c r="K1384" s="97"/>
      <c r="L1384" s="153"/>
      <c r="M1384" s="97"/>
      <c r="N1384" s="97"/>
      <c r="O1384" s="97"/>
      <c r="P1384" s="97"/>
      <c r="Q1384" s="97"/>
      <c r="R1384" s="135"/>
      <c r="S1384" s="135"/>
      <c r="T1384" s="135"/>
      <c r="U1384" s="135"/>
      <c r="V1384" s="135"/>
      <c r="W1384" s="137"/>
      <c r="X1384" s="135"/>
      <c r="Y1384" s="135"/>
      <c r="Z1384" s="135"/>
      <c r="AA1384" s="135"/>
      <c r="AB1384" s="135"/>
      <c r="AC1384" s="135"/>
    </row>
    <row r="1385">
      <c r="I1385" s="97"/>
      <c r="J1385" s="97"/>
      <c r="K1385" s="97"/>
      <c r="L1385" s="153"/>
      <c r="M1385" s="97"/>
      <c r="N1385" s="97"/>
      <c r="O1385" s="97"/>
      <c r="P1385" s="97"/>
      <c r="Q1385" s="97"/>
      <c r="R1385" s="135"/>
      <c r="S1385" s="135"/>
      <c r="T1385" s="135"/>
      <c r="U1385" s="135"/>
      <c r="V1385" s="135"/>
      <c r="W1385" s="137"/>
      <c r="X1385" s="135"/>
      <c r="Y1385" s="135"/>
      <c r="Z1385" s="135"/>
      <c r="AA1385" s="135"/>
      <c r="AB1385" s="135"/>
      <c r="AC1385" s="135"/>
    </row>
    <row r="1386">
      <c r="I1386" s="97"/>
      <c r="J1386" s="97"/>
      <c r="K1386" s="97"/>
      <c r="L1386" s="153"/>
      <c r="M1386" s="97"/>
      <c r="N1386" s="97"/>
      <c r="O1386" s="97"/>
      <c r="P1386" s="97"/>
      <c r="Q1386" s="97"/>
      <c r="R1386" s="135"/>
      <c r="S1386" s="135"/>
      <c r="T1386" s="135"/>
      <c r="U1386" s="135"/>
      <c r="V1386" s="135"/>
      <c r="W1386" s="137"/>
      <c r="X1386" s="135"/>
      <c r="Y1386" s="135"/>
      <c r="Z1386" s="135"/>
      <c r="AA1386" s="135"/>
      <c r="AB1386" s="135"/>
      <c r="AC1386" s="135"/>
    </row>
    <row r="1387">
      <c r="I1387" s="97"/>
      <c r="J1387" s="97"/>
      <c r="K1387" s="97"/>
      <c r="L1387" s="153"/>
      <c r="M1387" s="97"/>
      <c r="N1387" s="97"/>
      <c r="O1387" s="97"/>
      <c r="P1387" s="97"/>
      <c r="Q1387" s="97"/>
      <c r="R1387" s="135"/>
      <c r="S1387" s="135"/>
      <c r="T1387" s="135"/>
      <c r="U1387" s="135"/>
      <c r="V1387" s="135"/>
      <c r="W1387" s="137"/>
      <c r="X1387" s="135"/>
      <c r="Y1387" s="135"/>
      <c r="Z1387" s="135"/>
      <c r="AA1387" s="135"/>
      <c r="AB1387" s="135"/>
      <c r="AC1387" s="135"/>
    </row>
    <row r="1388">
      <c r="I1388" s="97"/>
      <c r="J1388" s="97"/>
      <c r="K1388" s="97"/>
      <c r="L1388" s="153"/>
      <c r="M1388" s="97"/>
      <c r="N1388" s="97"/>
      <c r="O1388" s="97"/>
      <c r="P1388" s="97"/>
      <c r="Q1388" s="97"/>
      <c r="R1388" s="135"/>
      <c r="S1388" s="135"/>
      <c r="T1388" s="135"/>
      <c r="U1388" s="135"/>
      <c r="V1388" s="135"/>
      <c r="W1388" s="137"/>
      <c r="X1388" s="135"/>
      <c r="Y1388" s="135"/>
      <c r="Z1388" s="135"/>
      <c r="AA1388" s="135"/>
      <c r="AB1388" s="135"/>
      <c r="AC1388" s="135"/>
    </row>
    <row r="1389">
      <c r="I1389" s="97"/>
      <c r="J1389" s="97"/>
      <c r="K1389" s="97"/>
      <c r="L1389" s="153"/>
      <c r="M1389" s="97"/>
      <c r="N1389" s="97"/>
      <c r="O1389" s="97"/>
      <c r="P1389" s="97"/>
      <c r="Q1389" s="97"/>
      <c r="R1389" s="135"/>
      <c r="S1389" s="135"/>
      <c r="T1389" s="135"/>
      <c r="U1389" s="135"/>
      <c r="V1389" s="135"/>
      <c r="W1389" s="137"/>
      <c r="X1389" s="135"/>
      <c r="Y1389" s="135"/>
      <c r="Z1389" s="135"/>
      <c r="AA1389" s="135"/>
      <c r="AB1389" s="135"/>
      <c r="AC1389" s="135"/>
    </row>
    <row r="1390">
      <c r="I1390" s="97"/>
      <c r="J1390" s="97"/>
      <c r="K1390" s="97"/>
      <c r="L1390" s="153"/>
      <c r="M1390" s="97"/>
      <c r="N1390" s="97"/>
      <c r="O1390" s="97"/>
      <c r="P1390" s="97"/>
      <c r="Q1390" s="97"/>
      <c r="R1390" s="135"/>
      <c r="S1390" s="135"/>
      <c r="T1390" s="135"/>
      <c r="U1390" s="135"/>
      <c r="V1390" s="135"/>
      <c r="W1390" s="137"/>
      <c r="X1390" s="135"/>
      <c r="Y1390" s="135"/>
      <c r="Z1390" s="135"/>
      <c r="AA1390" s="135"/>
      <c r="AB1390" s="135"/>
      <c r="AC1390" s="135"/>
    </row>
    <row r="1391">
      <c r="I1391" s="97"/>
      <c r="J1391" s="97"/>
      <c r="K1391" s="97"/>
      <c r="L1391" s="153"/>
      <c r="M1391" s="97"/>
      <c r="N1391" s="97"/>
      <c r="O1391" s="97"/>
      <c r="P1391" s="97"/>
      <c r="Q1391" s="97"/>
      <c r="R1391" s="135"/>
      <c r="S1391" s="135"/>
      <c r="T1391" s="135"/>
      <c r="U1391" s="135"/>
      <c r="V1391" s="135"/>
      <c r="W1391" s="137"/>
      <c r="X1391" s="135"/>
      <c r="Y1391" s="135"/>
      <c r="Z1391" s="135"/>
      <c r="AA1391" s="135"/>
      <c r="AB1391" s="135"/>
      <c r="AC1391" s="135"/>
    </row>
    <row r="1392">
      <c r="I1392" s="97"/>
      <c r="J1392" s="97"/>
      <c r="K1392" s="97"/>
      <c r="L1392" s="153"/>
      <c r="M1392" s="97"/>
      <c r="N1392" s="97"/>
      <c r="O1392" s="97"/>
      <c r="P1392" s="97"/>
      <c r="Q1392" s="97"/>
      <c r="R1392" s="135"/>
      <c r="S1392" s="135"/>
      <c r="T1392" s="135"/>
      <c r="U1392" s="135"/>
      <c r="V1392" s="135"/>
      <c r="W1392" s="137"/>
      <c r="X1392" s="135"/>
      <c r="Y1392" s="135"/>
      <c r="Z1392" s="135"/>
      <c r="AA1392" s="135"/>
      <c r="AB1392" s="135"/>
      <c r="AC1392" s="135"/>
    </row>
    <row r="1393">
      <c r="I1393" s="97"/>
      <c r="J1393" s="97"/>
      <c r="K1393" s="97"/>
      <c r="L1393" s="153"/>
      <c r="M1393" s="97"/>
      <c r="N1393" s="97"/>
      <c r="O1393" s="97"/>
      <c r="P1393" s="97"/>
      <c r="Q1393" s="97"/>
      <c r="R1393" s="135"/>
      <c r="S1393" s="135"/>
      <c r="T1393" s="135"/>
      <c r="U1393" s="135"/>
      <c r="V1393" s="135"/>
      <c r="W1393" s="137"/>
      <c r="X1393" s="135"/>
      <c r="Y1393" s="135"/>
      <c r="Z1393" s="135"/>
      <c r="AA1393" s="135"/>
      <c r="AB1393" s="135"/>
      <c r="AC1393" s="135"/>
    </row>
    <row r="1394">
      <c r="I1394" s="97"/>
      <c r="J1394" s="97"/>
      <c r="K1394" s="97"/>
      <c r="L1394" s="153"/>
      <c r="M1394" s="97"/>
      <c r="N1394" s="97"/>
      <c r="O1394" s="97"/>
      <c r="P1394" s="97"/>
      <c r="Q1394" s="97"/>
      <c r="R1394" s="135"/>
      <c r="S1394" s="135"/>
      <c r="T1394" s="135"/>
      <c r="U1394" s="135"/>
      <c r="V1394" s="135"/>
      <c r="W1394" s="137"/>
      <c r="X1394" s="135"/>
      <c r="Y1394" s="135"/>
      <c r="Z1394" s="135"/>
      <c r="AA1394" s="135"/>
      <c r="AB1394" s="135"/>
      <c r="AC1394" s="135"/>
    </row>
    <row r="1395">
      <c r="I1395" s="97"/>
      <c r="J1395" s="97"/>
      <c r="K1395" s="97"/>
      <c r="L1395" s="153"/>
      <c r="M1395" s="97"/>
      <c r="N1395" s="97"/>
      <c r="O1395" s="97"/>
      <c r="P1395" s="97"/>
      <c r="Q1395" s="97"/>
      <c r="R1395" s="135"/>
      <c r="S1395" s="135"/>
      <c r="T1395" s="135"/>
      <c r="U1395" s="135"/>
      <c r="V1395" s="135"/>
      <c r="W1395" s="137"/>
      <c r="X1395" s="135"/>
      <c r="Y1395" s="135"/>
      <c r="Z1395" s="135"/>
      <c r="AA1395" s="135"/>
      <c r="AB1395" s="135"/>
      <c r="AC1395" s="135"/>
    </row>
    <row r="1396">
      <c r="I1396" s="97"/>
      <c r="J1396" s="97"/>
      <c r="K1396" s="97"/>
      <c r="L1396" s="153"/>
      <c r="M1396" s="97"/>
      <c r="N1396" s="97"/>
      <c r="O1396" s="97"/>
      <c r="P1396" s="97"/>
      <c r="Q1396" s="97"/>
      <c r="R1396" s="135"/>
      <c r="S1396" s="135"/>
      <c r="T1396" s="135"/>
      <c r="U1396" s="135"/>
      <c r="V1396" s="135"/>
      <c r="W1396" s="137"/>
      <c r="X1396" s="135"/>
      <c r="Y1396" s="135"/>
      <c r="Z1396" s="135"/>
      <c r="AA1396" s="135"/>
      <c r="AB1396" s="135"/>
      <c r="AC1396" s="135"/>
    </row>
    <row r="1397">
      <c r="I1397" s="97"/>
      <c r="J1397" s="97"/>
      <c r="K1397" s="97"/>
      <c r="L1397" s="153"/>
      <c r="M1397" s="97"/>
      <c r="N1397" s="97"/>
      <c r="O1397" s="97"/>
      <c r="P1397" s="97"/>
      <c r="Q1397" s="97"/>
      <c r="R1397" s="135"/>
      <c r="S1397" s="135"/>
      <c r="T1397" s="135"/>
      <c r="U1397" s="135"/>
      <c r="V1397" s="135"/>
      <c r="W1397" s="137"/>
      <c r="X1397" s="135"/>
      <c r="Y1397" s="135"/>
      <c r="Z1397" s="135"/>
      <c r="AA1397" s="135"/>
      <c r="AB1397" s="135"/>
      <c r="AC1397" s="135"/>
    </row>
    <row r="1398">
      <c r="I1398" s="97"/>
      <c r="J1398" s="97"/>
      <c r="K1398" s="97"/>
      <c r="L1398" s="153"/>
      <c r="M1398" s="97"/>
      <c r="N1398" s="97"/>
      <c r="O1398" s="97"/>
      <c r="P1398" s="97"/>
      <c r="Q1398" s="97"/>
      <c r="R1398" s="135"/>
      <c r="S1398" s="135"/>
      <c r="T1398" s="135"/>
      <c r="U1398" s="135"/>
      <c r="V1398" s="135"/>
      <c r="W1398" s="137"/>
      <c r="X1398" s="135"/>
      <c r="Y1398" s="135"/>
      <c r="Z1398" s="135"/>
      <c r="AA1398" s="135"/>
      <c r="AB1398" s="135"/>
      <c r="AC1398" s="135"/>
    </row>
    <row r="1399">
      <c r="I1399" s="97"/>
      <c r="J1399" s="97"/>
      <c r="K1399" s="97"/>
      <c r="L1399" s="153"/>
      <c r="M1399" s="97"/>
      <c r="N1399" s="97"/>
      <c r="O1399" s="97"/>
      <c r="P1399" s="97"/>
      <c r="Q1399" s="97"/>
      <c r="R1399" s="135"/>
      <c r="S1399" s="135"/>
      <c r="T1399" s="135"/>
      <c r="U1399" s="135"/>
      <c r="V1399" s="135"/>
      <c r="W1399" s="137"/>
      <c r="X1399" s="135"/>
      <c r="Y1399" s="135"/>
      <c r="Z1399" s="135"/>
      <c r="AA1399" s="135"/>
      <c r="AB1399" s="135"/>
      <c r="AC1399" s="135"/>
    </row>
    <row r="1400">
      <c r="I1400" s="97"/>
      <c r="J1400" s="97"/>
      <c r="K1400" s="97"/>
      <c r="L1400" s="153"/>
      <c r="M1400" s="97"/>
      <c r="N1400" s="97"/>
      <c r="O1400" s="97"/>
      <c r="P1400" s="97"/>
      <c r="Q1400" s="97"/>
      <c r="R1400" s="135"/>
      <c r="S1400" s="135"/>
      <c r="T1400" s="135"/>
      <c r="U1400" s="135"/>
      <c r="V1400" s="135"/>
      <c r="W1400" s="137"/>
      <c r="X1400" s="135"/>
      <c r="Y1400" s="135"/>
      <c r="Z1400" s="135"/>
      <c r="AA1400" s="135"/>
      <c r="AB1400" s="135"/>
      <c r="AC1400" s="135"/>
    </row>
    <row r="1401">
      <c r="I1401" s="97"/>
      <c r="J1401" s="97"/>
      <c r="K1401" s="97"/>
      <c r="L1401" s="153"/>
      <c r="M1401" s="97"/>
      <c r="N1401" s="97"/>
      <c r="O1401" s="97"/>
      <c r="P1401" s="97"/>
      <c r="Q1401" s="97"/>
      <c r="R1401" s="135"/>
      <c r="S1401" s="135"/>
      <c r="T1401" s="135"/>
      <c r="U1401" s="135"/>
      <c r="V1401" s="135"/>
      <c r="W1401" s="137"/>
      <c r="X1401" s="135"/>
      <c r="Y1401" s="135"/>
      <c r="Z1401" s="135"/>
      <c r="AA1401" s="135"/>
      <c r="AB1401" s="135"/>
      <c r="AC1401" s="135"/>
    </row>
    <row r="1402">
      <c r="I1402" s="97"/>
      <c r="J1402" s="97"/>
      <c r="K1402" s="97"/>
      <c r="L1402" s="153"/>
      <c r="M1402" s="97"/>
      <c r="N1402" s="97"/>
      <c r="O1402" s="97"/>
      <c r="P1402" s="97"/>
      <c r="Q1402" s="97"/>
      <c r="R1402" s="135"/>
      <c r="S1402" s="135"/>
      <c r="T1402" s="135"/>
      <c r="U1402" s="135"/>
      <c r="V1402" s="135"/>
      <c r="W1402" s="137"/>
      <c r="X1402" s="135"/>
      <c r="Y1402" s="135"/>
      <c r="Z1402" s="135"/>
      <c r="AA1402" s="135"/>
      <c r="AB1402" s="135"/>
      <c r="AC1402" s="135"/>
    </row>
    <row r="1403">
      <c r="I1403" s="97"/>
      <c r="J1403" s="97"/>
      <c r="K1403" s="97"/>
      <c r="L1403" s="153"/>
      <c r="M1403" s="97"/>
      <c r="N1403" s="97"/>
      <c r="O1403" s="97"/>
      <c r="P1403" s="97"/>
      <c r="Q1403" s="97"/>
      <c r="R1403" s="135"/>
      <c r="S1403" s="135"/>
      <c r="T1403" s="135"/>
      <c r="U1403" s="135"/>
      <c r="V1403" s="135"/>
      <c r="W1403" s="137"/>
      <c r="X1403" s="135"/>
      <c r="Y1403" s="135"/>
      <c r="Z1403" s="135"/>
      <c r="AA1403" s="135"/>
      <c r="AB1403" s="135"/>
      <c r="AC1403" s="135"/>
    </row>
    <row r="1404">
      <c r="I1404" s="97"/>
      <c r="J1404" s="97"/>
      <c r="K1404" s="97"/>
      <c r="L1404" s="153"/>
      <c r="M1404" s="97"/>
      <c r="N1404" s="97"/>
      <c r="O1404" s="97"/>
      <c r="P1404" s="97"/>
      <c r="Q1404" s="97"/>
      <c r="R1404" s="135"/>
      <c r="S1404" s="135"/>
      <c r="T1404" s="135"/>
      <c r="U1404" s="135"/>
      <c r="V1404" s="135"/>
      <c r="W1404" s="137"/>
      <c r="X1404" s="135"/>
      <c r="Y1404" s="135"/>
      <c r="Z1404" s="135"/>
      <c r="AA1404" s="135"/>
      <c r="AB1404" s="135"/>
      <c r="AC1404" s="135"/>
    </row>
    <row r="1405">
      <c r="I1405" s="97"/>
      <c r="J1405" s="97"/>
      <c r="K1405" s="97"/>
      <c r="L1405" s="153"/>
      <c r="M1405" s="97"/>
      <c r="N1405" s="97"/>
      <c r="O1405" s="97"/>
      <c r="P1405" s="97"/>
      <c r="Q1405" s="97"/>
      <c r="R1405" s="135"/>
      <c r="S1405" s="135"/>
      <c r="T1405" s="135"/>
      <c r="U1405" s="135"/>
      <c r="V1405" s="135"/>
      <c r="W1405" s="137"/>
      <c r="X1405" s="135"/>
      <c r="Y1405" s="135"/>
      <c r="Z1405" s="135"/>
      <c r="AA1405" s="135"/>
      <c r="AB1405" s="135"/>
      <c r="AC1405" s="135"/>
    </row>
    <row r="1406">
      <c r="I1406" s="97"/>
      <c r="J1406" s="97"/>
      <c r="K1406" s="97"/>
      <c r="L1406" s="153"/>
      <c r="M1406" s="97"/>
      <c r="N1406" s="97"/>
      <c r="O1406" s="97"/>
      <c r="P1406" s="97"/>
      <c r="Q1406" s="97"/>
      <c r="R1406" s="135"/>
      <c r="S1406" s="135"/>
      <c r="T1406" s="135"/>
      <c r="U1406" s="135"/>
      <c r="V1406" s="135"/>
      <c r="W1406" s="137"/>
      <c r="X1406" s="135"/>
      <c r="Y1406" s="135"/>
      <c r="Z1406" s="135"/>
      <c r="AA1406" s="135"/>
      <c r="AB1406" s="135"/>
      <c r="AC1406" s="135"/>
    </row>
    <row r="1407">
      <c r="I1407" s="97"/>
      <c r="J1407" s="97"/>
      <c r="K1407" s="97"/>
      <c r="L1407" s="153"/>
      <c r="M1407" s="97"/>
      <c r="N1407" s="97"/>
      <c r="O1407" s="97"/>
      <c r="P1407" s="97"/>
      <c r="Q1407" s="97"/>
      <c r="R1407" s="135"/>
      <c r="S1407" s="135"/>
      <c r="T1407" s="135"/>
      <c r="U1407" s="135"/>
      <c r="V1407" s="135"/>
      <c r="W1407" s="137"/>
      <c r="X1407" s="135"/>
      <c r="Y1407" s="135"/>
      <c r="Z1407" s="135"/>
      <c r="AA1407" s="135"/>
      <c r="AB1407" s="135"/>
      <c r="AC1407" s="135"/>
    </row>
    <row r="1408">
      <c r="I1408" s="97"/>
      <c r="J1408" s="97"/>
      <c r="K1408" s="97"/>
      <c r="L1408" s="153"/>
      <c r="M1408" s="97"/>
      <c r="N1408" s="97"/>
      <c r="O1408" s="97"/>
      <c r="P1408" s="97"/>
      <c r="Q1408" s="97"/>
      <c r="R1408" s="135"/>
      <c r="S1408" s="135"/>
      <c r="T1408" s="135"/>
      <c r="U1408" s="135"/>
      <c r="V1408" s="135"/>
      <c r="W1408" s="137"/>
      <c r="X1408" s="135"/>
      <c r="Y1408" s="135"/>
      <c r="Z1408" s="135"/>
      <c r="AA1408" s="135"/>
      <c r="AB1408" s="135"/>
      <c r="AC1408" s="135"/>
    </row>
    <row r="1409">
      <c r="I1409" s="97"/>
      <c r="J1409" s="97"/>
      <c r="K1409" s="97"/>
      <c r="L1409" s="153"/>
      <c r="M1409" s="97"/>
      <c r="N1409" s="97"/>
      <c r="O1409" s="97"/>
      <c r="P1409" s="97"/>
      <c r="Q1409" s="97"/>
      <c r="R1409" s="135"/>
      <c r="S1409" s="135"/>
      <c r="T1409" s="135"/>
      <c r="U1409" s="135"/>
      <c r="V1409" s="135"/>
      <c r="W1409" s="137"/>
      <c r="X1409" s="135"/>
      <c r="Y1409" s="135"/>
      <c r="Z1409" s="135"/>
      <c r="AA1409" s="135"/>
      <c r="AB1409" s="135"/>
      <c r="AC1409" s="135"/>
    </row>
    <row r="1410">
      <c r="I1410" s="97"/>
      <c r="J1410" s="97"/>
      <c r="K1410" s="97"/>
      <c r="L1410" s="153"/>
      <c r="M1410" s="97"/>
      <c r="N1410" s="97"/>
      <c r="O1410" s="97"/>
      <c r="P1410" s="97"/>
      <c r="Q1410" s="97"/>
      <c r="R1410" s="135"/>
      <c r="S1410" s="135"/>
      <c r="T1410" s="135"/>
      <c r="U1410" s="135"/>
      <c r="V1410" s="135"/>
      <c r="W1410" s="137"/>
      <c r="X1410" s="135"/>
      <c r="Y1410" s="135"/>
      <c r="Z1410" s="135"/>
      <c r="AA1410" s="135"/>
      <c r="AB1410" s="135"/>
      <c r="AC1410" s="135"/>
    </row>
    <row r="1411">
      <c r="I1411" s="97"/>
      <c r="J1411" s="97"/>
      <c r="K1411" s="97"/>
      <c r="L1411" s="153"/>
      <c r="M1411" s="97"/>
      <c r="N1411" s="97"/>
      <c r="O1411" s="97"/>
      <c r="P1411" s="97"/>
      <c r="Q1411" s="97"/>
      <c r="R1411" s="135"/>
      <c r="S1411" s="135"/>
      <c r="T1411" s="135"/>
      <c r="U1411" s="135"/>
      <c r="V1411" s="135"/>
      <c r="W1411" s="137"/>
      <c r="X1411" s="135"/>
      <c r="Y1411" s="135"/>
      <c r="Z1411" s="135"/>
      <c r="AA1411" s="135"/>
      <c r="AB1411" s="135"/>
      <c r="AC1411" s="135"/>
    </row>
    <row r="1412">
      <c r="I1412" s="97"/>
      <c r="J1412" s="97"/>
      <c r="K1412" s="97"/>
      <c r="L1412" s="153"/>
      <c r="M1412" s="97"/>
      <c r="N1412" s="97"/>
      <c r="O1412" s="97"/>
      <c r="P1412" s="97"/>
      <c r="Q1412" s="97"/>
      <c r="R1412" s="135"/>
      <c r="S1412" s="135"/>
      <c r="T1412" s="135"/>
      <c r="U1412" s="135"/>
      <c r="V1412" s="135"/>
      <c r="W1412" s="137"/>
      <c r="X1412" s="135"/>
      <c r="Y1412" s="135"/>
      <c r="Z1412" s="135"/>
      <c r="AA1412" s="135"/>
      <c r="AB1412" s="135"/>
      <c r="AC1412" s="135"/>
    </row>
    <row r="1413">
      <c r="I1413" s="97"/>
      <c r="J1413" s="97"/>
      <c r="K1413" s="97"/>
      <c r="L1413" s="153"/>
      <c r="M1413" s="97"/>
      <c r="N1413" s="97"/>
      <c r="O1413" s="97"/>
      <c r="P1413" s="97"/>
      <c r="Q1413" s="97"/>
      <c r="R1413" s="135"/>
      <c r="S1413" s="135"/>
      <c r="T1413" s="135"/>
      <c r="U1413" s="135"/>
      <c r="V1413" s="135"/>
      <c r="W1413" s="137"/>
      <c r="X1413" s="135"/>
      <c r="Y1413" s="135"/>
      <c r="Z1413" s="135"/>
      <c r="AA1413" s="135"/>
      <c r="AB1413" s="135"/>
      <c r="AC1413" s="135"/>
    </row>
    <row r="1414">
      <c r="I1414" s="97"/>
      <c r="J1414" s="97"/>
      <c r="K1414" s="97"/>
      <c r="L1414" s="153"/>
      <c r="M1414" s="97"/>
      <c r="N1414" s="97"/>
      <c r="O1414" s="97"/>
      <c r="P1414" s="97"/>
      <c r="Q1414" s="97"/>
      <c r="R1414" s="135"/>
      <c r="S1414" s="135"/>
      <c r="T1414" s="135"/>
      <c r="U1414" s="135"/>
      <c r="V1414" s="135"/>
      <c r="W1414" s="137"/>
      <c r="X1414" s="135"/>
      <c r="Y1414" s="135"/>
      <c r="Z1414" s="135"/>
      <c r="AA1414" s="135"/>
      <c r="AB1414" s="135"/>
      <c r="AC1414" s="135"/>
    </row>
    <row r="1415">
      <c r="I1415" s="97"/>
      <c r="J1415" s="97"/>
      <c r="K1415" s="97"/>
      <c r="L1415" s="153"/>
      <c r="M1415" s="97"/>
      <c r="N1415" s="97"/>
      <c r="O1415" s="97"/>
      <c r="P1415" s="97"/>
      <c r="Q1415" s="97"/>
      <c r="R1415" s="135"/>
      <c r="S1415" s="135"/>
      <c r="T1415" s="135"/>
      <c r="U1415" s="135"/>
      <c r="V1415" s="135"/>
      <c r="W1415" s="137"/>
      <c r="X1415" s="135"/>
      <c r="Y1415" s="135"/>
      <c r="Z1415" s="135"/>
      <c r="AA1415" s="135"/>
      <c r="AB1415" s="135"/>
      <c r="AC1415" s="135"/>
    </row>
    <row r="1416">
      <c r="I1416" s="97"/>
      <c r="J1416" s="97"/>
      <c r="K1416" s="97"/>
      <c r="L1416" s="153"/>
      <c r="M1416" s="97"/>
      <c r="N1416" s="97"/>
      <c r="O1416" s="97"/>
      <c r="P1416" s="97"/>
      <c r="Q1416" s="97"/>
      <c r="R1416" s="135"/>
      <c r="S1416" s="135"/>
      <c r="T1416" s="135"/>
      <c r="U1416" s="135"/>
      <c r="V1416" s="135"/>
      <c r="W1416" s="137"/>
      <c r="X1416" s="135"/>
      <c r="Y1416" s="135"/>
      <c r="Z1416" s="135"/>
      <c r="AA1416" s="135"/>
      <c r="AB1416" s="135"/>
      <c r="AC1416" s="135"/>
    </row>
    <row r="1417">
      <c r="I1417" s="97"/>
      <c r="J1417" s="97"/>
      <c r="K1417" s="97"/>
      <c r="L1417" s="153"/>
      <c r="M1417" s="97"/>
      <c r="N1417" s="97"/>
      <c r="O1417" s="97"/>
      <c r="P1417" s="97"/>
      <c r="Q1417" s="97"/>
      <c r="R1417" s="135"/>
      <c r="S1417" s="135"/>
      <c r="T1417" s="135"/>
      <c r="U1417" s="135"/>
      <c r="V1417" s="135"/>
      <c r="W1417" s="137"/>
      <c r="X1417" s="135"/>
      <c r="Y1417" s="135"/>
      <c r="Z1417" s="135"/>
      <c r="AA1417" s="135"/>
      <c r="AB1417" s="135"/>
      <c r="AC1417" s="135"/>
    </row>
    <row r="1418">
      <c r="I1418" s="97"/>
      <c r="J1418" s="97"/>
      <c r="K1418" s="97"/>
      <c r="L1418" s="153"/>
      <c r="M1418" s="97"/>
      <c r="N1418" s="97"/>
      <c r="O1418" s="97"/>
      <c r="P1418" s="97"/>
      <c r="Q1418" s="97"/>
      <c r="R1418" s="135"/>
      <c r="S1418" s="135"/>
      <c r="T1418" s="135"/>
      <c r="U1418" s="135"/>
      <c r="V1418" s="135"/>
      <c r="W1418" s="137"/>
      <c r="X1418" s="135"/>
      <c r="Y1418" s="135"/>
      <c r="Z1418" s="135"/>
      <c r="AA1418" s="135"/>
      <c r="AB1418" s="135"/>
      <c r="AC1418" s="135"/>
    </row>
    <row r="1419">
      <c r="I1419" s="97"/>
      <c r="J1419" s="97"/>
      <c r="K1419" s="97"/>
      <c r="L1419" s="153"/>
      <c r="M1419" s="97"/>
      <c r="N1419" s="97"/>
      <c r="O1419" s="97"/>
      <c r="P1419" s="97"/>
      <c r="Q1419" s="97"/>
      <c r="R1419" s="135"/>
      <c r="S1419" s="135"/>
      <c r="T1419" s="135"/>
      <c r="U1419" s="135"/>
      <c r="V1419" s="135"/>
      <c r="W1419" s="137"/>
      <c r="X1419" s="135"/>
      <c r="Y1419" s="135"/>
      <c r="Z1419" s="135"/>
      <c r="AA1419" s="135"/>
      <c r="AB1419" s="135"/>
      <c r="AC1419" s="135"/>
    </row>
    <row r="1420">
      <c r="I1420" s="97"/>
      <c r="J1420" s="97"/>
      <c r="K1420" s="97"/>
      <c r="L1420" s="153"/>
      <c r="M1420" s="97"/>
      <c r="N1420" s="97"/>
      <c r="O1420" s="97"/>
      <c r="P1420" s="97"/>
      <c r="Q1420" s="97"/>
      <c r="R1420" s="135"/>
      <c r="S1420" s="135"/>
      <c r="T1420" s="135"/>
      <c r="U1420" s="135"/>
      <c r="V1420" s="135"/>
      <c r="W1420" s="137"/>
      <c r="X1420" s="135"/>
      <c r="Y1420" s="135"/>
      <c r="Z1420" s="135"/>
      <c r="AA1420" s="135"/>
      <c r="AB1420" s="135"/>
      <c r="AC1420" s="135"/>
    </row>
    <row r="1421">
      <c r="I1421" s="97"/>
      <c r="J1421" s="97"/>
      <c r="K1421" s="97"/>
      <c r="L1421" s="153"/>
      <c r="M1421" s="97"/>
      <c r="N1421" s="97"/>
      <c r="O1421" s="97"/>
      <c r="P1421" s="97"/>
      <c r="Q1421" s="97"/>
      <c r="R1421" s="135"/>
      <c r="S1421" s="135"/>
      <c r="T1421" s="135"/>
      <c r="U1421" s="135"/>
      <c r="V1421" s="135"/>
      <c r="W1421" s="137"/>
      <c r="X1421" s="135"/>
      <c r="Y1421" s="135"/>
      <c r="Z1421" s="135"/>
      <c r="AA1421" s="135"/>
      <c r="AB1421" s="135"/>
      <c r="AC1421" s="135"/>
    </row>
    <row r="1422">
      <c r="I1422" s="97"/>
      <c r="J1422" s="97"/>
      <c r="K1422" s="97"/>
      <c r="L1422" s="153"/>
      <c r="M1422" s="97"/>
      <c r="N1422" s="97"/>
      <c r="O1422" s="97"/>
      <c r="P1422" s="97"/>
      <c r="Q1422" s="97"/>
      <c r="R1422" s="135"/>
      <c r="S1422" s="135"/>
      <c r="T1422" s="135"/>
      <c r="U1422" s="135"/>
      <c r="V1422" s="135"/>
      <c r="W1422" s="137"/>
      <c r="X1422" s="135"/>
      <c r="Y1422" s="135"/>
      <c r="Z1422" s="135"/>
      <c r="AA1422" s="135"/>
      <c r="AB1422" s="135"/>
      <c r="AC1422" s="135"/>
    </row>
    <row r="1423">
      <c r="I1423" s="97"/>
      <c r="J1423" s="97"/>
      <c r="K1423" s="97"/>
      <c r="L1423" s="153"/>
      <c r="M1423" s="97"/>
      <c r="N1423" s="97"/>
      <c r="O1423" s="97"/>
      <c r="P1423" s="97"/>
      <c r="Q1423" s="97"/>
      <c r="R1423" s="135"/>
      <c r="S1423" s="135"/>
      <c r="T1423" s="135"/>
      <c r="U1423" s="135"/>
      <c r="V1423" s="135"/>
      <c r="W1423" s="137"/>
      <c r="X1423" s="135"/>
      <c r="Y1423" s="135"/>
      <c r="Z1423" s="135"/>
      <c r="AA1423" s="135"/>
      <c r="AB1423" s="135"/>
      <c r="AC1423" s="135"/>
    </row>
    <row r="1424">
      <c r="I1424" s="97"/>
      <c r="J1424" s="97"/>
      <c r="K1424" s="97"/>
      <c r="L1424" s="153"/>
      <c r="M1424" s="97"/>
      <c r="N1424" s="97"/>
      <c r="O1424" s="97"/>
      <c r="P1424" s="97"/>
      <c r="Q1424" s="97"/>
      <c r="R1424" s="135"/>
      <c r="S1424" s="135"/>
      <c r="T1424" s="135"/>
      <c r="U1424" s="135"/>
      <c r="V1424" s="135"/>
      <c r="W1424" s="137"/>
      <c r="X1424" s="135"/>
      <c r="Y1424" s="135"/>
      <c r="Z1424" s="135"/>
      <c r="AA1424" s="135"/>
      <c r="AB1424" s="135"/>
      <c r="AC1424" s="135"/>
    </row>
    <row r="1425">
      <c r="I1425" s="97"/>
      <c r="J1425" s="97"/>
      <c r="K1425" s="97"/>
      <c r="L1425" s="153"/>
      <c r="M1425" s="97"/>
      <c r="N1425" s="97"/>
      <c r="O1425" s="97"/>
      <c r="P1425" s="97"/>
      <c r="Q1425" s="97"/>
      <c r="R1425" s="135"/>
      <c r="S1425" s="135"/>
      <c r="T1425" s="135"/>
      <c r="U1425" s="135"/>
      <c r="V1425" s="135"/>
      <c r="W1425" s="137"/>
      <c r="X1425" s="135"/>
      <c r="Y1425" s="135"/>
      <c r="Z1425" s="135"/>
      <c r="AA1425" s="135"/>
      <c r="AB1425" s="135"/>
      <c r="AC1425" s="135"/>
    </row>
    <row r="1426">
      <c r="I1426" s="97"/>
      <c r="J1426" s="97"/>
      <c r="K1426" s="97"/>
      <c r="L1426" s="153"/>
      <c r="M1426" s="97"/>
      <c r="N1426" s="97"/>
      <c r="O1426" s="97"/>
      <c r="P1426" s="97"/>
      <c r="Q1426" s="97"/>
      <c r="R1426" s="135"/>
      <c r="S1426" s="135"/>
      <c r="T1426" s="135"/>
      <c r="U1426" s="135"/>
      <c r="V1426" s="135"/>
      <c r="W1426" s="137"/>
      <c r="X1426" s="135"/>
      <c r="Y1426" s="135"/>
      <c r="Z1426" s="135"/>
      <c r="AA1426" s="135"/>
      <c r="AB1426" s="135"/>
      <c r="AC1426" s="135"/>
    </row>
    <row r="1427">
      <c r="I1427" s="97"/>
      <c r="J1427" s="97"/>
      <c r="K1427" s="97"/>
      <c r="L1427" s="153"/>
      <c r="M1427" s="97"/>
      <c r="N1427" s="97"/>
      <c r="O1427" s="97"/>
      <c r="P1427" s="97"/>
      <c r="Q1427" s="97"/>
      <c r="R1427" s="135"/>
      <c r="S1427" s="135"/>
      <c r="T1427" s="135"/>
      <c r="U1427" s="135"/>
      <c r="V1427" s="135"/>
      <c r="W1427" s="137"/>
      <c r="X1427" s="135"/>
      <c r="Y1427" s="135"/>
      <c r="Z1427" s="135"/>
      <c r="AA1427" s="135"/>
      <c r="AB1427" s="135"/>
      <c r="AC1427" s="135"/>
    </row>
    <row r="1428">
      <c r="I1428" s="97"/>
      <c r="J1428" s="97"/>
      <c r="K1428" s="97"/>
      <c r="L1428" s="153"/>
      <c r="M1428" s="97"/>
      <c r="N1428" s="97"/>
      <c r="O1428" s="97"/>
      <c r="P1428" s="97"/>
      <c r="Q1428" s="97"/>
      <c r="R1428" s="135"/>
      <c r="S1428" s="135"/>
      <c r="T1428" s="135"/>
      <c r="U1428" s="135"/>
      <c r="V1428" s="135"/>
      <c r="W1428" s="137"/>
      <c r="X1428" s="135"/>
      <c r="Y1428" s="135"/>
      <c r="Z1428" s="135"/>
      <c r="AA1428" s="135"/>
      <c r="AB1428" s="135"/>
      <c r="AC1428" s="135"/>
    </row>
    <row r="1429">
      <c r="I1429" s="97"/>
      <c r="J1429" s="97"/>
      <c r="K1429" s="97"/>
      <c r="L1429" s="153"/>
      <c r="M1429" s="97"/>
      <c r="N1429" s="97"/>
      <c r="O1429" s="97"/>
      <c r="P1429" s="97"/>
      <c r="Q1429" s="97"/>
      <c r="R1429" s="135"/>
      <c r="S1429" s="135"/>
      <c r="T1429" s="135"/>
      <c r="U1429" s="135"/>
      <c r="V1429" s="135"/>
      <c r="W1429" s="137"/>
      <c r="X1429" s="135"/>
      <c r="Y1429" s="135"/>
      <c r="Z1429" s="135"/>
      <c r="AA1429" s="135"/>
      <c r="AB1429" s="135"/>
      <c r="AC1429" s="135"/>
    </row>
    <row r="1430">
      <c r="I1430" s="97"/>
      <c r="J1430" s="97"/>
      <c r="K1430" s="97"/>
      <c r="L1430" s="153"/>
      <c r="M1430" s="97"/>
      <c r="N1430" s="97"/>
      <c r="O1430" s="97"/>
      <c r="P1430" s="97"/>
      <c r="Q1430" s="97"/>
      <c r="R1430" s="135"/>
      <c r="S1430" s="135"/>
      <c r="T1430" s="135"/>
      <c r="U1430" s="135"/>
      <c r="V1430" s="135"/>
      <c r="W1430" s="137"/>
      <c r="X1430" s="135"/>
      <c r="Y1430" s="135"/>
      <c r="Z1430" s="135"/>
      <c r="AA1430" s="135"/>
      <c r="AB1430" s="135"/>
      <c r="AC1430" s="135"/>
    </row>
    <row r="1431">
      <c r="I1431" s="97"/>
      <c r="J1431" s="97"/>
      <c r="K1431" s="97"/>
      <c r="L1431" s="153"/>
      <c r="M1431" s="97"/>
      <c r="N1431" s="97"/>
      <c r="O1431" s="97"/>
      <c r="P1431" s="97"/>
      <c r="Q1431" s="97"/>
      <c r="R1431" s="135"/>
      <c r="S1431" s="135"/>
      <c r="T1431" s="135"/>
      <c r="U1431" s="135"/>
      <c r="V1431" s="135"/>
      <c r="W1431" s="137"/>
      <c r="X1431" s="135"/>
      <c r="Y1431" s="135"/>
      <c r="Z1431" s="135"/>
      <c r="AA1431" s="135"/>
      <c r="AB1431" s="135"/>
      <c r="AC1431" s="135"/>
    </row>
    <row r="1432">
      <c r="I1432" s="97"/>
      <c r="J1432" s="97"/>
      <c r="K1432" s="97"/>
      <c r="L1432" s="153"/>
      <c r="M1432" s="97"/>
      <c r="N1432" s="97"/>
      <c r="O1432" s="97"/>
      <c r="P1432" s="97"/>
      <c r="Q1432" s="97"/>
      <c r="R1432" s="135"/>
      <c r="S1432" s="135"/>
      <c r="T1432" s="135"/>
      <c r="U1432" s="135"/>
      <c r="V1432" s="135"/>
      <c r="W1432" s="137"/>
      <c r="X1432" s="135"/>
      <c r="Y1432" s="135"/>
      <c r="Z1432" s="135"/>
      <c r="AA1432" s="135"/>
      <c r="AB1432" s="135"/>
      <c r="AC1432" s="135"/>
    </row>
    <row r="1433">
      <c r="I1433" s="97"/>
      <c r="J1433" s="97"/>
      <c r="K1433" s="97"/>
      <c r="L1433" s="153"/>
      <c r="M1433" s="97"/>
      <c r="N1433" s="97"/>
      <c r="O1433" s="97"/>
      <c r="P1433" s="97"/>
      <c r="Q1433" s="97"/>
      <c r="R1433" s="135"/>
      <c r="S1433" s="135"/>
      <c r="T1433" s="135"/>
      <c r="U1433" s="135"/>
      <c r="V1433" s="135"/>
      <c r="W1433" s="137"/>
      <c r="X1433" s="135"/>
      <c r="Y1433" s="135"/>
      <c r="Z1433" s="135"/>
      <c r="AA1433" s="135"/>
      <c r="AB1433" s="135"/>
      <c r="AC1433" s="135"/>
    </row>
    <row r="1434">
      <c r="I1434" s="97"/>
      <c r="J1434" s="97"/>
      <c r="K1434" s="97"/>
      <c r="L1434" s="153"/>
      <c r="M1434" s="97"/>
      <c r="N1434" s="97"/>
      <c r="O1434" s="97"/>
      <c r="P1434" s="97"/>
      <c r="Q1434" s="97"/>
      <c r="R1434" s="135"/>
      <c r="S1434" s="135"/>
      <c r="T1434" s="135"/>
      <c r="U1434" s="135"/>
      <c r="V1434" s="135"/>
      <c r="W1434" s="137"/>
      <c r="X1434" s="135"/>
      <c r="Y1434" s="135"/>
      <c r="Z1434" s="135"/>
      <c r="AA1434" s="135"/>
      <c r="AB1434" s="135"/>
      <c r="AC1434" s="135"/>
    </row>
    <row r="1435">
      <c r="I1435" s="97"/>
      <c r="J1435" s="97"/>
      <c r="K1435" s="97"/>
      <c r="L1435" s="153"/>
      <c r="M1435" s="97"/>
      <c r="N1435" s="97"/>
      <c r="O1435" s="97"/>
      <c r="P1435" s="97"/>
      <c r="Q1435" s="97"/>
      <c r="R1435" s="135"/>
      <c r="S1435" s="135"/>
      <c r="T1435" s="135"/>
      <c r="U1435" s="135"/>
      <c r="V1435" s="135"/>
      <c r="W1435" s="137"/>
      <c r="X1435" s="135"/>
      <c r="Y1435" s="135"/>
      <c r="Z1435" s="135"/>
      <c r="AA1435" s="135"/>
      <c r="AB1435" s="135"/>
      <c r="AC1435" s="135"/>
    </row>
    <row r="1436">
      <c r="I1436" s="97"/>
      <c r="J1436" s="97"/>
      <c r="K1436" s="97"/>
      <c r="L1436" s="153"/>
      <c r="M1436" s="97"/>
      <c r="N1436" s="97"/>
      <c r="O1436" s="97"/>
      <c r="P1436" s="97"/>
      <c r="Q1436" s="97"/>
      <c r="R1436" s="135"/>
      <c r="S1436" s="135"/>
      <c r="T1436" s="135"/>
      <c r="U1436" s="135"/>
      <c r="V1436" s="135"/>
      <c r="W1436" s="137"/>
      <c r="X1436" s="135"/>
      <c r="Y1436" s="135"/>
      <c r="Z1436" s="135"/>
      <c r="AA1436" s="135"/>
      <c r="AB1436" s="135"/>
      <c r="AC1436" s="135"/>
    </row>
    <row r="1437">
      <c r="I1437" s="97"/>
      <c r="J1437" s="97"/>
      <c r="K1437" s="97"/>
      <c r="L1437" s="153"/>
      <c r="M1437" s="97"/>
      <c r="N1437" s="97"/>
      <c r="O1437" s="97"/>
      <c r="P1437" s="97"/>
      <c r="Q1437" s="97"/>
      <c r="R1437" s="135"/>
      <c r="S1437" s="135"/>
      <c r="T1437" s="135"/>
      <c r="U1437" s="135"/>
      <c r="V1437" s="135"/>
      <c r="W1437" s="137"/>
      <c r="X1437" s="135"/>
      <c r="Y1437" s="135"/>
      <c r="Z1437" s="135"/>
      <c r="AA1437" s="135"/>
      <c r="AB1437" s="135"/>
      <c r="AC1437" s="135"/>
    </row>
    <row r="1438">
      <c r="I1438" s="97"/>
      <c r="J1438" s="97"/>
      <c r="K1438" s="97"/>
      <c r="L1438" s="153"/>
      <c r="M1438" s="97"/>
      <c r="N1438" s="97"/>
      <c r="O1438" s="97"/>
      <c r="P1438" s="97"/>
      <c r="Q1438" s="97"/>
      <c r="R1438" s="135"/>
      <c r="S1438" s="135"/>
      <c r="T1438" s="135"/>
      <c r="U1438" s="135"/>
      <c r="V1438" s="135"/>
      <c r="W1438" s="137"/>
      <c r="X1438" s="135"/>
      <c r="Y1438" s="135"/>
      <c r="Z1438" s="135"/>
      <c r="AA1438" s="135"/>
      <c r="AB1438" s="135"/>
      <c r="AC1438" s="135"/>
    </row>
    <row r="1439">
      <c r="I1439" s="97"/>
      <c r="J1439" s="97"/>
      <c r="K1439" s="97"/>
      <c r="L1439" s="153"/>
      <c r="M1439" s="97"/>
      <c r="N1439" s="97"/>
      <c r="O1439" s="97"/>
      <c r="P1439" s="97"/>
      <c r="Q1439" s="97"/>
      <c r="R1439" s="135"/>
      <c r="S1439" s="135"/>
      <c r="T1439" s="135"/>
      <c r="U1439" s="135"/>
      <c r="V1439" s="135"/>
      <c r="W1439" s="137"/>
      <c r="X1439" s="135"/>
      <c r="Y1439" s="135"/>
      <c r="Z1439" s="135"/>
      <c r="AA1439" s="135"/>
      <c r="AB1439" s="135"/>
      <c r="AC1439" s="135"/>
    </row>
    <row r="1440">
      <c r="I1440" s="97"/>
      <c r="J1440" s="97"/>
      <c r="K1440" s="97"/>
      <c r="L1440" s="153"/>
      <c r="M1440" s="97"/>
      <c r="N1440" s="97"/>
      <c r="O1440" s="97"/>
      <c r="P1440" s="97"/>
      <c r="Q1440" s="97"/>
      <c r="R1440" s="135"/>
      <c r="S1440" s="135"/>
      <c r="T1440" s="135"/>
      <c r="U1440" s="135"/>
      <c r="V1440" s="135"/>
      <c r="W1440" s="137"/>
      <c r="X1440" s="135"/>
      <c r="Y1440" s="135"/>
      <c r="Z1440" s="135"/>
      <c r="AA1440" s="135"/>
      <c r="AB1440" s="135"/>
      <c r="AC1440" s="135"/>
    </row>
    <row r="1441">
      <c r="I1441" s="97"/>
      <c r="J1441" s="97"/>
      <c r="K1441" s="97"/>
      <c r="L1441" s="153"/>
      <c r="M1441" s="97"/>
      <c r="N1441" s="97"/>
      <c r="O1441" s="97"/>
      <c r="P1441" s="97"/>
      <c r="Q1441" s="97"/>
      <c r="R1441" s="135"/>
      <c r="S1441" s="135"/>
      <c r="T1441" s="135"/>
      <c r="U1441" s="135"/>
      <c r="V1441" s="135"/>
      <c r="W1441" s="137"/>
      <c r="X1441" s="135"/>
      <c r="Y1441" s="135"/>
      <c r="Z1441" s="135"/>
      <c r="AA1441" s="135"/>
      <c r="AB1441" s="135"/>
      <c r="AC1441" s="135"/>
    </row>
    <row r="1442">
      <c r="I1442" s="97"/>
      <c r="J1442" s="97"/>
      <c r="K1442" s="97"/>
      <c r="L1442" s="153"/>
      <c r="M1442" s="97"/>
      <c r="N1442" s="97"/>
      <c r="O1442" s="97"/>
      <c r="P1442" s="97"/>
      <c r="Q1442" s="97"/>
      <c r="R1442" s="135"/>
      <c r="S1442" s="135"/>
      <c r="T1442" s="135"/>
      <c r="U1442" s="135"/>
      <c r="V1442" s="135"/>
      <c r="W1442" s="137"/>
      <c r="X1442" s="135"/>
      <c r="Y1442" s="135"/>
      <c r="Z1442" s="135"/>
      <c r="AA1442" s="135"/>
      <c r="AB1442" s="135"/>
      <c r="AC1442" s="135"/>
    </row>
    <row r="1443">
      <c r="I1443" s="97"/>
      <c r="J1443" s="97"/>
      <c r="K1443" s="97"/>
      <c r="L1443" s="153"/>
      <c r="M1443" s="97"/>
      <c r="N1443" s="97"/>
      <c r="O1443" s="97"/>
      <c r="P1443" s="97"/>
      <c r="Q1443" s="97"/>
      <c r="R1443" s="135"/>
      <c r="S1443" s="135"/>
      <c r="T1443" s="135"/>
      <c r="U1443" s="135"/>
      <c r="V1443" s="135"/>
      <c r="W1443" s="137"/>
      <c r="X1443" s="135"/>
      <c r="Y1443" s="135"/>
      <c r="Z1443" s="135"/>
      <c r="AA1443" s="135"/>
      <c r="AB1443" s="135"/>
      <c r="AC1443" s="135"/>
    </row>
    <row r="1444">
      <c r="I1444" s="97"/>
      <c r="J1444" s="97"/>
      <c r="K1444" s="97"/>
      <c r="L1444" s="153"/>
      <c r="M1444" s="97"/>
      <c r="N1444" s="97"/>
      <c r="O1444" s="97"/>
      <c r="P1444" s="97"/>
      <c r="Q1444" s="97"/>
      <c r="R1444" s="135"/>
      <c r="S1444" s="135"/>
      <c r="T1444" s="135"/>
      <c r="U1444" s="135"/>
      <c r="V1444" s="135"/>
      <c r="W1444" s="137"/>
      <c r="X1444" s="135"/>
      <c r="Y1444" s="135"/>
      <c r="Z1444" s="135"/>
      <c r="AA1444" s="135"/>
      <c r="AB1444" s="135"/>
      <c r="AC1444" s="135"/>
    </row>
    <row r="1445">
      <c r="I1445" s="97"/>
      <c r="J1445" s="97"/>
      <c r="K1445" s="97"/>
      <c r="L1445" s="153"/>
      <c r="M1445" s="97"/>
      <c r="N1445" s="97"/>
      <c r="O1445" s="97"/>
      <c r="P1445" s="97"/>
      <c r="Q1445" s="97"/>
      <c r="R1445" s="135"/>
      <c r="S1445" s="135"/>
      <c r="T1445" s="135"/>
      <c r="U1445" s="135"/>
      <c r="V1445" s="135"/>
      <c r="W1445" s="137"/>
      <c r="X1445" s="135"/>
      <c r="Y1445" s="135"/>
      <c r="Z1445" s="135"/>
      <c r="AA1445" s="135"/>
      <c r="AB1445" s="135"/>
      <c r="AC1445" s="135"/>
    </row>
    <row r="1446">
      <c r="I1446" s="97"/>
      <c r="J1446" s="97"/>
      <c r="K1446" s="97"/>
      <c r="L1446" s="153"/>
      <c r="M1446" s="97"/>
      <c r="N1446" s="97"/>
      <c r="O1446" s="97"/>
      <c r="P1446" s="97"/>
      <c r="Q1446" s="97"/>
      <c r="R1446" s="135"/>
      <c r="S1446" s="135"/>
      <c r="T1446" s="135"/>
      <c r="U1446" s="135"/>
      <c r="V1446" s="135"/>
      <c r="W1446" s="137"/>
      <c r="X1446" s="135"/>
      <c r="Y1446" s="135"/>
      <c r="Z1446" s="135"/>
      <c r="AA1446" s="135"/>
      <c r="AB1446" s="135"/>
      <c r="AC1446" s="135"/>
    </row>
    <row r="1447">
      <c r="I1447" s="97"/>
      <c r="J1447" s="97"/>
      <c r="K1447" s="97"/>
      <c r="L1447" s="153"/>
      <c r="M1447" s="97"/>
      <c r="N1447" s="97"/>
      <c r="O1447" s="97"/>
      <c r="P1447" s="97"/>
      <c r="Q1447" s="97"/>
      <c r="R1447" s="135"/>
      <c r="S1447" s="135"/>
      <c r="T1447" s="135"/>
      <c r="U1447" s="135"/>
      <c r="V1447" s="135"/>
      <c r="W1447" s="137"/>
      <c r="X1447" s="135"/>
      <c r="Y1447" s="135"/>
      <c r="Z1447" s="135"/>
      <c r="AA1447" s="135"/>
      <c r="AB1447" s="135"/>
      <c r="AC1447" s="135"/>
    </row>
    <row r="1448">
      <c r="I1448" s="97"/>
      <c r="J1448" s="97"/>
      <c r="K1448" s="97"/>
      <c r="L1448" s="153"/>
      <c r="M1448" s="97"/>
      <c r="N1448" s="97"/>
      <c r="O1448" s="97"/>
      <c r="P1448" s="97"/>
      <c r="Q1448" s="97"/>
      <c r="R1448" s="135"/>
      <c r="S1448" s="135"/>
      <c r="T1448" s="135"/>
      <c r="U1448" s="135"/>
      <c r="V1448" s="135"/>
      <c r="W1448" s="137"/>
      <c r="X1448" s="135"/>
      <c r="Y1448" s="135"/>
      <c r="Z1448" s="135"/>
      <c r="AA1448" s="135"/>
      <c r="AB1448" s="135"/>
      <c r="AC1448" s="135"/>
    </row>
    <row r="1449">
      <c r="I1449" s="97"/>
      <c r="J1449" s="97"/>
      <c r="K1449" s="97"/>
      <c r="L1449" s="153"/>
      <c r="M1449" s="97"/>
      <c r="N1449" s="97"/>
      <c r="O1449" s="97"/>
      <c r="P1449" s="97"/>
      <c r="Q1449" s="97"/>
      <c r="R1449" s="135"/>
      <c r="S1449" s="135"/>
      <c r="T1449" s="135"/>
      <c r="U1449" s="135"/>
      <c r="V1449" s="135"/>
      <c r="W1449" s="137"/>
      <c r="X1449" s="135"/>
      <c r="Y1449" s="135"/>
      <c r="Z1449" s="135"/>
      <c r="AA1449" s="135"/>
      <c r="AB1449" s="135"/>
      <c r="AC1449" s="135"/>
    </row>
    <row r="1450">
      <c r="I1450" s="97"/>
      <c r="J1450" s="97"/>
      <c r="K1450" s="97"/>
      <c r="L1450" s="153"/>
      <c r="M1450" s="97"/>
      <c r="N1450" s="97"/>
      <c r="O1450" s="97"/>
      <c r="P1450" s="97"/>
      <c r="Q1450" s="97"/>
      <c r="R1450" s="135"/>
      <c r="S1450" s="135"/>
      <c r="T1450" s="135"/>
      <c r="U1450" s="135"/>
      <c r="V1450" s="135"/>
      <c r="W1450" s="137"/>
      <c r="X1450" s="135"/>
      <c r="Y1450" s="135"/>
      <c r="Z1450" s="135"/>
      <c r="AA1450" s="135"/>
      <c r="AB1450" s="135"/>
      <c r="AC1450" s="135"/>
    </row>
    <row r="1451">
      <c r="I1451" s="97"/>
      <c r="J1451" s="97"/>
      <c r="K1451" s="97"/>
      <c r="L1451" s="153"/>
      <c r="M1451" s="97"/>
      <c r="N1451" s="97"/>
      <c r="O1451" s="97"/>
      <c r="P1451" s="97"/>
      <c r="Q1451" s="97"/>
      <c r="R1451" s="135"/>
      <c r="S1451" s="135"/>
      <c r="T1451" s="135"/>
      <c r="U1451" s="135"/>
      <c r="V1451" s="135"/>
      <c r="W1451" s="137"/>
      <c r="X1451" s="135"/>
      <c r="Y1451" s="135"/>
      <c r="Z1451" s="135"/>
      <c r="AA1451" s="135"/>
      <c r="AB1451" s="135"/>
      <c r="AC1451" s="135"/>
    </row>
    <row r="1452">
      <c r="I1452" s="97"/>
      <c r="J1452" s="97"/>
      <c r="K1452" s="97"/>
      <c r="L1452" s="153"/>
      <c r="M1452" s="97"/>
      <c r="N1452" s="97"/>
      <c r="O1452" s="97"/>
      <c r="P1452" s="97"/>
      <c r="Q1452" s="97"/>
      <c r="R1452" s="135"/>
      <c r="S1452" s="135"/>
      <c r="T1452" s="135"/>
      <c r="U1452" s="135"/>
      <c r="V1452" s="135"/>
      <c r="W1452" s="137"/>
      <c r="X1452" s="135"/>
      <c r="Y1452" s="135"/>
      <c r="Z1452" s="135"/>
      <c r="AA1452" s="135"/>
      <c r="AB1452" s="135"/>
      <c r="AC1452" s="135"/>
    </row>
    <row r="1453">
      <c r="I1453" s="97"/>
      <c r="J1453" s="97"/>
      <c r="K1453" s="97"/>
      <c r="L1453" s="153"/>
      <c r="M1453" s="97"/>
      <c r="N1453" s="97"/>
      <c r="O1453" s="97"/>
      <c r="P1453" s="97"/>
      <c r="Q1453" s="97"/>
      <c r="R1453" s="135"/>
      <c r="S1453" s="135"/>
      <c r="T1453" s="135"/>
      <c r="U1453" s="135"/>
      <c r="V1453" s="135"/>
      <c r="W1453" s="137"/>
      <c r="X1453" s="135"/>
      <c r="Y1453" s="135"/>
      <c r="Z1453" s="135"/>
      <c r="AA1453" s="135"/>
      <c r="AB1453" s="135"/>
      <c r="AC1453" s="135"/>
    </row>
    <row r="1454">
      <c r="I1454" s="97"/>
      <c r="J1454" s="97"/>
      <c r="K1454" s="97"/>
      <c r="L1454" s="153"/>
      <c r="M1454" s="97"/>
      <c r="N1454" s="97"/>
      <c r="O1454" s="97"/>
      <c r="P1454" s="97"/>
      <c r="Q1454" s="97"/>
      <c r="R1454" s="135"/>
      <c r="S1454" s="135"/>
      <c r="T1454" s="135"/>
      <c r="U1454" s="135"/>
      <c r="V1454" s="135"/>
      <c r="W1454" s="137"/>
      <c r="X1454" s="135"/>
      <c r="Y1454" s="135"/>
      <c r="Z1454" s="135"/>
      <c r="AA1454" s="135"/>
      <c r="AB1454" s="135"/>
      <c r="AC1454" s="135"/>
    </row>
    <row r="1455">
      <c r="I1455" s="97"/>
      <c r="J1455" s="97"/>
      <c r="K1455" s="97"/>
      <c r="L1455" s="153"/>
      <c r="M1455" s="97"/>
      <c r="N1455" s="97"/>
      <c r="O1455" s="97"/>
      <c r="P1455" s="97"/>
      <c r="Q1455" s="97"/>
      <c r="R1455" s="135"/>
      <c r="S1455" s="135"/>
      <c r="T1455" s="135"/>
      <c r="U1455" s="135"/>
      <c r="V1455" s="135"/>
      <c r="W1455" s="137"/>
      <c r="X1455" s="135"/>
      <c r="Y1455" s="135"/>
      <c r="Z1455" s="135"/>
      <c r="AA1455" s="135"/>
      <c r="AB1455" s="135"/>
      <c r="AC1455" s="135"/>
    </row>
    <row r="1456">
      <c r="I1456" s="97"/>
      <c r="J1456" s="97"/>
      <c r="K1456" s="97"/>
      <c r="L1456" s="153"/>
      <c r="M1456" s="97"/>
      <c r="N1456" s="97"/>
      <c r="O1456" s="97"/>
      <c r="P1456" s="97"/>
      <c r="Q1456" s="97"/>
      <c r="R1456" s="135"/>
      <c r="S1456" s="135"/>
      <c r="T1456" s="135"/>
      <c r="U1456" s="135"/>
      <c r="V1456" s="135"/>
      <c r="W1456" s="137"/>
      <c r="X1456" s="135"/>
      <c r="Y1456" s="135"/>
      <c r="Z1456" s="135"/>
      <c r="AA1456" s="135"/>
      <c r="AB1456" s="135"/>
      <c r="AC1456" s="135"/>
    </row>
    <row r="1457">
      <c r="I1457" s="97"/>
      <c r="J1457" s="97"/>
      <c r="K1457" s="97"/>
      <c r="L1457" s="153"/>
      <c r="M1457" s="97"/>
      <c r="N1457" s="97"/>
      <c r="O1457" s="97"/>
      <c r="P1457" s="97"/>
      <c r="Q1457" s="97"/>
      <c r="R1457" s="135"/>
      <c r="S1457" s="135"/>
      <c r="T1457" s="135"/>
      <c r="U1457" s="135"/>
      <c r="V1457" s="135"/>
      <c r="W1457" s="137"/>
      <c r="X1457" s="135"/>
      <c r="Y1457" s="135"/>
      <c r="Z1457" s="135"/>
      <c r="AA1457" s="135"/>
      <c r="AB1457" s="135"/>
      <c r="AC1457" s="135"/>
    </row>
    <row r="1458">
      <c r="I1458" s="97"/>
      <c r="J1458" s="97"/>
      <c r="K1458" s="97"/>
      <c r="L1458" s="153"/>
      <c r="M1458" s="97"/>
      <c r="N1458" s="97"/>
      <c r="O1458" s="97"/>
      <c r="P1458" s="97"/>
      <c r="Q1458" s="97"/>
      <c r="R1458" s="135"/>
      <c r="S1458" s="135"/>
      <c r="T1458" s="135"/>
      <c r="U1458" s="135"/>
      <c r="V1458" s="135"/>
      <c r="W1458" s="137"/>
      <c r="X1458" s="135"/>
      <c r="Y1458" s="135"/>
      <c r="Z1458" s="135"/>
      <c r="AA1458" s="135"/>
      <c r="AB1458" s="135"/>
      <c r="AC1458" s="135"/>
    </row>
    <row r="1459">
      <c r="I1459" s="97"/>
      <c r="J1459" s="97"/>
      <c r="K1459" s="97"/>
      <c r="L1459" s="153"/>
      <c r="M1459" s="97"/>
      <c r="N1459" s="97"/>
      <c r="O1459" s="97"/>
      <c r="P1459" s="97"/>
      <c r="Q1459" s="97"/>
      <c r="R1459" s="135"/>
      <c r="S1459" s="135"/>
      <c r="T1459" s="135"/>
      <c r="U1459" s="135"/>
      <c r="V1459" s="135"/>
      <c r="W1459" s="137"/>
      <c r="X1459" s="135"/>
      <c r="Y1459" s="135"/>
      <c r="Z1459" s="135"/>
      <c r="AA1459" s="135"/>
      <c r="AB1459" s="135"/>
      <c r="AC1459" s="135"/>
    </row>
    <row r="1460">
      <c r="I1460" s="97"/>
      <c r="J1460" s="97"/>
      <c r="K1460" s="97"/>
      <c r="L1460" s="153"/>
      <c r="M1460" s="97"/>
      <c r="N1460" s="97"/>
      <c r="O1460" s="97"/>
      <c r="P1460" s="97"/>
      <c r="Q1460" s="97"/>
      <c r="R1460" s="135"/>
      <c r="S1460" s="135"/>
      <c r="T1460" s="135"/>
      <c r="U1460" s="135"/>
      <c r="V1460" s="135"/>
      <c r="W1460" s="137"/>
      <c r="X1460" s="135"/>
      <c r="Y1460" s="135"/>
      <c r="Z1460" s="135"/>
      <c r="AA1460" s="135"/>
      <c r="AB1460" s="135"/>
      <c r="AC1460" s="135"/>
    </row>
    <row r="1461">
      <c r="I1461" s="97"/>
      <c r="J1461" s="97"/>
      <c r="K1461" s="97"/>
      <c r="L1461" s="153"/>
      <c r="M1461" s="97"/>
      <c r="N1461" s="97"/>
      <c r="O1461" s="97"/>
      <c r="P1461" s="97"/>
      <c r="Q1461" s="97"/>
      <c r="R1461" s="135"/>
      <c r="S1461" s="135"/>
      <c r="T1461" s="135"/>
      <c r="U1461" s="135"/>
      <c r="V1461" s="135"/>
      <c r="W1461" s="137"/>
      <c r="X1461" s="135"/>
      <c r="Y1461" s="135"/>
      <c r="Z1461" s="135"/>
      <c r="AA1461" s="135"/>
      <c r="AB1461" s="135"/>
      <c r="AC1461" s="135"/>
    </row>
    <row r="1462">
      <c r="I1462" s="97"/>
      <c r="J1462" s="97"/>
      <c r="K1462" s="97"/>
      <c r="L1462" s="153"/>
      <c r="M1462" s="97"/>
      <c r="N1462" s="97"/>
      <c r="O1462" s="97"/>
      <c r="P1462" s="97"/>
      <c r="Q1462" s="97"/>
      <c r="R1462" s="135"/>
      <c r="S1462" s="135"/>
      <c r="T1462" s="135"/>
      <c r="U1462" s="135"/>
      <c r="V1462" s="135"/>
      <c r="W1462" s="137"/>
      <c r="X1462" s="135"/>
      <c r="Y1462" s="135"/>
      <c r="Z1462" s="135"/>
      <c r="AA1462" s="135"/>
      <c r="AB1462" s="135"/>
      <c r="AC1462" s="135"/>
    </row>
    <row r="1463">
      <c r="I1463" s="97"/>
      <c r="J1463" s="97"/>
      <c r="K1463" s="97"/>
      <c r="L1463" s="153"/>
      <c r="M1463" s="97"/>
      <c r="N1463" s="97"/>
      <c r="O1463" s="97"/>
      <c r="P1463" s="97"/>
      <c r="Q1463" s="97"/>
      <c r="R1463" s="135"/>
      <c r="S1463" s="135"/>
      <c r="T1463" s="135"/>
      <c r="U1463" s="135"/>
      <c r="V1463" s="135"/>
      <c r="W1463" s="137"/>
      <c r="X1463" s="135"/>
      <c r="Y1463" s="135"/>
      <c r="Z1463" s="135"/>
      <c r="AA1463" s="135"/>
      <c r="AB1463" s="135"/>
      <c r="AC1463" s="135"/>
    </row>
    <row r="1464">
      <c r="I1464" s="97"/>
      <c r="J1464" s="97"/>
      <c r="K1464" s="97"/>
      <c r="L1464" s="153"/>
      <c r="M1464" s="97"/>
      <c r="N1464" s="97"/>
      <c r="O1464" s="97"/>
      <c r="P1464" s="97"/>
      <c r="Q1464" s="97"/>
      <c r="R1464" s="135"/>
      <c r="S1464" s="135"/>
      <c r="T1464" s="135"/>
      <c r="U1464" s="135"/>
      <c r="V1464" s="135"/>
      <c r="W1464" s="137"/>
      <c r="X1464" s="135"/>
      <c r="Y1464" s="135"/>
      <c r="Z1464" s="135"/>
      <c r="AA1464" s="135"/>
      <c r="AB1464" s="135"/>
      <c r="AC1464" s="135"/>
    </row>
    <row r="1465">
      <c r="I1465" s="97"/>
      <c r="J1465" s="97"/>
      <c r="K1465" s="97"/>
      <c r="L1465" s="153"/>
      <c r="M1465" s="97"/>
      <c r="N1465" s="97"/>
      <c r="O1465" s="97"/>
      <c r="P1465" s="97"/>
      <c r="Q1465" s="97"/>
      <c r="R1465" s="135"/>
      <c r="S1465" s="135"/>
      <c r="T1465" s="135"/>
      <c r="U1465" s="135"/>
      <c r="V1465" s="135"/>
      <c r="W1465" s="137"/>
      <c r="X1465" s="135"/>
      <c r="Y1465" s="135"/>
      <c r="Z1465" s="135"/>
      <c r="AA1465" s="135"/>
      <c r="AB1465" s="135"/>
      <c r="AC1465" s="135"/>
    </row>
    <row r="1466">
      <c r="I1466" s="97"/>
      <c r="J1466" s="97"/>
      <c r="K1466" s="97"/>
      <c r="L1466" s="153"/>
      <c r="M1466" s="97"/>
      <c r="N1466" s="97"/>
      <c r="O1466" s="97"/>
      <c r="P1466" s="97"/>
      <c r="Q1466" s="97"/>
      <c r="R1466" s="135"/>
      <c r="S1466" s="135"/>
      <c r="T1466" s="135"/>
      <c r="U1466" s="135"/>
      <c r="V1466" s="135"/>
      <c r="W1466" s="137"/>
      <c r="X1466" s="135"/>
      <c r="Y1466" s="135"/>
      <c r="Z1466" s="135"/>
      <c r="AA1466" s="135"/>
      <c r="AB1466" s="135"/>
      <c r="AC1466" s="135"/>
    </row>
    <row r="1467">
      <c r="I1467" s="97"/>
      <c r="J1467" s="97"/>
      <c r="K1467" s="97"/>
      <c r="L1467" s="153"/>
      <c r="M1467" s="97"/>
      <c r="N1467" s="97"/>
      <c r="O1467" s="97"/>
      <c r="P1467" s="97"/>
      <c r="Q1467" s="97"/>
      <c r="R1467" s="135"/>
      <c r="S1467" s="135"/>
      <c r="T1467" s="135"/>
      <c r="U1467" s="135"/>
      <c r="V1467" s="135"/>
      <c r="W1467" s="137"/>
      <c r="X1467" s="135"/>
      <c r="Y1467" s="135"/>
      <c r="Z1467" s="135"/>
      <c r="AA1467" s="135"/>
      <c r="AB1467" s="135"/>
      <c r="AC1467" s="135"/>
    </row>
    <row r="1468">
      <c r="I1468" s="97"/>
      <c r="J1468" s="97"/>
      <c r="K1468" s="97"/>
      <c r="L1468" s="153"/>
      <c r="M1468" s="97"/>
      <c r="N1468" s="97"/>
      <c r="O1468" s="97"/>
      <c r="P1468" s="97"/>
      <c r="Q1468" s="97"/>
      <c r="R1468" s="135"/>
      <c r="S1468" s="135"/>
      <c r="T1468" s="135"/>
      <c r="U1468" s="135"/>
      <c r="V1468" s="135"/>
      <c r="W1468" s="137"/>
      <c r="X1468" s="135"/>
      <c r="Y1468" s="135"/>
      <c r="Z1468" s="135"/>
      <c r="AA1468" s="135"/>
      <c r="AB1468" s="135"/>
      <c r="AC1468" s="135"/>
    </row>
    <row r="1469">
      <c r="I1469" s="97"/>
      <c r="J1469" s="97"/>
      <c r="K1469" s="97"/>
      <c r="L1469" s="153"/>
      <c r="M1469" s="97"/>
      <c r="N1469" s="97"/>
      <c r="O1469" s="97"/>
      <c r="P1469" s="97"/>
      <c r="Q1469" s="97"/>
      <c r="R1469" s="135"/>
      <c r="S1469" s="135"/>
      <c r="T1469" s="135"/>
      <c r="U1469" s="135"/>
      <c r="V1469" s="135"/>
      <c r="W1469" s="137"/>
      <c r="X1469" s="135"/>
      <c r="Y1469" s="135"/>
      <c r="Z1469" s="135"/>
      <c r="AA1469" s="135"/>
      <c r="AB1469" s="135"/>
      <c r="AC1469" s="135"/>
    </row>
    <row r="1470">
      <c r="I1470" s="97"/>
      <c r="J1470" s="97"/>
      <c r="K1470" s="97"/>
      <c r="L1470" s="153"/>
      <c r="M1470" s="97"/>
      <c r="N1470" s="97"/>
      <c r="O1470" s="97"/>
      <c r="P1470" s="97"/>
      <c r="Q1470" s="97"/>
      <c r="R1470" s="135"/>
      <c r="S1470" s="135"/>
      <c r="T1470" s="135"/>
      <c r="U1470" s="135"/>
      <c r="V1470" s="135"/>
      <c r="W1470" s="137"/>
      <c r="X1470" s="135"/>
      <c r="Y1470" s="135"/>
      <c r="Z1470" s="135"/>
      <c r="AA1470" s="135"/>
      <c r="AB1470" s="135"/>
      <c r="AC1470" s="135"/>
    </row>
    <row r="1471">
      <c r="I1471" s="97"/>
      <c r="J1471" s="97"/>
      <c r="K1471" s="97"/>
      <c r="L1471" s="153"/>
      <c r="M1471" s="97"/>
      <c r="N1471" s="97"/>
      <c r="O1471" s="97"/>
      <c r="P1471" s="97"/>
      <c r="Q1471" s="97"/>
      <c r="R1471" s="135"/>
      <c r="S1471" s="135"/>
      <c r="T1471" s="135"/>
      <c r="U1471" s="135"/>
      <c r="V1471" s="135"/>
      <c r="W1471" s="137"/>
      <c r="X1471" s="135"/>
      <c r="Y1471" s="135"/>
      <c r="Z1471" s="135"/>
      <c r="AA1471" s="135"/>
      <c r="AB1471" s="135"/>
      <c r="AC1471" s="135"/>
    </row>
    <row r="1472">
      <c r="I1472" s="97"/>
      <c r="J1472" s="97"/>
      <c r="K1472" s="97"/>
      <c r="L1472" s="153"/>
      <c r="M1472" s="97"/>
      <c r="N1472" s="97"/>
      <c r="O1472" s="97"/>
      <c r="P1472" s="97"/>
      <c r="Q1472" s="97"/>
      <c r="R1472" s="135"/>
      <c r="S1472" s="135"/>
      <c r="T1472" s="135"/>
      <c r="U1472" s="135"/>
      <c r="V1472" s="135"/>
      <c r="W1472" s="137"/>
      <c r="X1472" s="135"/>
      <c r="Y1472" s="135"/>
      <c r="Z1472" s="135"/>
      <c r="AA1472" s="135"/>
      <c r="AB1472" s="135"/>
      <c r="AC1472" s="135"/>
    </row>
    <row r="1473">
      <c r="I1473" s="97"/>
      <c r="J1473" s="97"/>
      <c r="K1473" s="97"/>
      <c r="L1473" s="153"/>
      <c r="M1473" s="97"/>
      <c r="N1473" s="97"/>
      <c r="O1473" s="97"/>
      <c r="P1473" s="97"/>
      <c r="Q1473" s="97"/>
      <c r="R1473" s="135"/>
      <c r="S1473" s="135"/>
      <c r="T1473" s="135"/>
      <c r="U1473" s="135"/>
      <c r="V1473" s="135"/>
      <c r="W1473" s="137"/>
      <c r="X1473" s="135"/>
      <c r="Y1473" s="135"/>
      <c r="Z1473" s="135"/>
      <c r="AA1473" s="135"/>
      <c r="AB1473" s="135"/>
      <c r="AC1473" s="135"/>
    </row>
    <row r="1474">
      <c r="I1474" s="97"/>
      <c r="J1474" s="97"/>
      <c r="K1474" s="97"/>
      <c r="L1474" s="153"/>
      <c r="M1474" s="97"/>
      <c r="N1474" s="97"/>
      <c r="O1474" s="97"/>
      <c r="P1474" s="97"/>
      <c r="Q1474" s="97"/>
      <c r="R1474" s="135"/>
      <c r="S1474" s="135"/>
      <c r="T1474" s="135"/>
      <c r="U1474" s="135"/>
      <c r="V1474" s="135"/>
      <c r="W1474" s="137"/>
      <c r="X1474" s="135"/>
      <c r="Y1474" s="135"/>
      <c r="Z1474" s="135"/>
      <c r="AA1474" s="135"/>
      <c r="AB1474" s="135"/>
      <c r="AC1474" s="135"/>
    </row>
    <row r="1475">
      <c r="I1475" s="97"/>
      <c r="J1475" s="97"/>
      <c r="K1475" s="97"/>
      <c r="L1475" s="153"/>
      <c r="M1475" s="97"/>
      <c r="N1475" s="97"/>
      <c r="O1475" s="97"/>
      <c r="P1475" s="97"/>
      <c r="Q1475" s="97"/>
      <c r="R1475" s="135"/>
      <c r="S1475" s="135"/>
      <c r="T1475" s="135"/>
      <c r="U1475" s="135"/>
      <c r="V1475" s="135"/>
      <c r="W1475" s="137"/>
      <c r="X1475" s="135"/>
      <c r="Y1475" s="135"/>
      <c r="Z1475" s="135"/>
      <c r="AA1475" s="135"/>
      <c r="AB1475" s="135"/>
      <c r="AC1475" s="135"/>
    </row>
    <row r="1476">
      <c r="I1476" s="97"/>
      <c r="J1476" s="97"/>
      <c r="K1476" s="97"/>
      <c r="L1476" s="153"/>
      <c r="M1476" s="97"/>
      <c r="N1476" s="97"/>
      <c r="O1476" s="97"/>
      <c r="P1476" s="97"/>
      <c r="Q1476" s="97"/>
      <c r="R1476" s="135"/>
      <c r="S1476" s="135"/>
      <c r="T1476" s="135"/>
      <c r="U1476" s="135"/>
      <c r="V1476" s="135"/>
      <c r="W1476" s="137"/>
      <c r="X1476" s="135"/>
      <c r="Y1476" s="135"/>
      <c r="Z1476" s="135"/>
      <c r="AA1476" s="135"/>
      <c r="AB1476" s="135"/>
      <c r="AC1476" s="135"/>
    </row>
    <row r="1477">
      <c r="I1477" s="97"/>
      <c r="J1477" s="97"/>
      <c r="K1477" s="97"/>
      <c r="L1477" s="153"/>
      <c r="M1477" s="97"/>
      <c r="N1477" s="97"/>
      <c r="O1477" s="97"/>
      <c r="P1477" s="97"/>
      <c r="Q1477" s="97"/>
      <c r="R1477" s="135"/>
      <c r="S1477" s="135"/>
      <c r="T1477" s="135"/>
      <c r="U1477" s="135"/>
      <c r="V1477" s="135"/>
      <c r="W1477" s="137"/>
      <c r="X1477" s="135"/>
      <c r="Y1477" s="135"/>
      <c r="Z1477" s="135"/>
      <c r="AA1477" s="135"/>
      <c r="AB1477" s="135"/>
      <c r="AC1477" s="135"/>
    </row>
    <row r="1478">
      <c r="I1478" s="97"/>
      <c r="J1478" s="97"/>
      <c r="K1478" s="97"/>
      <c r="L1478" s="153"/>
      <c r="M1478" s="97"/>
      <c r="N1478" s="97"/>
      <c r="O1478" s="97"/>
      <c r="P1478" s="97"/>
      <c r="Q1478" s="97"/>
      <c r="R1478" s="135"/>
      <c r="S1478" s="135"/>
      <c r="T1478" s="135"/>
      <c r="U1478" s="135"/>
      <c r="V1478" s="135"/>
      <c r="W1478" s="137"/>
      <c r="X1478" s="135"/>
      <c r="Y1478" s="135"/>
      <c r="Z1478" s="135"/>
      <c r="AA1478" s="135"/>
      <c r="AB1478" s="135"/>
      <c r="AC1478" s="135"/>
    </row>
    <row r="1479">
      <c r="I1479" s="97"/>
      <c r="J1479" s="97"/>
      <c r="K1479" s="97"/>
      <c r="L1479" s="153"/>
      <c r="M1479" s="97"/>
      <c r="N1479" s="97"/>
      <c r="O1479" s="97"/>
      <c r="P1479" s="97"/>
      <c r="Q1479" s="97"/>
      <c r="R1479" s="135"/>
      <c r="S1479" s="135"/>
      <c r="T1479" s="135"/>
      <c r="U1479" s="135"/>
      <c r="V1479" s="135"/>
      <c r="W1479" s="137"/>
      <c r="X1479" s="135"/>
      <c r="Y1479" s="135"/>
      <c r="Z1479" s="135"/>
      <c r="AA1479" s="135"/>
      <c r="AB1479" s="135"/>
      <c r="AC1479" s="135"/>
    </row>
    <row r="1480">
      <c r="I1480" s="97"/>
      <c r="J1480" s="97"/>
      <c r="K1480" s="97"/>
      <c r="L1480" s="153"/>
      <c r="M1480" s="97"/>
      <c r="N1480" s="97"/>
      <c r="O1480" s="97"/>
      <c r="P1480" s="97"/>
      <c r="Q1480" s="97"/>
      <c r="R1480" s="135"/>
      <c r="S1480" s="135"/>
      <c r="T1480" s="135"/>
      <c r="U1480" s="135"/>
      <c r="V1480" s="135"/>
      <c r="W1480" s="137"/>
      <c r="X1480" s="135"/>
      <c r="Y1480" s="135"/>
      <c r="Z1480" s="135"/>
      <c r="AA1480" s="135"/>
      <c r="AB1480" s="135"/>
      <c r="AC1480" s="135"/>
    </row>
    <row r="1481">
      <c r="I1481" s="97"/>
      <c r="J1481" s="97"/>
      <c r="K1481" s="97"/>
      <c r="L1481" s="153"/>
      <c r="M1481" s="97"/>
      <c r="N1481" s="97"/>
      <c r="O1481" s="97"/>
      <c r="P1481" s="97"/>
      <c r="Q1481" s="97"/>
      <c r="R1481" s="135"/>
      <c r="S1481" s="135"/>
      <c r="T1481" s="135"/>
      <c r="U1481" s="135"/>
      <c r="V1481" s="135"/>
      <c r="W1481" s="137"/>
      <c r="X1481" s="135"/>
      <c r="Y1481" s="135"/>
      <c r="Z1481" s="135"/>
      <c r="AA1481" s="135"/>
      <c r="AB1481" s="135"/>
      <c r="AC1481" s="135"/>
    </row>
    <row r="1482">
      <c r="I1482" s="97"/>
      <c r="J1482" s="97"/>
      <c r="K1482" s="97"/>
      <c r="L1482" s="153"/>
      <c r="M1482" s="97"/>
      <c r="N1482" s="97"/>
      <c r="O1482" s="97"/>
      <c r="P1482" s="97"/>
      <c r="Q1482" s="97"/>
      <c r="R1482" s="135"/>
      <c r="S1482" s="135"/>
      <c r="T1482" s="135"/>
      <c r="U1482" s="135"/>
      <c r="V1482" s="135"/>
      <c r="W1482" s="137"/>
      <c r="X1482" s="135"/>
      <c r="Y1482" s="135"/>
      <c r="Z1482" s="135"/>
      <c r="AA1482" s="135"/>
      <c r="AB1482" s="135"/>
      <c r="AC1482" s="135"/>
    </row>
    <row r="1483">
      <c r="I1483" s="97"/>
      <c r="J1483" s="97"/>
      <c r="K1483" s="97"/>
      <c r="L1483" s="153"/>
      <c r="M1483" s="97"/>
      <c r="N1483" s="97"/>
      <c r="O1483" s="97"/>
      <c r="P1483" s="97"/>
      <c r="Q1483" s="97"/>
      <c r="R1483" s="135"/>
      <c r="S1483" s="135"/>
      <c r="T1483" s="135"/>
      <c r="U1483" s="135"/>
      <c r="V1483" s="135"/>
      <c r="W1483" s="137"/>
      <c r="X1483" s="135"/>
      <c r="Y1483" s="135"/>
      <c r="Z1483" s="135"/>
      <c r="AA1483" s="135"/>
      <c r="AB1483" s="135"/>
      <c r="AC1483" s="135"/>
    </row>
    <row r="1484">
      <c r="I1484" s="97"/>
      <c r="J1484" s="97"/>
      <c r="K1484" s="97"/>
      <c r="L1484" s="153"/>
      <c r="M1484" s="97"/>
      <c r="N1484" s="97"/>
      <c r="O1484" s="97"/>
      <c r="P1484" s="97"/>
      <c r="Q1484" s="97"/>
      <c r="R1484" s="135"/>
      <c r="S1484" s="135"/>
      <c r="T1484" s="135"/>
      <c r="U1484" s="135"/>
      <c r="V1484" s="135"/>
      <c r="W1484" s="137"/>
      <c r="X1484" s="135"/>
      <c r="Y1484" s="135"/>
      <c r="Z1484" s="135"/>
      <c r="AA1484" s="135"/>
      <c r="AB1484" s="135"/>
      <c r="AC1484" s="135"/>
    </row>
    <row r="1485">
      <c r="I1485" s="97"/>
      <c r="J1485" s="97"/>
      <c r="K1485" s="97"/>
      <c r="L1485" s="153"/>
      <c r="M1485" s="97"/>
      <c r="N1485" s="97"/>
      <c r="O1485" s="97"/>
      <c r="P1485" s="97"/>
      <c r="Q1485" s="97"/>
      <c r="R1485" s="135"/>
      <c r="S1485" s="135"/>
      <c r="T1485" s="135"/>
      <c r="U1485" s="135"/>
      <c r="V1485" s="135"/>
      <c r="W1485" s="137"/>
      <c r="X1485" s="135"/>
      <c r="Y1485" s="135"/>
      <c r="Z1485" s="135"/>
      <c r="AA1485" s="135"/>
      <c r="AB1485" s="135"/>
      <c r="AC1485" s="135"/>
    </row>
    <row r="1486">
      <c r="I1486" s="97"/>
      <c r="J1486" s="97"/>
      <c r="K1486" s="97"/>
      <c r="L1486" s="153"/>
      <c r="M1486" s="97"/>
      <c r="N1486" s="97"/>
      <c r="O1486" s="97"/>
      <c r="P1486" s="97"/>
      <c r="Q1486" s="97"/>
      <c r="R1486" s="135"/>
      <c r="S1486" s="135"/>
      <c r="T1486" s="135"/>
      <c r="U1486" s="135"/>
      <c r="V1486" s="135"/>
      <c r="W1486" s="137"/>
      <c r="X1486" s="135"/>
      <c r="Y1486" s="135"/>
      <c r="Z1486" s="135"/>
      <c r="AA1486" s="135"/>
      <c r="AB1486" s="135"/>
      <c r="AC1486" s="135"/>
    </row>
    <row r="1487">
      <c r="I1487" s="97"/>
      <c r="J1487" s="97"/>
      <c r="K1487" s="97"/>
      <c r="L1487" s="153"/>
      <c r="M1487" s="97"/>
      <c r="N1487" s="97"/>
      <c r="O1487" s="97"/>
      <c r="P1487" s="97"/>
      <c r="Q1487" s="97"/>
      <c r="R1487" s="135"/>
      <c r="S1487" s="135"/>
      <c r="T1487" s="135"/>
      <c r="U1487" s="135"/>
      <c r="V1487" s="135"/>
      <c r="W1487" s="137"/>
      <c r="X1487" s="135"/>
      <c r="Y1487" s="135"/>
      <c r="Z1487" s="135"/>
      <c r="AA1487" s="135"/>
      <c r="AB1487" s="135"/>
      <c r="AC1487" s="135"/>
    </row>
    <row r="1488">
      <c r="I1488" s="97"/>
      <c r="J1488" s="97"/>
      <c r="K1488" s="97"/>
      <c r="L1488" s="153"/>
      <c r="M1488" s="97"/>
      <c r="N1488" s="97"/>
      <c r="O1488" s="97"/>
      <c r="P1488" s="97"/>
      <c r="Q1488" s="97"/>
      <c r="R1488" s="135"/>
      <c r="S1488" s="135"/>
      <c r="T1488" s="135"/>
      <c r="U1488" s="135"/>
      <c r="V1488" s="135"/>
      <c r="W1488" s="137"/>
      <c r="X1488" s="135"/>
      <c r="Y1488" s="135"/>
      <c r="Z1488" s="135"/>
      <c r="AA1488" s="135"/>
      <c r="AB1488" s="135"/>
      <c r="AC1488" s="135"/>
    </row>
    <row r="1489">
      <c r="I1489" s="97"/>
      <c r="J1489" s="97"/>
      <c r="K1489" s="97"/>
      <c r="L1489" s="153"/>
      <c r="M1489" s="97"/>
      <c r="N1489" s="97"/>
      <c r="O1489" s="97"/>
      <c r="P1489" s="97"/>
      <c r="Q1489" s="97"/>
      <c r="R1489" s="135"/>
      <c r="S1489" s="135"/>
      <c r="T1489" s="135"/>
      <c r="U1489" s="135"/>
      <c r="V1489" s="135"/>
      <c r="W1489" s="137"/>
      <c r="X1489" s="135"/>
      <c r="Y1489" s="135"/>
      <c r="Z1489" s="135"/>
      <c r="AA1489" s="135"/>
      <c r="AB1489" s="135"/>
      <c r="AC1489" s="135"/>
    </row>
    <row r="1490">
      <c r="I1490" s="97"/>
      <c r="J1490" s="97"/>
      <c r="K1490" s="97"/>
      <c r="L1490" s="153"/>
      <c r="M1490" s="97"/>
      <c r="N1490" s="97"/>
      <c r="O1490" s="97"/>
      <c r="P1490" s="97"/>
      <c r="Q1490" s="97"/>
      <c r="R1490" s="135"/>
      <c r="S1490" s="135"/>
      <c r="T1490" s="135"/>
      <c r="U1490" s="135"/>
      <c r="V1490" s="135"/>
      <c r="W1490" s="137"/>
      <c r="X1490" s="135"/>
      <c r="Y1490" s="135"/>
      <c r="Z1490" s="135"/>
      <c r="AA1490" s="135"/>
      <c r="AB1490" s="135"/>
      <c r="AC1490" s="135"/>
    </row>
    <row r="1491">
      <c r="I1491" s="97"/>
      <c r="J1491" s="97"/>
      <c r="K1491" s="97"/>
      <c r="L1491" s="153"/>
      <c r="M1491" s="97"/>
      <c r="N1491" s="97"/>
      <c r="O1491" s="97"/>
      <c r="P1491" s="97"/>
      <c r="Q1491" s="97"/>
      <c r="R1491" s="135"/>
      <c r="S1491" s="135"/>
      <c r="T1491" s="135"/>
      <c r="U1491" s="135"/>
      <c r="V1491" s="135"/>
      <c r="W1491" s="137"/>
      <c r="X1491" s="135"/>
      <c r="Y1491" s="135"/>
      <c r="Z1491" s="135"/>
      <c r="AA1491" s="135"/>
      <c r="AB1491" s="135"/>
      <c r="AC1491" s="135"/>
    </row>
    <row r="1492">
      <c r="I1492" s="97"/>
      <c r="J1492" s="97"/>
      <c r="K1492" s="97"/>
      <c r="L1492" s="153"/>
      <c r="M1492" s="97"/>
      <c r="N1492" s="97"/>
      <c r="O1492" s="97"/>
      <c r="P1492" s="97"/>
      <c r="Q1492" s="97"/>
      <c r="R1492" s="135"/>
      <c r="S1492" s="135"/>
      <c r="T1492" s="135"/>
      <c r="U1492" s="135"/>
      <c r="V1492" s="135"/>
      <c r="W1492" s="137"/>
      <c r="X1492" s="135"/>
      <c r="Y1492" s="135"/>
      <c r="Z1492" s="135"/>
      <c r="AA1492" s="135"/>
      <c r="AB1492" s="135"/>
      <c r="AC1492" s="135"/>
    </row>
    <row r="1493">
      <c r="I1493" s="97"/>
      <c r="J1493" s="97"/>
      <c r="K1493" s="97"/>
      <c r="L1493" s="153"/>
      <c r="M1493" s="97"/>
      <c r="N1493" s="97"/>
      <c r="O1493" s="97"/>
      <c r="P1493" s="97"/>
      <c r="Q1493" s="97"/>
      <c r="R1493" s="135"/>
      <c r="S1493" s="135"/>
      <c r="T1493" s="135"/>
      <c r="U1493" s="135"/>
      <c r="V1493" s="135"/>
      <c r="W1493" s="137"/>
      <c r="X1493" s="135"/>
      <c r="Y1493" s="135"/>
      <c r="Z1493" s="135"/>
      <c r="AA1493" s="135"/>
      <c r="AB1493" s="135"/>
      <c r="AC1493" s="135"/>
    </row>
    <row r="1494">
      <c r="I1494" s="97"/>
      <c r="J1494" s="97"/>
      <c r="K1494" s="97"/>
      <c r="L1494" s="153"/>
      <c r="M1494" s="97"/>
      <c r="N1494" s="97"/>
      <c r="O1494" s="97"/>
      <c r="P1494" s="97"/>
      <c r="Q1494" s="97"/>
      <c r="R1494" s="135"/>
      <c r="S1494" s="135"/>
      <c r="T1494" s="135"/>
      <c r="U1494" s="135"/>
      <c r="V1494" s="135"/>
      <c r="W1494" s="137"/>
      <c r="X1494" s="135"/>
      <c r="Y1494" s="135"/>
      <c r="Z1494" s="135"/>
      <c r="AA1494" s="135"/>
      <c r="AB1494" s="135"/>
      <c r="AC1494" s="135"/>
    </row>
    <row r="1495">
      <c r="I1495" s="97"/>
      <c r="J1495" s="97"/>
      <c r="K1495" s="97"/>
      <c r="L1495" s="153"/>
      <c r="M1495" s="97"/>
      <c r="N1495" s="97"/>
      <c r="O1495" s="97"/>
      <c r="P1495" s="97"/>
      <c r="Q1495" s="97"/>
      <c r="R1495" s="135"/>
      <c r="S1495" s="135"/>
      <c r="T1495" s="135"/>
      <c r="U1495" s="135"/>
      <c r="V1495" s="135"/>
      <c r="W1495" s="137"/>
      <c r="X1495" s="135"/>
      <c r="Y1495" s="135"/>
      <c r="Z1495" s="135"/>
      <c r="AA1495" s="135"/>
      <c r="AB1495" s="135"/>
      <c r="AC1495" s="135"/>
    </row>
    <row r="1496">
      <c r="I1496" s="97"/>
      <c r="J1496" s="97"/>
      <c r="K1496" s="97"/>
      <c r="L1496" s="153"/>
      <c r="M1496" s="97"/>
      <c r="N1496" s="97"/>
      <c r="O1496" s="97"/>
      <c r="P1496" s="97"/>
      <c r="Q1496" s="97"/>
      <c r="R1496" s="135"/>
      <c r="S1496" s="135"/>
      <c r="T1496" s="135"/>
      <c r="U1496" s="135"/>
      <c r="V1496" s="135"/>
      <c r="W1496" s="137"/>
      <c r="X1496" s="135"/>
      <c r="Y1496" s="135"/>
      <c r="Z1496" s="135"/>
      <c r="AA1496" s="135"/>
      <c r="AB1496" s="135"/>
      <c r="AC1496" s="135"/>
    </row>
    <row r="1497">
      <c r="I1497" s="97"/>
      <c r="J1497" s="97"/>
      <c r="K1497" s="97"/>
      <c r="L1497" s="153"/>
      <c r="M1497" s="97"/>
      <c r="N1497" s="97"/>
      <c r="O1497" s="97"/>
      <c r="P1497" s="97"/>
      <c r="Q1497" s="97"/>
      <c r="R1497" s="135"/>
      <c r="S1497" s="135"/>
      <c r="T1497" s="135"/>
      <c r="U1497" s="135"/>
      <c r="V1497" s="135"/>
      <c r="W1497" s="137"/>
      <c r="X1497" s="135"/>
      <c r="Y1497" s="135"/>
      <c r="Z1497" s="135"/>
      <c r="AA1497" s="135"/>
      <c r="AB1497" s="135"/>
      <c r="AC1497" s="135"/>
    </row>
    <row r="1498">
      <c r="I1498" s="97"/>
      <c r="J1498" s="97"/>
      <c r="K1498" s="97"/>
      <c r="L1498" s="153"/>
      <c r="M1498" s="97"/>
      <c r="N1498" s="97"/>
      <c r="O1498" s="97"/>
      <c r="P1498" s="97"/>
      <c r="Q1498" s="97"/>
      <c r="R1498" s="135"/>
      <c r="S1498" s="135"/>
      <c r="T1498" s="135"/>
      <c r="U1498" s="135"/>
      <c r="V1498" s="135"/>
      <c r="W1498" s="137"/>
      <c r="X1498" s="135"/>
      <c r="Y1498" s="135"/>
      <c r="Z1498" s="135"/>
      <c r="AA1498" s="135"/>
      <c r="AB1498" s="135"/>
      <c r="AC1498" s="135"/>
    </row>
    <row r="1499">
      <c r="I1499" s="97"/>
      <c r="J1499" s="97"/>
      <c r="K1499" s="97"/>
      <c r="L1499" s="153"/>
      <c r="M1499" s="97"/>
      <c r="N1499" s="97"/>
      <c r="O1499" s="97"/>
      <c r="P1499" s="97"/>
      <c r="Q1499" s="97"/>
      <c r="R1499" s="135"/>
      <c r="S1499" s="135"/>
      <c r="T1499" s="135"/>
      <c r="U1499" s="135"/>
      <c r="V1499" s="135"/>
      <c r="W1499" s="137"/>
      <c r="X1499" s="135"/>
      <c r="Y1499" s="135"/>
      <c r="Z1499" s="135"/>
      <c r="AA1499" s="135"/>
      <c r="AB1499" s="135"/>
      <c r="AC1499" s="135"/>
    </row>
    <row r="1500">
      <c r="I1500" s="97"/>
      <c r="J1500" s="97"/>
      <c r="K1500" s="97"/>
      <c r="L1500" s="153"/>
      <c r="M1500" s="97"/>
      <c r="N1500" s="97"/>
      <c r="O1500" s="97"/>
      <c r="P1500" s="97"/>
      <c r="Q1500" s="97"/>
      <c r="R1500" s="135"/>
      <c r="S1500" s="135"/>
      <c r="T1500" s="135"/>
      <c r="U1500" s="135"/>
      <c r="V1500" s="135"/>
      <c r="W1500" s="137"/>
      <c r="X1500" s="135"/>
      <c r="Y1500" s="135"/>
      <c r="Z1500" s="135"/>
      <c r="AA1500" s="135"/>
      <c r="AB1500" s="135"/>
      <c r="AC1500" s="135"/>
    </row>
    <row r="1501">
      <c r="I1501" s="97"/>
      <c r="J1501" s="97"/>
      <c r="K1501" s="97"/>
      <c r="L1501" s="153"/>
      <c r="M1501" s="97"/>
      <c r="N1501" s="97"/>
      <c r="O1501" s="97"/>
      <c r="P1501" s="97"/>
      <c r="Q1501" s="97"/>
      <c r="R1501" s="135"/>
      <c r="S1501" s="135"/>
      <c r="T1501" s="135"/>
      <c r="U1501" s="135"/>
      <c r="V1501" s="135"/>
      <c r="W1501" s="137"/>
      <c r="X1501" s="135"/>
      <c r="Y1501" s="135"/>
      <c r="Z1501" s="135"/>
      <c r="AA1501" s="135"/>
      <c r="AB1501" s="135"/>
      <c r="AC1501" s="135"/>
    </row>
    <row r="1502">
      <c r="I1502" s="97"/>
      <c r="J1502" s="97"/>
      <c r="K1502" s="97"/>
      <c r="L1502" s="153"/>
      <c r="M1502" s="97"/>
      <c r="N1502" s="97"/>
      <c r="O1502" s="97"/>
      <c r="P1502" s="97"/>
      <c r="Q1502" s="97"/>
      <c r="R1502" s="135"/>
      <c r="S1502" s="135"/>
      <c r="T1502" s="135"/>
      <c r="U1502" s="135"/>
      <c r="V1502" s="135"/>
      <c r="W1502" s="137"/>
      <c r="X1502" s="135"/>
      <c r="Y1502" s="135"/>
      <c r="Z1502" s="135"/>
      <c r="AA1502" s="135"/>
      <c r="AB1502" s="135"/>
      <c r="AC1502" s="135"/>
    </row>
    <row r="1503">
      <c r="I1503" s="97"/>
      <c r="J1503" s="97"/>
      <c r="K1503" s="97"/>
      <c r="L1503" s="153"/>
      <c r="M1503" s="97"/>
      <c r="N1503" s="97"/>
      <c r="O1503" s="97"/>
      <c r="P1503" s="97"/>
      <c r="Q1503" s="97"/>
      <c r="R1503" s="135"/>
      <c r="S1503" s="135"/>
      <c r="T1503" s="135"/>
      <c r="U1503" s="135"/>
      <c r="V1503" s="135"/>
      <c r="W1503" s="137"/>
      <c r="X1503" s="135"/>
      <c r="Y1503" s="135"/>
      <c r="Z1503" s="135"/>
      <c r="AA1503" s="135"/>
      <c r="AB1503" s="135"/>
      <c r="AC1503" s="135"/>
    </row>
    <row r="1504">
      <c r="I1504" s="97"/>
      <c r="J1504" s="97"/>
      <c r="K1504" s="97"/>
      <c r="L1504" s="153"/>
      <c r="M1504" s="97"/>
      <c r="N1504" s="97"/>
      <c r="O1504" s="97"/>
      <c r="P1504" s="97"/>
      <c r="Q1504" s="97"/>
      <c r="R1504" s="135"/>
      <c r="S1504" s="135"/>
      <c r="T1504" s="135"/>
      <c r="U1504" s="135"/>
      <c r="V1504" s="135"/>
      <c r="W1504" s="137"/>
      <c r="X1504" s="135"/>
      <c r="Y1504" s="135"/>
      <c r="Z1504" s="135"/>
      <c r="AA1504" s="135"/>
      <c r="AB1504" s="135"/>
      <c r="AC1504" s="135"/>
    </row>
    <row r="1505">
      <c r="I1505" s="97"/>
      <c r="J1505" s="97"/>
      <c r="K1505" s="97"/>
      <c r="L1505" s="153"/>
      <c r="M1505" s="97"/>
      <c r="N1505" s="97"/>
      <c r="O1505" s="97"/>
      <c r="P1505" s="97"/>
      <c r="Q1505" s="97"/>
      <c r="R1505" s="135"/>
      <c r="S1505" s="135"/>
      <c r="T1505" s="135"/>
      <c r="U1505" s="135"/>
      <c r="V1505" s="135"/>
      <c r="W1505" s="137"/>
      <c r="X1505" s="135"/>
      <c r="Y1505" s="135"/>
      <c r="Z1505" s="135"/>
      <c r="AA1505" s="135"/>
      <c r="AB1505" s="135"/>
      <c r="AC1505" s="135"/>
    </row>
    <row r="1506">
      <c r="I1506" s="97"/>
      <c r="J1506" s="97"/>
      <c r="K1506" s="97"/>
      <c r="L1506" s="153"/>
      <c r="M1506" s="97"/>
      <c r="N1506" s="97"/>
      <c r="O1506" s="97"/>
      <c r="P1506" s="97"/>
      <c r="Q1506" s="97"/>
      <c r="R1506" s="135"/>
      <c r="S1506" s="135"/>
      <c r="T1506" s="135"/>
      <c r="U1506" s="135"/>
      <c r="V1506" s="135"/>
      <c r="W1506" s="137"/>
      <c r="X1506" s="135"/>
      <c r="Y1506" s="135"/>
      <c r="Z1506" s="135"/>
      <c r="AA1506" s="135"/>
      <c r="AB1506" s="135"/>
      <c r="AC1506" s="135"/>
    </row>
    <row r="1507">
      <c r="I1507" s="97"/>
      <c r="J1507" s="97"/>
      <c r="K1507" s="97"/>
      <c r="L1507" s="153"/>
      <c r="M1507" s="97"/>
      <c r="N1507" s="97"/>
      <c r="O1507" s="97"/>
      <c r="P1507" s="97"/>
      <c r="Q1507" s="97"/>
      <c r="R1507" s="135"/>
      <c r="S1507" s="135"/>
      <c r="T1507" s="135"/>
      <c r="U1507" s="135"/>
      <c r="V1507" s="135"/>
      <c r="W1507" s="137"/>
      <c r="X1507" s="135"/>
      <c r="Y1507" s="135"/>
      <c r="Z1507" s="135"/>
      <c r="AA1507" s="135"/>
      <c r="AB1507" s="135"/>
      <c r="AC1507" s="135"/>
    </row>
    <row r="1508">
      <c r="I1508" s="97"/>
      <c r="J1508" s="97"/>
      <c r="K1508" s="97"/>
      <c r="L1508" s="153"/>
      <c r="M1508" s="97"/>
      <c r="N1508" s="97"/>
      <c r="O1508" s="97"/>
      <c r="P1508" s="97"/>
      <c r="Q1508" s="97"/>
      <c r="R1508" s="135"/>
      <c r="S1508" s="135"/>
      <c r="T1508" s="135"/>
      <c r="U1508" s="135"/>
      <c r="V1508" s="135"/>
      <c r="W1508" s="137"/>
      <c r="X1508" s="135"/>
      <c r="Y1508" s="135"/>
      <c r="Z1508" s="135"/>
      <c r="AA1508" s="135"/>
      <c r="AB1508" s="135"/>
      <c r="AC1508" s="135"/>
    </row>
    <row r="1509">
      <c r="I1509" s="97"/>
      <c r="J1509" s="97"/>
      <c r="K1509" s="97"/>
      <c r="L1509" s="153"/>
      <c r="M1509" s="97"/>
      <c r="N1509" s="97"/>
      <c r="O1509" s="97"/>
      <c r="P1509" s="97"/>
      <c r="Q1509" s="97"/>
      <c r="R1509" s="135"/>
      <c r="S1509" s="135"/>
      <c r="T1509" s="135"/>
      <c r="U1509" s="135"/>
      <c r="V1509" s="135"/>
      <c r="W1509" s="137"/>
      <c r="X1509" s="135"/>
      <c r="Y1509" s="135"/>
      <c r="Z1509" s="135"/>
      <c r="AA1509" s="135"/>
      <c r="AB1509" s="135"/>
      <c r="AC1509" s="135"/>
    </row>
    <row r="1510">
      <c r="I1510" s="97"/>
      <c r="J1510" s="97"/>
      <c r="K1510" s="97"/>
      <c r="L1510" s="153"/>
      <c r="M1510" s="97"/>
      <c r="N1510" s="97"/>
      <c r="O1510" s="97"/>
      <c r="P1510" s="97"/>
      <c r="Q1510" s="97"/>
      <c r="R1510" s="135"/>
      <c r="S1510" s="135"/>
      <c r="T1510" s="135"/>
      <c r="U1510" s="135"/>
      <c r="V1510" s="135"/>
      <c r="W1510" s="137"/>
      <c r="X1510" s="135"/>
      <c r="Y1510" s="135"/>
      <c r="Z1510" s="135"/>
      <c r="AA1510" s="135"/>
      <c r="AB1510" s="135"/>
      <c r="AC1510" s="135"/>
    </row>
    <row r="1511">
      <c r="I1511" s="97"/>
      <c r="J1511" s="97"/>
      <c r="K1511" s="97"/>
      <c r="L1511" s="153"/>
      <c r="M1511" s="97"/>
      <c r="N1511" s="97"/>
      <c r="O1511" s="97"/>
      <c r="P1511" s="97"/>
      <c r="Q1511" s="97"/>
      <c r="R1511" s="135"/>
      <c r="S1511" s="135"/>
      <c r="T1511" s="135"/>
      <c r="U1511" s="135"/>
      <c r="V1511" s="135"/>
      <c r="W1511" s="137"/>
      <c r="X1511" s="135"/>
      <c r="Y1511" s="135"/>
      <c r="Z1511" s="135"/>
      <c r="AA1511" s="135"/>
      <c r="AB1511" s="135"/>
      <c r="AC1511" s="135"/>
    </row>
    <row r="1512">
      <c r="I1512" s="97"/>
      <c r="J1512" s="97"/>
      <c r="K1512" s="97"/>
      <c r="L1512" s="153"/>
      <c r="M1512" s="97"/>
      <c r="N1512" s="97"/>
      <c r="O1512" s="97"/>
      <c r="P1512" s="97"/>
      <c r="Q1512" s="97"/>
      <c r="R1512" s="135"/>
      <c r="S1512" s="135"/>
      <c r="T1512" s="135"/>
      <c r="U1512" s="135"/>
      <c r="V1512" s="135"/>
      <c r="W1512" s="137"/>
      <c r="X1512" s="135"/>
      <c r="Y1512" s="135"/>
      <c r="Z1512" s="135"/>
      <c r="AA1512" s="135"/>
      <c r="AB1512" s="135"/>
      <c r="AC1512" s="135"/>
    </row>
    <row r="1513">
      <c r="I1513" s="97"/>
      <c r="J1513" s="97"/>
      <c r="K1513" s="97"/>
      <c r="L1513" s="153"/>
      <c r="M1513" s="97"/>
      <c r="N1513" s="97"/>
      <c r="O1513" s="97"/>
      <c r="P1513" s="97"/>
      <c r="Q1513" s="97"/>
      <c r="R1513" s="135"/>
      <c r="S1513" s="135"/>
      <c r="T1513" s="135"/>
      <c r="U1513" s="135"/>
      <c r="V1513" s="135"/>
      <c r="W1513" s="137"/>
      <c r="X1513" s="135"/>
      <c r="Y1513" s="135"/>
      <c r="Z1513" s="135"/>
      <c r="AA1513" s="135"/>
      <c r="AB1513" s="135"/>
      <c r="AC1513" s="135"/>
    </row>
    <row r="1514">
      <c r="I1514" s="97"/>
      <c r="J1514" s="97"/>
      <c r="K1514" s="97"/>
      <c r="L1514" s="153"/>
      <c r="M1514" s="97"/>
      <c r="N1514" s="97"/>
      <c r="O1514" s="97"/>
      <c r="P1514" s="97"/>
      <c r="Q1514" s="97"/>
      <c r="R1514" s="135"/>
      <c r="S1514" s="135"/>
      <c r="T1514" s="135"/>
      <c r="U1514" s="135"/>
      <c r="V1514" s="135"/>
      <c r="W1514" s="137"/>
      <c r="X1514" s="135"/>
      <c r="Y1514" s="135"/>
      <c r="Z1514" s="135"/>
      <c r="AA1514" s="135"/>
      <c r="AB1514" s="135"/>
      <c r="AC1514" s="135"/>
    </row>
    <row r="1515">
      <c r="I1515" s="97"/>
      <c r="J1515" s="97"/>
      <c r="K1515" s="97"/>
      <c r="L1515" s="153"/>
      <c r="M1515" s="97"/>
      <c r="N1515" s="97"/>
      <c r="O1515" s="97"/>
      <c r="P1515" s="97"/>
      <c r="Q1515" s="97"/>
      <c r="R1515" s="135"/>
      <c r="S1515" s="135"/>
      <c r="T1515" s="135"/>
      <c r="U1515" s="135"/>
      <c r="V1515" s="135"/>
      <c r="W1515" s="137"/>
      <c r="X1515" s="135"/>
      <c r="Y1515" s="135"/>
      <c r="Z1515" s="135"/>
      <c r="AA1515" s="135"/>
      <c r="AB1515" s="135"/>
      <c r="AC1515" s="135"/>
    </row>
    <row r="1516">
      <c r="I1516" s="97"/>
      <c r="J1516" s="97"/>
      <c r="K1516" s="97"/>
      <c r="L1516" s="153"/>
      <c r="M1516" s="97"/>
      <c r="N1516" s="97"/>
      <c r="O1516" s="97"/>
      <c r="P1516" s="97"/>
      <c r="Q1516" s="97"/>
      <c r="R1516" s="135"/>
      <c r="S1516" s="135"/>
      <c r="T1516" s="135"/>
      <c r="U1516" s="135"/>
      <c r="V1516" s="135"/>
      <c r="W1516" s="137"/>
      <c r="X1516" s="135"/>
      <c r="Y1516" s="135"/>
      <c r="Z1516" s="135"/>
      <c r="AA1516" s="135"/>
      <c r="AB1516" s="135"/>
      <c r="AC1516" s="135"/>
    </row>
    <row r="1517">
      <c r="I1517" s="97"/>
      <c r="J1517" s="97"/>
      <c r="K1517" s="97"/>
      <c r="L1517" s="153"/>
      <c r="M1517" s="97"/>
      <c r="N1517" s="97"/>
      <c r="O1517" s="97"/>
      <c r="P1517" s="97"/>
      <c r="Q1517" s="97"/>
      <c r="R1517" s="135"/>
      <c r="S1517" s="135"/>
      <c r="T1517" s="135"/>
      <c r="U1517" s="135"/>
      <c r="V1517" s="135"/>
      <c r="W1517" s="137"/>
      <c r="X1517" s="135"/>
      <c r="Y1517" s="135"/>
      <c r="Z1517" s="135"/>
      <c r="AA1517" s="135"/>
      <c r="AB1517" s="135"/>
      <c r="AC1517" s="135"/>
    </row>
    <row r="1518">
      <c r="I1518" s="97"/>
      <c r="J1518" s="97"/>
      <c r="K1518" s="97"/>
      <c r="L1518" s="153"/>
      <c r="M1518" s="97"/>
      <c r="N1518" s="97"/>
      <c r="O1518" s="97"/>
      <c r="P1518" s="97"/>
      <c r="Q1518" s="97"/>
      <c r="R1518" s="135"/>
      <c r="S1518" s="135"/>
      <c r="T1518" s="135"/>
      <c r="U1518" s="135"/>
      <c r="V1518" s="135"/>
      <c r="W1518" s="137"/>
      <c r="X1518" s="135"/>
      <c r="Y1518" s="135"/>
      <c r="Z1518" s="135"/>
      <c r="AA1518" s="135"/>
      <c r="AB1518" s="135"/>
      <c r="AC1518" s="135"/>
    </row>
    <row r="1519">
      <c r="I1519" s="97"/>
      <c r="J1519" s="97"/>
      <c r="K1519" s="97"/>
      <c r="L1519" s="153"/>
      <c r="M1519" s="97"/>
      <c r="N1519" s="97"/>
      <c r="O1519" s="97"/>
      <c r="P1519" s="97"/>
      <c r="Q1519" s="97"/>
      <c r="R1519" s="135"/>
      <c r="S1519" s="135"/>
      <c r="T1519" s="135"/>
      <c r="U1519" s="135"/>
      <c r="V1519" s="135"/>
      <c r="W1519" s="137"/>
      <c r="X1519" s="135"/>
      <c r="Y1519" s="135"/>
      <c r="Z1519" s="135"/>
      <c r="AA1519" s="135"/>
      <c r="AB1519" s="135"/>
      <c r="AC1519" s="135"/>
    </row>
    <row r="1520">
      <c r="I1520" s="97"/>
      <c r="J1520" s="97"/>
      <c r="K1520" s="97"/>
      <c r="L1520" s="153"/>
      <c r="M1520" s="97"/>
      <c r="N1520" s="97"/>
      <c r="O1520" s="97"/>
      <c r="P1520" s="97"/>
      <c r="Q1520" s="97"/>
      <c r="R1520" s="135"/>
      <c r="S1520" s="135"/>
      <c r="T1520" s="135"/>
      <c r="U1520" s="135"/>
      <c r="V1520" s="135"/>
      <c r="W1520" s="137"/>
      <c r="X1520" s="135"/>
      <c r="Y1520" s="135"/>
      <c r="Z1520" s="135"/>
      <c r="AA1520" s="135"/>
      <c r="AB1520" s="135"/>
      <c r="AC1520" s="135"/>
    </row>
    <row r="1521">
      <c r="I1521" s="97"/>
      <c r="J1521" s="97"/>
      <c r="K1521" s="97"/>
      <c r="L1521" s="153"/>
      <c r="M1521" s="97"/>
      <c r="N1521" s="97"/>
      <c r="O1521" s="97"/>
      <c r="P1521" s="97"/>
      <c r="Q1521" s="97"/>
      <c r="R1521" s="135"/>
      <c r="S1521" s="135"/>
      <c r="T1521" s="135"/>
      <c r="U1521" s="135"/>
      <c r="V1521" s="135"/>
      <c r="W1521" s="137"/>
      <c r="X1521" s="135"/>
      <c r="Y1521" s="135"/>
      <c r="Z1521" s="135"/>
      <c r="AA1521" s="135"/>
      <c r="AB1521" s="135"/>
      <c r="AC1521" s="135"/>
    </row>
    <row r="1522">
      <c r="I1522" s="97"/>
      <c r="J1522" s="97"/>
      <c r="K1522" s="97"/>
      <c r="L1522" s="153"/>
      <c r="M1522" s="97"/>
      <c r="N1522" s="97"/>
      <c r="O1522" s="97"/>
      <c r="P1522" s="97"/>
      <c r="Q1522" s="97"/>
      <c r="R1522" s="135"/>
      <c r="S1522" s="135"/>
      <c r="T1522" s="135"/>
      <c r="U1522" s="135"/>
      <c r="V1522" s="135"/>
      <c r="W1522" s="137"/>
      <c r="X1522" s="135"/>
      <c r="Y1522" s="135"/>
      <c r="Z1522" s="135"/>
      <c r="AA1522" s="135"/>
      <c r="AB1522" s="135"/>
      <c r="AC1522" s="135"/>
    </row>
    <row r="1523">
      <c r="I1523" s="97"/>
      <c r="J1523" s="97"/>
      <c r="K1523" s="97"/>
      <c r="L1523" s="153"/>
      <c r="M1523" s="97"/>
      <c r="N1523" s="97"/>
      <c r="O1523" s="97"/>
      <c r="P1523" s="97"/>
      <c r="Q1523" s="97"/>
      <c r="R1523" s="135"/>
      <c r="S1523" s="135"/>
      <c r="T1523" s="135"/>
      <c r="U1523" s="135"/>
      <c r="V1523" s="135"/>
      <c r="W1523" s="137"/>
      <c r="X1523" s="135"/>
      <c r="Y1523" s="135"/>
      <c r="Z1523" s="135"/>
      <c r="AA1523" s="135"/>
      <c r="AB1523" s="135"/>
      <c r="AC1523" s="135"/>
    </row>
    <row r="1524">
      <c r="I1524" s="97"/>
      <c r="J1524" s="97"/>
      <c r="K1524" s="97"/>
      <c r="L1524" s="153"/>
      <c r="M1524" s="97"/>
      <c r="N1524" s="97"/>
      <c r="O1524" s="97"/>
      <c r="P1524" s="97"/>
      <c r="Q1524" s="97"/>
      <c r="R1524" s="135"/>
      <c r="S1524" s="135"/>
      <c r="T1524" s="135"/>
      <c r="U1524" s="135"/>
      <c r="V1524" s="135"/>
      <c r="W1524" s="137"/>
      <c r="X1524" s="135"/>
      <c r="Y1524" s="135"/>
      <c r="Z1524" s="135"/>
      <c r="AA1524" s="135"/>
      <c r="AB1524" s="135"/>
      <c r="AC1524" s="135"/>
    </row>
    <row r="1525">
      <c r="I1525" s="97"/>
      <c r="J1525" s="97"/>
      <c r="K1525" s="97"/>
      <c r="L1525" s="153"/>
      <c r="M1525" s="97"/>
      <c r="N1525" s="97"/>
      <c r="O1525" s="97"/>
      <c r="P1525" s="97"/>
      <c r="Q1525" s="97"/>
      <c r="R1525" s="135"/>
      <c r="S1525" s="135"/>
      <c r="T1525" s="135"/>
      <c r="U1525" s="135"/>
      <c r="V1525" s="135"/>
      <c r="W1525" s="137"/>
      <c r="X1525" s="135"/>
      <c r="Y1525" s="135"/>
      <c r="Z1525" s="135"/>
      <c r="AA1525" s="135"/>
      <c r="AB1525" s="135"/>
      <c r="AC1525" s="135"/>
    </row>
    <row r="1526">
      <c r="I1526" s="97"/>
      <c r="J1526" s="97"/>
      <c r="K1526" s="97"/>
      <c r="L1526" s="153"/>
      <c r="M1526" s="97"/>
      <c r="N1526" s="97"/>
      <c r="O1526" s="97"/>
      <c r="P1526" s="97"/>
      <c r="Q1526" s="97"/>
      <c r="R1526" s="135"/>
      <c r="S1526" s="135"/>
      <c r="T1526" s="135"/>
      <c r="U1526" s="135"/>
      <c r="V1526" s="135"/>
      <c r="W1526" s="137"/>
      <c r="X1526" s="135"/>
      <c r="Y1526" s="135"/>
      <c r="Z1526" s="135"/>
      <c r="AA1526" s="135"/>
      <c r="AB1526" s="135"/>
      <c r="AC1526" s="135"/>
    </row>
    <row r="1527">
      <c r="I1527" s="97"/>
      <c r="J1527" s="97"/>
      <c r="K1527" s="97"/>
      <c r="L1527" s="153"/>
      <c r="M1527" s="97"/>
      <c r="N1527" s="97"/>
      <c r="O1527" s="97"/>
      <c r="P1527" s="97"/>
      <c r="Q1527" s="97"/>
      <c r="R1527" s="135"/>
      <c r="S1527" s="135"/>
      <c r="T1527" s="135"/>
      <c r="U1527" s="135"/>
      <c r="V1527" s="135"/>
      <c r="W1527" s="137"/>
      <c r="X1527" s="135"/>
      <c r="Y1527" s="135"/>
      <c r="Z1527" s="135"/>
      <c r="AA1527" s="135"/>
      <c r="AB1527" s="135"/>
      <c r="AC1527" s="135"/>
    </row>
    <row r="1528">
      <c r="I1528" s="97"/>
      <c r="J1528" s="97"/>
      <c r="K1528" s="97"/>
      <c r="L1528" s="153"/>
      <c r="M1528" s="97"/>
      <c r="N1528" s="97"/>
      <c r="O1528" s="97"/>
      <c r="P1528" s="97"/>
      <c r="Q1528" s="97"/>
      <c r="R1528" s="135"/>
      <c r="S1528" s="135"/>
      <c r="T1528" s="135"/>
      <c r="U1528" s="135"/>
      <c r="V1528" s="135"/>
      <c r="W1528" s="137"/>
      <c r="X1528" s="135"/>
      <c r="Y1528" s="135"/>
      <c r="Z1528" s="135"/>
      <c r="AA1528" s="135"/>
      <c r="AB1528" s="135"/>
      <c r="AC1528" s="135"/>
    </row>
    <row r="1529">
      <c r="I1529" s="97"/>
      <c r="J1529" s="97"/>
      <c r="K1529" s="97"/>
      <c r="L1529" s="153"/>
      <c r="M1529" s="97"/>
      <c r="N1529" s="97"/>
      <c r="O1529" s="97"/>
      <c r="P1529" s="97"/>
      <c r="Q1529" s="97"/>
      <c r="R1529" s="135"/>
      <c r="S1529" s="135"/>
      <c r="T1529" s="135"/>
      <c r="U1529" s="135"/>
      <c r="V1529" s="135"/>
      <c r="W1529" s="137"/>
      <c r="X1529" s="135"/>
      <c r="Y1529" s="135"/>
      <c r="Z1529" s="135"/>
      <c r="AA1529" s="135"/>
      <c r="AB1529" s="135"/>
      <c r="AC1529" s="135"/>
    </row>
    <row r="1530">
      <c r="I1530" s="97"/>
      <c r="J1530" s="97"/>
      <c r="K1530" s="97"/>
      <c r="L1530" s="153"/>
      <c r="M1530" s="97"/>
      <c r="N1530" s="97"/>
      <c r="O1530" s="97"/>
      <c r="P1530" s="97"/>
      <c r="Q1530" s="97"/>
      <c r="R1530" s="135"/>
      <c r="S1530" s="135"/>
      <c r="T1530" s="135"/>
      <c r="U1530" s="135"/>
      <c r="V1530" s="135"/>
      <c r="W1530" s="137"/>
      <c r="X1530" s="135"/>
      <c r="Y1530" s="135"/>
      <c r="Z1530" s="135"/>
      <c r="AA1530" s="135"/>
      <c r="AB1530" s="135"/>
      <c r="AC1530" s="135"/>
    </row>
    <row r="1531">
      <c r="I1531" s="97"/>
      <c r="J1531" s="97"/>
      <c r="K1531" s="97"/>
      <c r="L1531" s="153"/>
      <c r="M1531" s="97"/>
      <c r="N1531" s="97"/>
      <c r="O1531" s="97"/>
      <c r="P1531" s="97"/>
      <c r="Q1531" s="97"/>
      <c r="R1531" s="135"/>
      <c r="S1531" s="135"/>
      <c r="T1531" s="135"/>
      <c r="U1531" s="135"/>
      <c r="V1531" s="135"/>
      <c r="W1531" s="137"/>
      <c r="X1531" s="135"/>
      <c r="Y1531" s="135"/>
      <c r="Z1531" s="135"/>
      <c r="AA1531" s="135"/>
      <c r="AB1531" s="135"/>
      <c r="AC1531" s="135"/>
    </row>
    <row r="1532">
      <c r="I1532" s="97"/>
      <c r="J1532" s="97"/>
      <c r="K1532" s="97"/>
      <c r="L1532" s="153"/>
      <c r="M1532" s="97"/>
      <c r="N1532" s="97"/>
      <c r="O1532" s="97"/>
      <c r="P1532" s="97"/>
      <c r="Q1532" s="97"/>
      <c r="R1532" s="135"/>
      <c r="S1532" s="135"/>
      <c r="T1532" s="135"/>
      <c r="U1532" s="135"/>
      <c r="V1532" s="135"/>
      <c r="W1532" s="137"/>
      <c r="X1532" s="135"/>
      <c r="Y1532" s="135"/>
      <c r="Z1532" s="135"/>
      <c r="AA1532" s="135"/>
      <c r="AB1532" s="135"/>
      <c r="AC1532" s="135"/>
    </row>
    <row r="1533">
      <c r="I1533" s="97"/>
      <c r="J1533" s="97"/>
      <c r="K1533" s="97"/>
      <c r="L1533" s="153"/>
      <c r="M1533" s="97"/>
      <c r="N1533" s="97"/>
      <c r="O1533" s="97"/>
      <c r="P1533" s="97"/>
      <c r="Q1533" s="97"/>
      <c r="R1533" s="135"/>
      <c r="S1533" s="135"/>
      <c r="T1533" s="135"/>
      <c r="U1533" s="135"/>
      <c r="V1533" s="135"/>
      <c r="W1533" s="137"/>
      <c r="X1533" s="135"/>
      <c r="Y1533" s="135"/>
      <c r="Z1533" s="135"/>
      <c r="AA1533" s="135"/>
      <c r="AB1533" s="135"/>
      <c r="AC1533" s="135"/>
    </row>
    <row r="1534">
      <c r="I1534" s="97"/>
      <c r="J1534" s="97"/>
      <c r="K1534" s="97"/>
      <c r="L1534" s="153"/>
      <c r="M1534" s="97"/>
      <c r="N1534" s="97"/>
      <c r="O1534" s="97"/>
      <c r="P1534" s="97"/>
      <c r="Q1534" s="97"/>
      <c r="R1534" s="135"/>
      <c r="S1534" s="135"/>
      <c r="T1534" s="135"/>
      <c r="U1534" s="135"/>
      <c r="V1534" s="135"/>
      <c r="W1534" s="137"/>
      <c r="X1534" s="135"/>
      <c r="Y1534" s="135"/>
      <c r="Z1534" s="135"/>
      <c r="AA1534" s="135"/>
      <c r="AB1534" s="135"/>
      <c r="AC1534" s="135"/>
    </row>
    <row r="1535">
      <c r="I1535" s="97"/>
      <c r="J1535" s="97"/>
      <c r="K1535" s="97"/>
      <c r="L1535" s="153"/>
      <c r="M1535" s="97"/>
      <c r="N1535" s="97"/>
      <c r="O1535" s="97"/>
      <c r="P1535" s="97"/>
      <c r="Q1535" s="97"/>
      <c r="R1535" s="135"/>
      <c r="S1535" s="135"/>
      <c r="T1535" s="135"/>
      <c r="U1535" s="135"/>
      <c r="V1535" s="135"/>
      <c r="W1535" s="137"/>
      <c r="X1535" s="135"/>
      <c r="Y1535" s="135"/>
      <c r="Z1535" s="135"/>
      <c r="AA1535" s="135"/>
      <c r="AB1535" s="135"/>
      <c r="AC1535" s="135"/>
    </row>
    <row r="1536">
      <c r="I1536" s="97"/>
      <c r="J1536" s="97"/>
      <c r="K1536" s="97"/>
      <c r="L1536" s="153"/>
      <c r="M1536" s="97"/>
      <c r="N1536" s="97"/>
      <c r="O1536" s="97"/>
      <c r="P1536" s="97"/>
      <c r="Q1536" s="97"/>
      <c r="R1536" s="135"/>
      <c r="S1536" s="135"/>
      <c r="T1536" s="135"/>
      <c r="U1536" s="135"/>
      <c r="V1536" s="135"/>
      <c r="W1536" s="137"/>
      <c r="X1536" s="135"/>
      <c r="Y1536" s="135"/>
      <c r="Z1536" s="135"/>
      <c r="AA1536" s="135"/>
      <c r="AB1536" s="135"/>
      <c r="AC1536" s="135"/>
    </row>
    <row r="1537">
      <c r="I1537" s="97"/>
      <c r="J1537" s="97"/>
      <c r="K1537" s="97"/>
      <c r="L1537" s="153"/>
      <c r="M1537" s="97"/>
      <c r="N1537" s="97"/>
      <c r="O1537" s="97"/>
      <c r="P1537" s="97"/>
      <c r="Q1537" s="97"/>
      <c r="R1537" s="135"/>
      <c r="S1537" s="135"/>
      <c r="T1537" s="135"/>
      <c r="U1537" s="135"/>
      <c r="V1537" s="135"/>
      <c r="W1537" s="137"/>
      <c r="X1537" s="135"/>
      <c r="Y1537" s="135"/>
      <c r="Z1537" s="135"/>
      <c r="AA1537" s="135"/>
      <c r="AB1537" s="135"/>
      <c r="AC1537" s="135"/>
    </row>
    <row r="1538">
      <c r="I1538" s="97"/>
      <c r="J1538" s="97"/>
      <c r="K1538" s="97"/>
      <c r="L1538" s="153"/>
      <c r="M1538" s="97"/>
      <c r="N1538" s="97"/>
      <c r="O1538" s="97"/>
      <c r="P1538" s="97"/>
      <c r="Q1538" s="97"/>
      <c r="R1538" s="135"/>
      <c r="S1538" s="135"/>
      <c r="T1538" s="135"/>
      <c r="U1538" s="135"/>
      <c r="V1538" s="135"/>
      <c r="W1538" s="137"/>
      <c r="X1538" s="135"/>
      <c r="Y1538" s="135"/>
      <c r="Z1538" s="135"/>
      <c r="AA1538" s="135"/>
      <c r="AB1538" s="135"/>
      <c r="AC1538" s="135"/>
    </row>
    <row r="1539">
      <c r="I1539" s="97"/>
      <c r="J1539" s="97"/>
      <c r="K1539" s="97"/>
      <c r="L1539" s="153"/>
      <c r="M1539" s="97"/>
      <c r="N1539" s="97"/>
      <c r="O1539" s="97"/>
      <c r="P1539" s="97"/>
      <c r="Q1539" s="97"/>
      <c r="R1539" s="135"/>
      <c r="S1539" s="135"/>
      <c r="T1539" s="135"/>
      <c r="U1539" s="135"/>
      <c r="V1539" s="135"/>
      <c r="W1539" s="137"/>
      <c r="X1539" s="135"/>
      <c r="Y1539" s="135"/>
      <c r="Z1539" s="135"/>
      <c r="AA1539" s="135"/>
      <c r="AB1539" s="135"/>
      <c r="AC1539" s="135"/>
    </row>
    <row r="1540">
      <c r="I1540" s="97"/>
      <c r="J1540" s="97"/>
      <c r="K1540" s="97"/>
      <c r="L1540" s="153"/>
      <c r="M1540" s="97"/>
      <c r="N1540" s="97"/>
      <c r="O1540" s="97"/>
      <c r="P1540" s="97"/>
      <c r="Q1540" s="97"/>
      <c r="R1540" s="135"/>
      <c r="S1540" s="135"/>
      <c r="T1540" s="135"/>
      <c r="U1540" s="135"/>
      <c r="V1540" s="135"/>
      <c r="W1540" s="137"/>
      <c r="X1540" s="135"/>
      <c r="Y1540" s="135"/>
      <c r="Z1540" s="135"/>
      <c r="AA1540" s="135"/>
      <c r="AB1540" s="135"/>
      <c r="AC1540" s="135"/>
    </row>
    <row r="1541">
      <c r="I1541" s="97"/>
      <c r="J1541" s="97"/>
      <c r="K1541" s="97"/>
      <c r="L1541" s="153"/>
      <c r="M1541" s="97"/>
      <c r="N1541" s="97"/>
      <c r="O1541" s="97"/>
      <c r="P1541" s="97"/>
      <c r="Q1541" s="97"/>
      <c r="R1541" s="135"/>
      <c r="S1541" s="135"/>
      <c r="T1541" s="135"/>
      <c r="U1541" s="135"/>
      <c r="V1541" s="135"/>
      <c r="W1541" s="137"/>
      <c r="X1541" s="135"/>
      <c r="Y1541" s="135"/>
      <c r="Z1541" s="135"/>
      <c r="AA1541" s="135"/>
      <c r="AB1541" s="135"/>
      <c r="AC1541" s="135"/>
    </row>
    <row r="1542">
      <c r="I1542" s="97"/>
      <c r="J1542" s="97"/>
      <c r="K1542" s="97"/>
      <c r="L1542" s="153"/>
      <c r="M1542" s="97"/>
      <c r="N1542" s="97"/>
      <c r="O1542" s="97"/>
      <c r="P1542" s="97"/>
      <c r="Q1542" s="97"/>
      <c r="R1542" s="135"/>
      <c r="S1542" s="135"/>
      <c r="T1542" s="135"/>
      <c r="U1542" s="135"/>
      <c r="V1542" s="135"/>
      <c r="W1542" s="137"/>
      <c r="X1542" s="135"/>
      <c r="Y1542" s="135"/>
      <c r="Z1542" s="135"/>
      <c r="AA1542" s="135"/>
      <c r="AB1542" s="135"/>
      <c r="AC1542" s="135"/>
    </row>
    <row r="1543">
      <c r="I1543" s="97"/>
      <c r="J1543" s="97"/>
      <c r="K1543" s="97"/>
      <c r="L1543" s="153"/>
      <c r="M1543" s="97"/>
      <c r="N1543" s="97"/>
      <c r="O1543" s="97"/>
      <c r="P1543" s="97"/>
      <c r="Q1543" s="97"/>
      <c r="R1543" s="135"/>
      <c r="S1543" s="135"/>
      <c r="T1543" s="135"/>
      <c r="U1543" s="135"/>
      <c r="V1543" s="135"/>
      <c r="W1543" s="137"/>
      <c r="X1543" s="135"/>
      <c r="Y1543" s="135"/>
      <c r="Z1543" s="135"/>
      <c r="AA1543" s="135"/>
      <c r="AB1543" s="135"/>
      <c r="AC1543" s="135"/>
    </row>
    <row r="1544">
      <c r="I1544" s="97"/>
      <c r="J1544" s="97"/>
      <c r="K1544" s="97"/>
      <c r="L1544" s="153"/>
      <c r="M1544" s="97"/>
      <c r="N1544" s="97"/>
      <c r="O1544" s="97"/>
      <c r="P1544" s="97"/>
      <c r="Q1544" s="97"/>
      <c r="R1544" s="135"/>
      <c r="S1544" s="135"/>
      <c r="T1544" s="135"/>
      <c r="U1544" s="135"/>
      <c r="V1544" s="135"/>
      <c r="W1544" s="137"/>
      <c r="X1544" s="135"/>
      <c r="Y1544" s="135"/>
      <c r="Z1544" s="135"/>
      <c r="AA1544" s="135"/>
      <c r="AB1544" s="135"/>
      <c r="AC1544" s="135"/>
    </row>
    <row r="1545">
      <c r="I1545" s="97"/>
      <c r="J1545" s="97"/>
      <c r="K1545" s="97"/>
      <c r="L1545" s="153"/>
      <c r="M1545" s="97"/>
      <c r="N1545" s="97"/>
      <c r="O1545" s="97"/>
      <c r="P1545" s="97"/>
      <c r="Q1545" s="97"/>
      <c r="R1545" s="135"/>
      <c r="S1545" s="135"/>
      <c r="T1545" s="135"/>
      <c r="U1545" s="135"/>
      <c r="V1545" s="135"/>
      <c r="W1545" s="137"/>
      <c r="X1545" s="135"/>
      <c r="Y1545" s="135"/>
      <c r="Z1545" s="135"/>
      <c r="AA1545" s="135"/>
      <c r="AB1545" s="135"/>
      <c r="AC1545" s="135"/>
    </row>
    <row r="1546">
      <c r="I1546" s="97"/>
      <c r="J1546" s="97"/>
      <c r="K1546" s="97"/>
      <c r="L1546" s="153"/>
      <c r="M1546" s="97"/>
      <c r="N1546" s="97"/>
      <c r="O1546" s="97"/>
      <c r="P1546" s="97"/>
      <c r="Q1546" s="97"/>
      <c r="R1546" s="135"/>
      <c r="S1546" s="135"/>
      <c r="T1546" s="135"/>
      <c r="U1546" s="135"/>
      <c r="V1546" s="135"/>
      <c r="W1546" s="137"/>
      <c r="X1546" s="135"/>
      <c r="Y1546" s="135"/>
      <c r="Z1546" s="135"/>
      <c r="AA1546" s="135"/>
      <c r="AB1546" s="135"/>
      <c r="AC1546" s="135"/>
    </row>
    <row r="1547">
      <c r="I1547" s="97"/>
      <c r="J1547" s="97"/>
      <c r="K1547" s="97"/>
      <c r="L1547" s="153"/>
      <c r="M1547" s="97"/>
      <c r="N1547" s="97"/>
      <c r="O1547" s="97"/>
      <c r="P1547" s="97"/>
      <c r="Q1547" s="97"/>
      <c r="R1547" s="135"/>
      <c r="S1547" s="135"/>
      <c r="T1547" s="135"/>
      <c r="U1547" s="135"/>
      <c r="V1547" s="135"/>
      <c r="W1547" s="137"/>
      <c r="X1547" s="135"/>
      <c r="Y1547" s="135"/>
      <c r="Z1547" s="135"/>
      <c r="AA1547" s="135"/>
      <c r="AB1547" s="135"/>
      <c r="AC1547" s="135"/>
    </row>
    <row r="1548">
      <c r="I1548" s="97"/>
      <c r="J1548" s="97"/>
      <c r="K1548" s="97"/>
      <c r="L1548" s="153"/>
      <c r="M1548" s="97"/>
      <c r="N1548" s="97"/>
      <c r="O1548" s="97"/>
      <c r="P1548" s="97"/>
      <c r="Q1548" s="97"/>
      <c r="R1548" s="135"/>
      <c r="S1548" s="135"/>
      <c r="T1548" s="135"/>
      <c r="U1548" s="135"/>
      <c r="V1548" s="135"/>
      <c r="W1548" s="137"/>
      <c r="X1548" s="135"/>
      <c r="Y1548" s="135"/>
      <c r="Z1548" s="135"/>
      <c r="AA1548" s="135"/>
      <c r="AB1548" s="135"/>
      <c r="AC1548" s="135"/>
    </row>
    <row r="1549">
      <c r="I1549" s="97"/>
      <c r="J1549" s="97"/>
      <c r="K1549" s="97"/>
      <c r="L1549" s="153"/>
      <c r="M1549" s="97"/>
      <c r="N1549" s="97"/>
      <c r="O1549" s="97"/>
      <c r="P1549" s="97"/>
      <c r="Q1549" s="97"/>
      <c r="R1549" s="135"/>
      <c r="S1549" s="135"/>
      <c r="T1549" s="135"/>
      <c r="U1549" s="135"/>
      <c r="V1549" s="135"/>
      <c r="W1549" s="137"/>
      <c r="X1549" s="135"/>
      <c r="Y1549" s="135"/>
      <c r="Z1549" s="135"/>
      <c r="AA1549" s="135"/>
      <c r="AB1549" s="135"/>
      <c r="AC1549" s="135"/>
    </row>
    <row r="1550">
      <c r="I1550" s="97"/>
      <c r="J1550" s="97"/>
      <c r="K1550" s="97"/>
      <c r="L1550" s="153"/>
      <c r="M1550" s="97"/>
      <c r="N1550" s="97"/>
      <c r="O1550" s="97"/>
      <c r="P1550" s="97"/>
      <c r="Q1550" s="97"/>
      <c r="R1550" s="135"/>
      <c r="S1550" s="135"/>
      <c r="T1550" s="135"/>
      <c r="U1550" s="135"/>
      <c r="V1550" s="135"/>
      <c r="W1550" s="137"/>
      <c r="X1550" s="135"/>
      <c r="Y1550" s="135"/>
      <c r="Z1550" s="135"/>
      <c r="AA1550" s="135"/>
      <c r="AB1550" s="135"/>
      <c r="AC1550" s="135"/>
    </row>
    <row r="1551">
      <c r="I1551" s="97"/>
      <c r="J1551" s="97"/>
      <c r="K1551" s="97"/>
      <c r="L1551" s="153"/>
      <c r="M1551" s="97"/>
      <c r="N1551" s="97"/>
      <c r="O1551" s="97"/>
      <c r="P1551" s="97"/>
      <c r="Q1551" s="97"/>
      <c r="R1551" s="135"/>
      <c r="S1551" s="135"/>
      <c r="T1551" s="135"/>
      <c r="U1551" s="135"/>
      <c r="V1551" s="135"/>
      <c r="W1551" s="137"/>
      <c r="X1551" s="135"/>
      <c r="Y1551" s="135"/>
      <c r="Z1551" s="135"/>
      <c r="AA1551" s="135"/>
      <c r="AB1551" s="135"/>
      <c r="AC1551" s="135"/>
    </row>
    <row r="1552">
      <c r="I1552" s="97"/>
      <c r="J1552" s="97"/>
      <c r="K1552" s="97"/>
      <c r="L1552" s="153"/>
      <c r="M1552" s="97"/>
      <c r="N1552" s="97"/>
      <c r="O1552" s="97"/>
      <c r="P1552" s="97"/>
      <c r="Q1552" s="97"/>
      <c r="R1552" s="135"/>
      <c r="S1552" s="135"/>
      <c r="T1552" s="135"/>
      <c r="U1552" s="135"/>
      <c r="V1552" s="135"/>
      <c r="W1552" s="137"/>
      <c r="X1552" s="135"/>
      <c r="Y1552" s="135"/>
      <c r="Z1552" s="135"/>
      <c r="AA1552" s="135"/>
      <c r="AB1552" s="135"/>
      <c r="AC1552" s="135"/>
    </row>
    <row r="1553">
      <c r="I1553" s="97"/>
      <c r="J1553" s="97"/>
      <c r="K1553" s="97"/>
      <c r="L1553" s="153"/>
      <c r="M1553" s="97"/>
      <c r="N1553" s="97"/>
      <c r="O1553" s="97"/>
      <c r="P1553" s="97"/>
      <c r="Q1553" s="97"/>
      <c r="R1553" s="135"/>
      <c r="S1553" s="135"/>
      <c r="T1553" s="135"/>
      <c r="U1553" s="135"/>
      <c r="V1553" s="135"/>
      <c r="W1553" s="137"/>
      <c r="X1553" s="135"/>
      <c r="Y1553" s="135"/>
      <c r="Z1553" s="135"/>
      <c r="AA1553" s="135"/>
      <c r="AB1553" s="135"/>
      <c r="AC1553" s="135"/>
    </row>
    <row r="1554">
      <c r="I1554" s="97"/>
      <c r="J1554" s="97"/>
      <c r="K1554" s="97"/>
      <c r="L1554" s="153"/>
      <c r="M1554" s="97"/>
      <c r="N1554" s="97"/>
      <c r="O1554" s="97"/>
      <c r="P1554" s="97"/>
      <c r="Q1554" s="97"/>
      <c r="R1554" s="135"/>
      <c r="S1554" s="135"/>
      <c r="T1554" s="135"/>
      <c r="U1554" s="135"/>
      <c r="V1554" s="135"/>
      <c r="W1554" s="137"/>
      <c r="X1554" s="135"/>
      <c r="Y1554" s="135"/>
      <c r="Z1554" s="135"/>
      <c r="AA1554" s="135"/>
      <c r="AB1554" s="135"/>
      <c r="AC1554" s="135"/>
    </row>
    <row r="1555">
      <c r="I1555" s="97"/>
      <c r="J1555" s="97"/>
      <c r="K1555" s="97"/>
      <c r="L1555" s="153"/>
      <c r="M1555" s="97"/>
      <c r="N1555" s="97"/>
      <c r="O1555" s="97"/>
      <c r="P1555" s="97"/>
      <c r="Q1555" s="97"/>
      <c r="R1555" s="135"/>
      <c r="S1555" s="135"/>
      <c r="T1555" s="135"/>
      <c r="U1555" s="135"/>
      <c r="V1555" s="135"/>
      <c r="W1555" s="137"/>
      <c r="X1555" s="135"/>
      <c r="Y1555" s="135"/>
      <c r="Z1555" s="135"/>
      <c r="AA1555" s="135"/>
      <c r="AB1555" s="135"/>
      <c r="AC1555" s="135"/>
    </row>
    <row r="1556">
      <c r="I1556" s="97"/>
      <c r="J1556" s="97"/>
      <c r="K1556" s="97"/>
      <c r="L1556" s="153"/>
      <c r="M1556" s="97"/>
      <c r="N1556" s="97"/>
      <c r="O1556" s="97"/>
      <c r="P1556" s="97"/>
      <c r="Q1556" s="97"/>
      <c r="R1556" s="135"/>
      <c r="S1556" s="135"/>
      <c r="T1556" s="135"/>
      <c r="U1556" s="135"/>
      <c r="V1556" s="135"/>
      <c r="W1556" s="137"/>
      <c r="X1556" s="135"/>
      <c r="Y1556" s="135"/>
      <c r="Z1556" s="135"/>
      <c r="AA1556" s="135"/>
      <c r="AB1556" s="135"/>
      <c r="AC1556" s="135"/>
    </row>
    <row r="1557">
      <c r="I1557" s="97"/>
      <c r="J1557" s="97"/>
      <c r="K1557" s="97"/>
      <c r="L1557" s="153"/>
      <c r="M1557" s="97"/>
      <c r="N1557" s="97"/>
      <c r="O1557" s="97"/>
      <c r="P1557" s="97"/>
      <c r="Q1557" s="97"/>
      <c r="R1557" s="135"/>
      <c r="S1557" s="135"/>
      <c r="T1557" s="135"/>
      <c r="U1557" s="135"/>
      <c r="V1557" s="135"/>
      <c r="W1557" s="137"/>
      <c r="X1557" s="135"/>
      <c r="Y1557" s="135"/>
      <c r="Z1557" s="135"/>
      <c r="AA1557" s="135"/>
      <c r="AB1557" s="135"/>
      <c r="AC1557" s="135"/>
    </row>
    <row r="1558">
      <c r="I1558" s="97"/>
      <c r="J1558" s="97"/>
      <c r="K1558" s="97"/>
      <c r="L1558" s="153"/>
      <c r="M1558" s="97"/>
      <c r="N1558" s="97"/>
      <c r="O1558" s="97"/>
      <c r="P1558" s="97"/>
      <c r="Q1558" s="97"/>
      <c r="R1558" s="135"/>
      <c r="S1558" s="135"/>
      <c r="T1558" s="135"/>
      <c r="U1558" s="135"/>
      <c r="V1558" s="135"/>
      <c r="W1558" s="137"/>
      <c r="X1558" s="135"/>
      <c r="Y1558" s="135"/>
      <c r="Z1558" s="135"/>
      <c r="AA1558" s="135"/>
      <c r="AB1558" s="135"/>
      <c r="AC1558" s="135"/>
    </row>
    <row r="1559">
      <c r="I1559" s="97"/>
      <c r="J1559" s="97"/>
      <c r="K1559" s="97"/>
      <c r="L1559" s="153"/>
      <c r="M1559" s="97"/>
      <c r="N1559" s="97"/>
      <c r="O1559" s="97"/>
      <c r="P1559" s="97"/>
      <c r="Q1559" s="97"/>
      <c r="R1559" s="135"/>
      <c r="S1559" s="135"/>
      <c r="T1559" s="135"/>
      <c r="U1559" s="135"/>
      <c r="V1559" s="135"/>
      <c r="W1559" s="137"/>
      <c r="X1559" s="135"/>
      <c r="Y1559" s="135"/>
      <c r="Z1559" s="135"/>
      <c r="AA1559" s="135"/>
      <c r="AB1559" s="135"/>
      <c r="AC1559" s="135"/>
    </row>
    <row r="1560">
      <c r="I1560" s="97"/>
      <c r="J1560" s="97"/>
      <c r="K1560" s="97"/>
      <c r="L1560" s="153"/>
      <c r="M1560" s="97"/>
      <c r="N1560" s="97"/>
      <c r="O1560" s="97"/>
      <c r="P1560" s="97"/>
      <c r="Q1560" s="97"/>
      <c r="R1560" s="135"/>
      <c r="S1560" s="135"/>
      <c r="T1560" s="135"/>
      <c r="U1560" s="135"/>
      <c r="V1560" s="135"/>
      <c r="W1560" s="137"/>
      <c r="X1560" s="135"/>
      <c r="Y1560" s="135"/>
      <c r="Z1560" s="135"/>
      <c r="AA1560" s="135"/>
      <c r="AB1560" s="135"/>
      <c r="AC1560" s="135"/>
    </row>
    <row r="1561">
      <c r="I1561" s="97"/>
      <c r="J1561" s="97"/>
      <c r="K1561" s="97"/>
      <c r="L1561" s="153"/>
      <c r="M1561" s="97"/>
      <c r="N1561" s="97"/>
      <c r="O1561" s="97"/>
      <c r="P1561" s="97"/>
      <c r="Q1561" s="97"/>
      <c r="R1561" s="135"/>
      <c r="S1561" s="135"/>
      <c r="T1561" s="135"/>
      <c r="U1561" s="135"/>
      <c r="V1561" s="135"/>
      <c r="W1561" s="137"/>
      <c r="X1561" s="135"/>
      <c r="Y1561" s="135"/>
      <c r="Z1561" s="135"/>
      <c r="AA1561" s="135"/>
      <c r="AB1561" s="135"/>
      <c r="AC1561" s="135"/>
    </row>
    <row r="1562">
      <c r="I1562" s="97"/>
      <c r="J1562" s="97"/>
      <c r="K1562" s="97"/>
      <c r="L1562" s="153"/>
      <c r="M1562" s="97"/>
      <c r="N1562" s="97"/>
      <c r="O1562" s="97"/>
      <c r="P1562" s="97"/>
      <c r="Q1562" s="97"/>
      <c r="R1562" s="135"/>
      <c r="S1562" s="135"/>
      <c r="T1562" s="135"/>
      <c r="U1562" s="135"/>
      <c r="V1562" s="135"/>
      <c r="W1562" s="137"/>
      <c r="X1562" s="135"/>
      <c r="Y1562" s="135"/>
      <c r="Z1562" s="135"/>
      <c r="AA1562" s="135"/>
      <c r="AB1562" s="135"/>
      <c r="AC1562" s="135"/>
    </row>
    <row r="1563">
      <c r="I1563" s="97"/>
      <c r="J1563" s="97"/>
      <c r="K1563" s="97"/>
      <c r="L1563" s="153"/>
      <c r="M1563" s="97"/>
      <c r="N1563" s="97"/>
      <c r="O1563" s="97"/>
      <c r="P1563" s="97"/>
      <c r="Q1563" s="97"/>
      <c r="R1563" s="135"/>
      <c r="S1563" s="135"/>
      <c r="T1563" s="135"/>
      <c r="U1563" s="135"/>
      <c r="V1563" s="135"/>
      <c r="W1563" s="137"/>
      <c r="X1563" s="135"/>
      <c r="Y1563" s="135"/>
      <c r="Z1563" s="135"/>
      <c r="AA1563" s="135"/>
      <c r="AB1563" s="135"/>
      <c r="AC1563" s="135"/>
    </row>
    <row r="1564">
      <c r="I1564" s="97"/>
      <c r="J1564" s="97"/>
      <c r="K1564" s="97"/>
      <c r="L1564" s="153"/>
      <c r="M1564" s="97"/>
      <c r="N1564" s="97"/>
      <c r="O1564" s="97"/>
      <c r="P1564" s="97"/>
      <c r="Q1564" s="97"/>
      <c r="R1564" s="135"/>
      <c r="S1564" s="135"/>
      <c r="T1564" s="135"/>
      <c r="U1564" s="135"/>
      <c r="V1564" s="135"/>
      <c r="W1564" s="137"/>
      <c r="X1564" s="135"/>
      <c r="Y1564" s="135"/>
      <c r="Z1564" s="135"/>
      <c r="AA1564" s="135"/>
      <c r="AB1564" s="135"/>
      <c r="AC1564" s="135"/>
    </row>
    <row r="1565">
      <c r="I1565" s="97"/>
      <c r="J1565" s="97"/>
      <c r="K1565" s="97"/>
      <c r="L1565" s="153"/>
      <c r="M1565" s="97"/>
      <c r="N1565" s="97"/>
      <c r="O1565" s="97"/>
      <c r="P1565" s="97"/>
      <c r="Q1565" s="97"/>
      <c r="R1565" s="135"/>
      <c r="S1565" s="135"/>
      <c r="T1565" s="135"/>
      <c r="U1565" s="135"/>
      <c r="V1565" s="135"/>
      <c r="W1565" s="137"/>
      <c r="X1565" s="135"/>
      <c r="Y1565" s="135"/>
      <c r="Z1565" s="135"/>
      <c r="AA1565" s="135"/>
      <c r="AB1565" s="135"/>
      <c r="AC1565" s="135"/>
    </row>
    <row r="1566">
      <c r="I1566" s="97"/>
      <c r="J1566" s="97"/>
      <c r="K1566" s="97"/>
      <c r="L1566" s="153"/>
      <c r="M1566" s="97"/>
      <c r="N1566" s="97"/>
      <c r="O1566" s="97"/>
      <c r="P1566" s="97"/>
      <c r="Q1566" s="97"/>
      <c r="R1566" s="135"/>
      <c r="S1566" s="135"/>
      <c r="T1566" s="135"/>
      <c r="U1566" s="135"/>
      <c r="V1566" s="135"/>
      <c r="W1566" s="137"/>
      <c r="X1566" s="135"/>
      <c r="Y1566" s="135"/>
      <c r="Z1566" s="135"/>
      <c r="AA1566" s="135"/>
      <c r="AB1566" s="135"/>
      <c r="AC1566" s="135"/>
    </row>
    <row r="1567">
      <c r="I1567" s="97"/>
      <c r="J1567" s="97"/>
      <c r="K1567" s="97"/>
      <c r="L1567" s="153"/>
      <c r="M1567" s="97"/>
      <c r="N1567" s="97"/>
      <c r="O1567" s="97"/>
      <c r="P1567" s="97"/>
      <c r="Q1567" s="97"/>
      <c r="R1567" s="135"/>
      <c r="S1567" s="135"/>
      <c r="T1567" s="135"/>
      <c r="U1567" s="135"/>
      <c r="V1567" s="135"/>
      <c r="W1567" s="137"/>
      <c r="X1567" s="135"/>
      <c r="Y1567" s="135"/>
      <c r="Z1567" s="135"/>
      <c r="AA1567" s="135"/>
      <c r="AB1567" s="135"/>
      <c r="AC1567" s="135"/>
    </row>
    <row r="1568">
      <c r="I1568" s="97"/>
      <c r="J1568" s="97"/>
      <c r="K1568" s="97"/>
      <c r="L1568" s="153"/>
      <c r="M1568" s="97"/>
      <c r="N1568" s="97"/>
      <c r="O1568" s="97"/>
      <c r="P1568" s="97"/>
      <c r="Q1568" s="97"/>
      <c r="R1568" s="135"/>
      <c r="S1568" s="135"/>
      <c r="T1568" s="135"/>
      <c r="U1568" s="135"/>
      <c r="V1568" s="135"/>
      <c r="W1568" s="137"/>
      <c r="X1568" s="135"/>
      <c r="Y1568" s="135"/>
      <c r="Z1568" s="135"/>
      <c r="AA1568" s="135"/>
      <c r="AB1568" s="135"/>
      <c r="AC1568" s="135"/>
    </row>
    <row r="1569">
      <c r="I1569" s="97"/>
      <c r="J1569" s="97"/>
      <c r="K1569" s="97"/>
      <c r="L1569" s="153"/>
      <c r="M1569" s="97"/>
      <c r="N1569" s="97"/>
      <c r="O1569" s="97"/>
      <c r="P1569" s="97"/>
      <c r="Q1569" s="97"/>
      <c r="R1569" s="135"/>
      <c r="S1569" s="135"/>
      <c r="T1569" s="135"/>
      <c r="U1569" s="135"/>
      <c r="V1569" s="135"/>
      <c r="W1569" s="137"/>
      <c r="X1569" s="135"/>
      <c r="Y1569" s="135"/>
      <c r="Z1569" s="135"/>
      <c r="AA1569" s="135"/>
      <c r="AB1569" s="135"/>
      <c r="AC1569" s="135"/>
    </row>
    <row r="1570">
      <c r="I1570" s="97"/>
      <c r="J1570" s="97"/>
      <c r="K1570" s="97"/>
      <c r="L1570" s="153"/>
      <c r="M1570" s="97"/>
      <c r="N1570" s="97"/>
      <c r="O1570" s="97"/>
      <c r="P1570" s="97"/>
      <c r="Q1570" s="97"/>
      <c r="R1570" s="135"/>
      <c r="S1570" s="135"/>
      <c r="T1570" s="135"/>
      <c r="U1570" s="135"/>
      <c r="V1570" s="135"/>
      <c r="W1570" s="137"/>
      <c r="X1570" s="135"/>
      <c r="Y1570" s="135"/>
      <c r="Z1570" s="135"/>
      <c r="AA1570" s="135"/>
      <c r="AB1570" s="135"/>
      <c r="AC1570" s="135"/>
    </row>
    <row r="1571">
      <c r="I1571" s="97"/>
      <c r="J1571" s="97"/>
      <c r="K1571" s="97"/>
      <c r="L1571" s="153"/>
      <c r="M1571" s="97"/>
      <c r="N1571" s="97"/>
      <c r="O1571" s="97"/>
      <c r="P1571" s="97"/>
      <c r="Q1571" s="97"/>
      <c r="R1571" s="135"/>
      <c r="S1571" s="135"/>
      <c r="T1571" s="135"/>
      <c r="U1571" s="135"/>
      <c r="V1571" s="135"/>
      <c r="W1571" s="137"/>
      <c r="X1571" s="135"/>
      <c r="Y1571" s="135"/>
      <c r="Z1571" s="135"/>
      <c r="AA1571" s="135"/>
      <c r="AB1571" s="135"/>
      <c r="AC1571" s="135"/>
    </row>
    <row r="1572">
      <c r="I1572" s="97"/>
      <c r="J1572" s="97"/>
      <c r="K1572" s="97"/>
      <c r="L1572" s="153"/>
      <c r="M1572" s="97"/>
      <c r="N1572" s="97"/>
      <c r="O1572" s="97"/>
      <c r="P1572" s="97"/>
      <c r="Q1572" s="97"/>
      <c r="R1572" s="135"/>
      <c r="S1572" s="135"/>
      <c r="T1572" s="135"/>
      <c r="U1572" s="135"/>
      <c r="V1572" s="135"/>
      <c r="W1572" s="137"/>
      <c r="X1572" s="135"/>
      <c r="Y1572" s="135"/>
      <c r="Z1572" s="135"/>
      <c r="AA1572" s="135"/>
      <c r="AB1572" s="135"/>
      <c r="AC1572" s="135"/>
    </row>
    <row r="1573">
      <c r="I1573" s="97"/>
      <c r="J1573" s="97"/>
      <c r="K1573" s="97"/>
      <c r="L1573" s="153"/>
      <c r="M1573" s="97"/>
      <c r="N1573" s="97"/>
      <c r="O1573" s="97"/>
      <c r="P1573" s="97"/>
      <c r="Q1573" s="97"/>
      <c r="R1573" s="135"/>
      <c r="S1573" s="135"/>
      <c r="T1573" s="135"/>
      <c r="U1573" s="135"/>
      <c r="V1573" s="135"/>
      <c r="W1573" s="137"/>
      <c r="X1573" s="135"/>
      <c r="Y1573" s="135"/>
      <c r="Z1573" s="135"/>
      <c r="AA1573" s="135"/>
      <c r="AB1573" s="135"/>
      <c r="AC1573" s="135"/>
    </row>
    <row r="1574">
      <c r="I1574" s="97"/>
      <c r="J1574" s="97"/>
      <c r="K1574" s="97"/>
      <c r="L1574" s="153"/>
      <c r="M1574" s="97"/>
      <c r="N1574" s="97"/>
      <c r="O1574" s="97"/>
      <c r="P1574" s="97"/>
      <c r="Q1574" s="97"/>
      <c r="R1574" s="135"/>
      <c r="S1574" s="135"/>
      <c r="T1574" s="135"/>
      <c r="U1574" s="135"/>
      <c r="V1574" s="135"/>
      <c r="W1574" s="137"/>
      <c r="X1574" s="135"/>
      <c r="Y1574" s="135"/>
      <c r="Z1574" s="135"/>
      <c r="AA1574" s="135"/>
      <c r="AB1574" s="135"/>
      <c r="AC1574" s="135"/>
    </row>
    <row r="1575">
      <c r="I1575" s="97"/>
      <c r="J1575" s="97"/>
      <c r="K1575" s="97"/>
      <c r="L1575" s="153"/>
      <c r="M1575" s="97"/>
      <c r="N1575" s="97"/>
      <c r="O1575" s="97"/>
      <c r="P1575" s="97"/>
      <c r="Q1575" s="97"/>
      <c r="R1575" s="135"/>
      <c r="S1575" s="135"/>
      <c r="T1575" s="135"/>
      <c r="U1575" s="135"/>
      <c r="V1575" s="135"/>
      <c r="W1575" s="137"/>
      <c r="X1575" s="135"/>
      <c r="Y1575" s="135"/>
      <c r="Z1575" s="135"/>
      <c r="AA1575" s="135"/>
      <c r="AB1575" s="135"/>
      <c r="AC1575" s="135"/>
    </row>
    <row r="1576">
      <c r="I1576" s="97"/>
      <c r="J1576" s="97"/>
      <c r="K1576" s="97"/>
      <c r="L1576" s="153"/>
      <c r="M1576" s="97"/>
      <c r="N1576" s="97"/>
      <c r="O1576" s="97"/>
      <c r="P1576" s="97"/>
      <c r="Q1576" s="97"/>
      <c r="R1576" s="135"/>
      <c r="S1576" s="135"/>
      <c r="T1576" s="135"/>
      <c r="U1576" s="135"/>
      <c r="V1576" s="135"/>
      <c r="W1576" s="137"/>
      <c r="X1576" s="135"/>
      <c r="Y1576" s="135"/>
      <c r="Z1576" s="135"/>
      <c r="AA1576" s="135"/>
      <c r="AB1576" s="135"/>
      <c r="AC1576" s="135"/>
    </row>
    <row r="1577">
      <c r="I1577" s="97"/>
      <c r="J1577" s="97"/>
      <c r="K1577" s="97"/>
      <c r="L1577" s="153"/>
      <c r="M1577" s="97"/>
      <c r="N1577" s="97"/>
      <c r="O1577" s="97"/>
      <c r="P1577" s="97"/>
      <c r="Q1577" s="97"/>
      <c r="R1577" s="135"/>
      <c r="S1577" s="135"/>
      <c r="T1577" s="135"/>
      <c r="U1577" s="135"/>
      <c r="V1577" s="135"/>
      <c r="W1577" s="137"/>
      <c r="X1577" s="135"/>
      <c r="Y1577" s="135"/>
      <c r="Z1577" s="135"/>
      <c r="AA1577" s="135"/>
      <c r="AB1577" s="135"/>
      <c r="AC1577" s="135"/>
    </row>
    <row r="1578">
      <c r="I1578" s="97"/>
      <c r="J1578" s="97"/>
      <c r="K1578" s="97"/>
      <c r="L1578" s="153"/>
      <c r="M1578" s="97"/>
      <c r="N1578" s="97"/>
      <c r="O1578" s="97"/>
      <c r="P1578" s="97"/>
      <c r="Q1578" s="97"/>
      <c r="R1578" s="135"/>
      <c r="S1578" s="135"/>
      <c r="T1578" s="135"/>
      <c r="U1578" s="135"/>
      <c r="V1578" s="135"/>
      <c r="W1578" s="137"/>
      <c r="X1578" s="135"/>
      <c r="Y1578" s="135"/>
      <c r="Z1578" s="135"/>
      <c r="AA1578" s="135"/>
      <c r="AB1578" s="135"/>
      <c r="AC1578" s="135"/>
    </row>
    <row r="1579">
      <c r="I1579" s="97"/>
      <c r="J1579" s="97"/>
      <c r="K1579" s="97"/>
      <c r="L1579" s="153"/>
      <c r="M1579" s="97"/>
      <c r="N1579" s="97"/>
      <c r="O1579" s="97"/>
      <c r="P1579" s="97"/>
      <c r="Q1579" s="97"/>
      <c r="R1579" s="135"/>
      <c r="S1579" s="135"/>
      <c r="T1579" s="135"/>
      <c r="U1579" s="135"/>
      <c r="V1579" s="135"/>
      <c r="W1579" s="137"/>
      <c r="X1579" s="135"/>
      <c r="Y1579" s="135"/>
      <c r="Z1579" s="135"/>
      <c r="AA1579" s="135"/>
      <c r="AB1579" s="135"/>
      <c r="AC1579" s="135"/>
    </row>
    <row r="1580">
      <c r="I1580" s="97"/>
      <c r="J1580" s="97"/>
      <c r="K1580" s="97"/>
      <c r="L1580" s="153"/>
      <c r="M1580" s="97"/>
      <c r="N1580" s="97"/>
      <c r="O1580" s="97"/>
      <c r="P1580" s="97"/>
      <c r="Q1580" s="97"/>
      <c r="R1580" s="135"/>
      <c r="S1580" s="135"/>
      <c r="T1580" s="135"/>
      <c r="U1580" s="135"/>
      <c r="V1580" s="135"/>
      <c r="W1580" s="137"/>
      <c r="X1580" s="135"/>
      <c r="Y1580" s="135"/>
      <c r="Z1580" s="135"/>
      <c r="AA1580" s="135"/>
      <c r="AB1580" s="135"/>
      <c r="AC1580" s="135"/>
    </row>
    <row r="1581">
      <c r="I1581" s="97"/>
      <c r="J1581" s="97"/>
      <c r="K1581" s="97"/>
      <c r="L1581" s="153"/>
      <c r="M1581" s="97"/>
      <c r="N1581" s="97"/>
      <c r="O1581" s="97"/>
      <c r="P1581" s="97"/>
      <c r="Q1581" s="97"/>
      <c r="R1581" s="135"/>
      <c r="S1581" s="135"/>
      <c r="T1581" s="135"/>
      <c r="U1581" s="135"/>
      <c r="V1581" s="135"/>
      <c r="W1581" s="137"/>
      <c r="X1581" s="135"/>
      <c r="Y1581" s="135"/>
      <c r="Z1581" s="135"/>
      <c r="AA1581" s="135"/>
      <c r="AB1581" s="135"/>
      <c r="AC1581" s="135"/>
    </row>
    <row r="1582">
      <c r="I1582" s="97"/>
      <c r="J1582" s="97"/>
      <c r="K1582" s="97"/>
      <c r="L1582" s="153"/>
      <c r="M1582" s="97"/>
      <c r="N1582" s="97"/>
      <c r="O1582" s="97"/>
      <c r="P1582" s="97"/>
      <c r="Q1582" s="97"/>
      <c r="R1582" s="135"/>
      <c r="S1582" s="135"/>
      <c r="T1582" s="135"/>
      <c r="U1582" s="135"/>
      <c r="V1582" s="135"/>
      <c r="W1582" s="137"/>
      <c r="X1582" s="135"/>
      <c r="Y1582" s="135"/>
      <c r="Z1582" s="135"/>
      <c r="AA1582" s="135"/>
      <c r="AB1582" s="135"/>
      <c r="AC1582" s="135"/>
    </row>
    <row r="1583">
      <c r="I1583" s="97"/>
      <c r="J1583" s="97"/>
      <c r="K1583" s="97"/>
      <c r="L1583" s="153"/>
      <c r="M1583" s="97"/>
      <c r="N1583" s="97"/>
      <c r="O1583" s="97"/>
      <c r="P1583" s="97"/>
      <c r="Q1583" s="97"/>
      <c r="R1583" s="135"/>
      <c r="S1583" s="135"/>
      <c r="T1583" s="135"/>
      <c r="U1583" s="135"/>
      <c r="V1583" s="135"/>
      <c r="W1583" s="137"/>
      <c r="X1583" s="135"/>
      <c r="Y1583" s="135"/>
      <c r="Z1583" s="135"/>
      <c r="AA1583" s="135"/>
      <c r="AB1583" s="135"/>
      <c r="AC1583" s="135"/>
    </row>
    <row r="1584">
      <c r="I1584" s="97"/>
      <c r="J1584" s="97"/>
      <c r="K1584" s="97"/>
      <c r="L1584" s="153"/>
      <c r="M1584" s="97"/>
      <c r="N1584" s="97"/>
      <c r="O1584" s="97"/>
      <c r="P1584" s="97"/>
      <c r="Q1584" s="97"/>
      <c r="R1584" s="135"/>
      <c r="S1584" s="135"/>
      <c r="T1584" s="135"/>
      <c r="U1584" s="135"/>
      <c r="V1584" s="135"/>
      <c r="W1584" s="137"/>
      <c r="X1584" s="135"/>
      <c r="Y1584" s="135"/>
      <c r="Z1584" s="135"/>
      <c r="AA1584" s="135"/>
      <c r="AB1584" s="135"/>
      <c r="AC1584" s="135"/>
    </row>
    <row r="1585">
      <c r="I1585" s="97"/>
      <c r="J1585" s="97"/>
      <c r="K1585" s="97"/>
      <c r="L1585" s="153"/>
      <c r="M1585" s="97"/>
      <c r="N1585" s="97"/>
      <c r="O1585" s="97"/>
      <c r="P1585" s="97"/>
      <c r="Q1585" s="97"/>
      <c r="R1585" s="135"/>
      <c r="S1585" s="135"/>
      <c r="T1585" s="135"/>
      <c r="U1585" s="135"/>
      <c r="V1585" s="135"/>
      <c r="W1585" s="137"/>
      <c r="X1585" s="135"/>
      <c r="Y1585" s="135"/>
      <c r="Z1585" s="135"/>
      <c r="AA1585" s="135"/>
      <c r="AB1585" s="135"/>
      <c r="AC1585" s="135"/>
    </row>
    <row r="1586">
      <c r="I1586" s="97"/>
      <c r="J1586" s="97"/>
      <c r="K1586" s="97"/>
      <c r="L1586" s="153"/>
      <c r="M1586" s="97"/>
      <c r="N1586" s="97"/>
      <c r="O1586" s="97"/>
      <c r="P1586" s="97"/>
      <c r="Q1586" s="97"/>
      <c r="R1586" s="135"/>
      <c r="S1586" s="135"/>
      <c r="T1586" s="135"/>
      <c r="U1586" s="135"/>
      <c r="V1586" s="135"/>
      <c r="W1586" s="137"/>
      <c r="X1586" s="135"/>
      <c r="Y1586" s="135"/>
      <c r="Z1586" s="135"/>
      <c r="AA1586" s="135"/>
      <c r="AB1586" s="135"/>
      <c r="AC1586" s="135"/>
    </row>
    <row r="1587">
      <c r="I1587" s="97"/>
      <c r="J1587" s="97"/>
      <c r="K1587" s="97"/>
      <c r="L1587" s="153"/>
      <c r="M1587" s="97"/>
      <c r="N1587" s="97"/>
      <c r="O1587" s="97"/>
      <c r="P1587" s="97"/>
      <c r="Q1587" s="97"/>
      <c r="R1587" s="135"/>
      <c r="S1587" s="135"/>
      <c r="T1587" s="135"/>
      <c r="U1587" s="135"/>
      <c r="V1587" s="135"/>
      <c r="W1587" s="137"/>
      <c r="X1587" s="135"/>
      <c r="Y1587" s="135"/>
      <c r="Z1587" s="135"/>
      <c r="AA1587" s="135"/>
      <c r="AB1587" s="135"/>
      <c r="AC1587" s="135"/>
    </row>
    <row r="1588">
      <c r="I1588" s="97"/>
      <c r="J1588" s="97"/>
      <c r="K1588" s="97"/>
      <c r="L1588" s="153"/>
      <c r="M1588" s="97"/>
      <c r="N1588" s="97"/>
      <c r="O1588" s="97"/>
      <c r="P1588" s="97"/>
      <c r="Q1588" s="97"/>
      <c r="R1588" s="135"/>
      <c r="S1588" s="135"/>
      <c r="T1588" s="135"/>
      <c r="U1588" s="135"/>
      <c r="V1588" s="135"/>
      <c r="W1588" s="137"/>
      <c r="X1588" s="135"/>
      <c r="Y1588" s="135"/>
      <c r="Z1588" s="135"/>
      <c r="AA1588" s="135"/>
      <c r="AB1588" s="135"/>
      <c r="AC1588" s="135"/>
    </row>
    <row r="1589">
      <c r="I1589" s="97"/>
      <c r="J1589" s="97"/>
      <c r="K1589" s="97"/>
      <c r="L1589" s="153"/>
      <c r="M1589" s="97"/>
      <c r="N1589" s="97"/>
      <c r="O1589" s="97"/>
      <c r="P1589" s="97"/>
      <c r="Q1589" s="97"/>
      <c r="R1589" s="135"/>
      <c r="S1589" s="135"/>
      <c r="T1589" s="135"/>
      <c r="U1589" s="135"/>
      <c r="V1589" s="135"/>
      <c r="W1589" s="137"/>
      <c r="X1589" s="135"/>
      <c r="Y1589" s="135"/>
      <c r="Z1589" s="135"/>
      <c r="AA1589" s="135"/>
      <c r="AB1589" s="135"/>
      <c r="AC1589" s="135"/>
    </row>
    <row r="1590">
      <c r="I1590" s="97"/>
      <c r="J1590" s="97"/>
      <c r="K1590" s="97"/>
      <c r="L1590" s="153"/>
      <c r="M1590" s="97"/>
      <c r="N1590" s="97"/>
      <c r="O1590" s="97"/>
      <c r="P1590" s="97"/>
      <c r="Q1590" s="97"/>
      <c r="R1590" s="135"/>
      <c r="S1590" s="135"/>
      <c r="T1590" s="135"/>
      <c r="U1590" s="135"/>
      <c r="V1590" s="135"/>
      <c r="W1590" s="137"/>
      <c r="X1590" s="135"/>
      <c r="Y1590" s="135"/>
      <c r="Z1590" s="135"/>
      <c r="AA1590" s="135"/>
      <c r="AB1590" s="135"/>
      <c r="AC1590" s="135"/>
    </row>
    <row r="1591">
      <c r="I1591" s="97"/>
      <c r="J1591" s="97"/>
      <c r="K1591" s="97"/>
      <c r="L1591" s="153"/>
      <c r="M1591" s="97"/>
      <c r="N1591" s="97"/>
      <c r="O1591" s="97"/>
      <c r="P1591" s="97"/>
      <c r="Q1591" s="97"/>
      <c r="R1591" s="135"/>
      <c r="S1591" s="135"/>
      <c r="T1591" s="135"/>
      <c r="U1591" s="135"/>
      <c r="V1591" s="135"/>
      <c r="W1591" s="137"/>
      <c r="X1591" s="135"/>
      <c r="Y1591" s="135"/>
      <c r="Z1591" s="135"/>
      <c r="AA1591" s="135"/>
      <c r="AB1591" s="135"/>
      <c r="AC1591" s="135"/>
    </row>
    <row r="1592">
      <c r="I1592" s="97"/>
      <c r="J1592" s="97"/>
      <c r="K1592" s="97"/>
      <c r="L1592" s="153"/>
      <c r="M1592" s="97"/>
      <c r="N1592" s="97"/>
      <c r="O1592" s="97"/>
      <c r="P1592" s="97"/>
      <c r="Q1592" s="97"/>
      <c r="R1592" s="135"/>
      <c r="S1592" s="135"/>
      <c r="T1592" s="135"/>
      <c r="U1592" s="135"/>
      <c r="V1592" s="135"/>
      <c r="W1592" s="137"/>
      <c r="X1592" s="135"/>
      <c r="Y1592" s="135"/>
      <c r="Z1592" s="135"/>
      <c r="AA1592" s="135"/>
      <c r="AB1592" s="135"/>
      <c r="AC1592" s="135"/>
    </row>
    <row r="1593">
      <c r="I1593" s="97"/>
      <c r="J1593" s="97"/>
      <c r="K1593" s="97"/>
      <c r="L1593" s="153"/>
      <c r="M1593" s="97"/>
      <c r="N1593" s="97"/>
      <c r="O1593" s="97"/>
      <c r="P1593" s="97"/>
      <c r="Q1593" s="97"/>
      <c r="R1593" s="135"/>
      <c r="S1593" s="135"/>
      <c r="T1593" s="135"/>
      <c r="U1593" s="135"/>
      <c r="V1593" s="135"/>
      <c r="W1593" s="137"/>
      <c r="X1593" s="135"/>
      <c r="Y1593" s="135"/>
      <c r="Z1593" s="135"/>
      <c r="AA1593" s="135"/>
      <c r="AB1593" s="135"/>
      <c r="AC1593" s="135"/>
    </row>
    <row r="1594">
      <c r="I1594" s="97"/>
      <c r="J1594" s="97"/>
      <c r="K1594" s="97"/>
      <c r="L1594" s="153"/>
      <c r="M1594" s="97"/>
      <c r="N1594" s="97"/>
      <c r="O1594" s="97"/>
      <c r="P1594" s="97"/>
      <c r="Q1594" s="97"/>
      <c r="R1594" s="135"/>
      <c r="S1594" s="135"/>
      <c r="T1594" s="135"/>
      <c r="U1594" s="135"/>
      <c r="V1594" s="135"/>
      <c r="W1594" s="137"/>
      <c r="X1594" s="135"/>
      <c r="Y1594" s="135"/>
      <c r="Z1594" s="135"/>
      <c r="AA1594" s="135"/>
      <c r="AB1594" s="135"/>
      <c r="AC1594" s="135"/>
    </row>
    <row r="1595">
      <c r="I1595" s="97"/>
      <c r="J1595" s="97"/>
      <c r="K1595" s="97"/>
      <c r="L1595" s="153"/>
      <c r="M1595" s="97"/>
      <c r="N1595" s="97"/>
      <c r="O1595" s="97"/>
      <c r="P1595" s="97"/>
      <c r="Q1595" s="97"/>
      <c r="R1595" s="135"/>
      <c r="S1595" s="135"/>
      <c r="T1595" s="135"/>
      <c r="U1595" s="135"/>
      <c r="V1595" s="135"/>
      <c r="W1595" s="137"/>
      <c r="X1595" s="135"/>
      <c r="Y1595" s="135"/>
      <c r="Z1595" s="135"/>
      <c r="AA1595" s="135"/>
      <c r="AB1595" s="135"/>
      <c r="AC1595" s="135"/>
    </row>
    <row r="1596">
      <c r="I1596" s="97"/>
      <c r="J1596" s="97"/>
      <c r="K1596" s="97"/>
      <c r="L1596" s="153"/>
      <c r="M1596" s="97"/>
      <c r="N1596" s="97"/>
      <c r="O1596" s="97"/>
      <c r="P1596" s="97"/>
      <c r="Q1596" s="97"/>
      <c r="R1596" s="135"/>
      <c r="S1596" s="135"/>
      <c r="T1596" s="135"/>
      <c r="U1596" s="135"/>
      <c r="V1596" s="135"/>
      <c r="W1596" s="137"/>
      <c r="X1596" s="135"/>
      <c r="Y1596" s="135"/>
      <c r="Z1596" s="135"/>
      <c r="AA1596" s="135"/>
      <c r="AB1596" s="135"/>
      <c r="AC1596" s="135"/>
    </row>
    <row r="1597">
      <c r="I1597" s="97"/>
      <c r="J1597" s="97"/>
      <c r="K1597" s="97"/>
      <c r="L1597" s="153"/>
      <c r="M1597" s="97"/>
      <c r="N1597" s="97"/>
      <c r="O1597" s="97"/>
      <c r="P1597" s="97"/>
      <c r="Q1597" s="97"/>
      <c r="R1597" s="135"/>
      <c r="S1597" s="135"/>
      <c r="T1597" s="135"/>
      <c r="U1597" s="135"/>
      <c r="V1597" s="135"/>
      <c r="W1597" s="137"/>
      <c r="X1597" s="135"/>
      <c r="Y1597" s="135"/>
      <c r="Z1597" s="135"/>
      <c r="AA1597" s="135"/>
      <c r="AB1597" s="135"/>
      <c r="AC1597" s="135"/>
    </row>
    <row r="1598">
      <c r="I1598" s="97"/>
      <c r="J1598" s="97"/>
      <c r="K1598" s="97"/>
      <c r="L1598" s="153"/>
      <c r="M1598" s="97"/>
      <c r="N1598" s="97"/>
      <c r="O1598" s="97"/>
      <c r="P1598" s="97"/>
      <c r="Q1598" s="97"/>
      <c r="R1598" s="135"/>
      <c r="S1598" s="135"/>
      <c r="T1598" s="135"/>
      <c r="U1598" s="135"/>
      <c r="V1598" s="135"/>
      <c r="W1598" s="137"/>
      <c r="X1598" s="135"/>
      <c r="Y1598" s="135"/>
      <c r="Z1598" s="135"/>
      <c r="AA1598" s="135"/>
      <c r="AB1598" s="135"/>
      <c r="AC1598" s="135"/>
    </row>
    <row r="1599">
      <c r="I1599" s="97"/>
      <c r="J1599" s="97"/>
      <c r="K1599" s="97"/>
      <c r="L1599" s="153"/>
      <c r="M1599" s="97"/>
      <c r="N1599" s="97"/>
      <c r="O1599" s="97"/>
      <c r="P1599" s="97"/>
      <c r="Q1599" s="97"/>
      <c r="R1599" s="135"/>
      <c r="S1599" s="135"/>
      <c r="T1599" s="135"/>
      <c r="U1599" s="135"/>
      <c r="V1599" s="135"/>
      <c r="W1599" s="137"/>
      <c r="X1599" s="135"/>
      <c r="Y1599" s="135"/>
      <c r="Z1599" s="135"/>
      <c r="AA1599" s="135"/>
      <c r="AB1599" s="135"/>
      <c r="AC1599" s="135"/>
    </row>
    <row r="1600">
      <c r="I1600" s="97"/>
      <c r="J1600" s="97"/>
      <c r="K1600" s="97"/>
      <c r="L1600" s="153"/>
      <c r="M1600" s="97"/>
      <c r="N1600" s="97"/>
      <c r="O1600" s="97"/>
      <c r="P1600" s="97"/>
      <c r="Q1600" s="97"/>
      <c r="R1600" s="135"/>
      <c r="S1600" s="135"/>
      <c r="T1600" s="135"/>
      <c r="U1600" s="135"/>
      <c r="V1600" s="135"/>
      <c r="W1600" s="137"/>
      <c r="X1600" s="135"/>
      <c r="Y1600" s="135"/>
      <c r="Z1600" s="135"/>
      <c r="AA1600" s="135"/>
      <c r="AB1600" s="135"/>
      <c r="AC1600" s="135"/>
    </row>
    <row r="1601">
      <c r="I1601" s="97"/>
      <c r="J1601" s="97"/>
      <c r="K1601" s="97"/>
      <c r="L1601" s="153"/>
      <c r="M1601" s="97"/>
      <c r="N1601" s="97"/>
      <c r="O1601" s="97"/>
      <c r="P1601" s="97"/>
      <c r="Q1601" s="97"/>
      <c r="R1601" s="135"/>
      <c r="S1601" s="135"/>
      <c r="T1601" s="135"/>
      <c r="U1601" s="135"/>
      <c r="V1601" s="135"/>
      <c r="W1601" s="137"/>
      <c r="X1601" s="135"/>
      <c r="Y1601" s="135"/>
      <c r="Z1601" s="135"/>
      <c r="AA1601" s="135"/>
      <c r="AB1601" s="135"/>
      <c r="AC1601" s="135"/>
    </row>
    <row r="1602">
      <c r="I1602" s="97"/>
      <c r="J1602" s="97"/>
      <c r="K1602" s="97"/>
      <c r="L1602" s="153"/>
      <c r="M1602" s="97"/>
      <c r="N1602" s="97"/>
      <c r="O1602" s="97"/>
      <c r="P1602" s="97"/>
      <c r="Q1602" s="97"/>
      <c r="R1602" s="135"/>
      <c r="S1602" s="135"/>
      <c r="T1602" s="135"/>
      <c r="U1602" s="135"/>
      <c r="V1602" s="135"/>
      <c r="W1602" s="137"/>
      <c r="X1602" s="135"/>
      <c r="Y1602" s="135"/>
      <c r="Z1602" s="135"/>
      <c r="AA1602" s="135"/>
      <c r="AB1602" s="135"/>
      <c r="AC1602" s="135"/>
    </row>
    <row r="1603">
      <c r="I1603" s="97"/>
      <c r="J1603" s="97"/>
      <c r="K1603" s="97"/>
      <c r="L1603" s="153"/>
      <c r="M1603" s="97"/>
      <c r="N1603" s="97"/>
      <c r="O1603" s="97"/>
      <c r="P1603" s="97"/>
      <c r="Q1603" s="97"/>
      <c r="R1603" s="135"/>
      <c r="S1603" s="135"/>
      <c r="T1603" s="135"/>
      <c r="U1603" s="135"/>
      <c r="V1603" s="135"/>
      <c r="W1603" s="137"/>
      <c r="X1603" s="135"/>
      <c r="Y1603" s="135"/>
      <c r="Z1603" s="135"/>
      <c r="AA1603" s="135"/>
      <c r="AB1603" s="135"/>
      <c r="AC1603" s="135"/>
    </row>
    <row r="1604">
      <c r="I1604" s="97"/>
      <c r="J1604" s="97"/>
      <c r="K1604" s="97"/>
      <c r="L1604" s="153"/>
      <c r="M1604" s="97"/>
      <c r="N1604" s="97"/>
      <c r="O1604" s="97"/>
      <c r="P1604" s="97"/>
      <c r="Q1604" s="97"/>
      <c r="R1604" s="135"/>
      <c r="S1604" s="135"/>
      <c r="T1604" s="135"/>
      <c r="U1604" s="135"/>
      <c r="V1604" s="135"/>
      <c r="W1604" s="137"/>
      <c r="X1604" s="135"/>
      <c r="Y1604" s="135"/>
      <c r="Z1604" s="135"/>
      <c r="AA1604" s="135"/>
      <c r="AB1604" s="135"/>
      <c r="AC1604" s="135"/>
    </row>
    <row r="1605">
      <c r="I1605" s="97"/>
      <c r="J1605" s="97"/>
      <c r="K1605" s="97"/>
      <c r="L1605" s="153"/>
      <c r="M1605" s="97"/>
      <c r="N1605" s="97"/>
      <c r="O1605" s="97"/>
      <c r="P1605" s="97"/>
      <c r="Q1605" s="97"/>
      <c r="R1605" s="135"/>
      <c r="S1605" s="135"/>
      <c r="T1605" s="135"/>
      <c r="U1605" s="135"/>
      <c r="V1605" s="135"/>
      <c r="W1605" s="137"/>
      <c r="X1605" s="135"/>
      <c r="Y1605" s="135"/>
      <c r="Z1605" s="135"/>
      <c r="AA1605" s="135"/>
      <c r="AB1605" s="135"/>
      <c r="AC1605" s="135"/>
    </row>
    <row r="1606">
      <c r="I1606" s="97"/>
      <c r="J1606" s="97"/>
      <c r="K1606" s="97"/>
      <c r="L1606" s="153"/>
      <c r="M1606" s="97"/>
      <c r="N1606" s="97"/>
      <c r="O1606" s="97"/>
      <c r="P1606" s="97"/>
      <c r="Q1606" s="97"/>
      <c r="R1606" s="135"/>
      <c r="S1606" s="135"/>
      <c r="T1606" s="135"/>
      <c r="U1606" s="135"/>
      <c r="V1606" s="135"/>
      <c r="W1606" s="137"/>
      <c r="X1606" s="135"/>
      <c r="Y1606" s="135"/>
      <c r="Z1606" s="135"/>
      <c r="AA1606" s="135"/>
      <c r="AB1606" s="135"/>
      <c r="AC1606" s="135"/>
    </row>
    <row r="1607">
      <c r="I1607" s="97"/>
      <c r="J1607" s="97"/>
      <c r="K1607" s="97"/>
      <c r="L1607" s="153"/>
      <c r="M1607" s="97"/>
      <c r="N1607" s="97"/>
      <c r="O1607" s="97"/>
      <c r="P1607" s="97"/>
      <c r="Q1607" s="97"/>
      <c r="R1607" s="135"/>
      <c r="S1607" s="135"/>
      <c r="T1607" s="135"/>
      <c r="U1607" s="135"/>
      <c r="V1607" s="135"/>
      <c r="W1607" s="137"/>
      <c r="X1607" s="135"/>
      <c r="Y1607" s="135"/>
      <c r="Z1607" s="135"/>
      <c r="AA1607" s="135"/>
      <c r="AB1607" s="135"/>
      <c r="AC1607" s="135"/>
    </row>
    <row r="1608">
      <c r="I1608" s="97"/>
      <c r="J1608" s="97"/>
      <c r="K1608" s="97"/>
      <c r="L1608" s="153"/>
      <c r="M1608" s="97"/>
      <c r="N1608" s="97"/>
      <c r="O1608" s="97"/>
      <c r="P1608" s="97"/>
      <c r="Q1608" s="97"/>
      <c r="R1608" s="135"/>
      <c r="S1608" s="135"/>
      <c r="T1608" s="135"/>
      <c r="U1608" s="135"/>
      <c r="V1608" s="135"/>
      <c r="W1608" s="137"/>
      <c r="X1608" s="135"/>
      <c r="Y1608" s="135"/>
      <c r="Z1608" s="135"/>
      <c r="AA1608" s="135"/>
      <c r="AB1608" s="135"/>
      <c r="AC1608" s="135"/>
    </row>
    <row r="1609">
      <c r="I1609" s="97"/>
      <c r="J1609" s="97"/>
      <c r="K1609" s="97"/>
      <c r="L1609" s="153"/>
      <c r="M1609" s="97"/>
      <c r="N1609" s="97"/>
      <c r="O1609" s="97"/>
      <c r="P1609" s="97"/>
      <c r="Q1609" s="97"/>
      <c r="R1609" s="135"/>
      <c r="S1609" s="135"/>
      <c r="T1609" s="135"/>
      <c r="U1609" s="135"/>
      <c r="V1609" s="135"/>
      <c r="W1609" s="137"/>
      <c r="X1609" s="135"/>
      <c r="Y1609" s="135"/>
      <c r="Z1609" s="135"/>
      <c r="AA1609" s="135"/>
      <c r="AB1609" s="135"/>
      <c r="AC1609" s="135"/>
    </row>
    <row r="1610">
      <c r="I1610" s="97"/>
      <c r="J1610" s="97"/>
      <c r="K1610" s="97"/>
      <c r="L1610" s="153"/>
      <c r="M1610" s="97"/>
      <c r="N1610" s="97"/>
      <c r="O1610" s="97"/>
      <c r="P1610" s="97"/>
      <c r="Q1610" s="97"/>
      <c r="R1610" s="135"/>
      <c r="S1610" s="135"/>
      <c r="T1610" s="135"/>
      <c r="U1610" s="135"/>
      <c r="V1610" s="135"/>
      <c r="W1610" s="137"/>
      <c r="X1610" s="135"/>
      <c r="Y1610" s="135"/>
      <c r="Z1610" s="135"/>
      <c r="AA1610" s="135"/>
      <c r="AB1610" s="135"/>
      <c r="AC1610" s="135"/>
    </row>
    <row r="1611">
      <c r="I1611" s="97"/>
      <c r="J1611" s="97"/>
      <c r="K1611" s="97"/>
      <c r="L1611" s="153"/>
      <c r="M1611" s="97"/>
      <c r="N1611" s="97"/>
      <c r="O1611" s="97"/>
      <c r="P1611" s="97"/>
      <c r="Q1611" s="97"/>
      <c r="R1611" s="135"/>
      <c r="S1611" s="135"/>
      <c r="T1611" s="135"/>
      <c r="U1611" s="135"/>
      <c r="V1611" s="135"/>
      <c r="W1611" s="137"/>
      <c r="X1611" s="135"/>
      <c r="Y1611" s="135"/>
      <c r="Z1611" s="135"/>
      <c r="AA1611" s="135"/>
      <c r="AB1611" s="135"/>
      <c r="AC1611" s="135"/>
    </row>
    <row r="1612">
      <c r="I1612" s="97"/>
      <c r="J1612" s="97"/>
      <c r="K1612" s="97"/>
      <c r="L1612" s="153"/>
      <c r="M1612" s="97"/>
      <c r="N1612" s="97"/>
      <c r="O1612" s="97"/>
      <c r="P1612" s="97"/>
      <c r="Q1612" s="97"/>
      <c r="R1612" s="135"/>
      <c r="S1612" s="135"/>
      <c r="T1612" s="135"/>
      <c r="U1612" s="135"/>
      <c r="V1612" s="135"/>
      <c r="W1612" s="137"/>
      <c r="X1612" s="135"/>
      <c r="Y1612" s="135"/>
      <c r="Z1612" s="135"/>
      <c r="AA1612" s="135"/>
      <c r="AB1612" s="135"/>
      <c r="AC1612" s="135"/>
    </row>
    <row r="1613">
      <c r="I1613" s="97"/>
      <c r="J1613" s="97"/>
      <c r="K1613" s="97"/>
      <c r="L1613" s="153"/>
      <c r="M1613" s="97"/>
      <c r="N1613" s="97"/>
      <c r="O1613" s="97"/>
      <c r="P1613" s="97"/>
      <c r="Q1613" s="97"/>
      <c r="R1613" s="135"/>
      <c r="S1613" s="135"/>
      <c r="T1613" s="135"/>
      <c r="U1613" s="135"/>
      <c r="V1613" s="135"/>
      <c r="W1613" s="137"/>
      <c r="X1613" s="135"/>
      <c r="Y1613" s="135"/>
      <c r="Z1613" s="135"/>
      <c r="AA1613" s="135"/>
      <c r="AB1613" s="135"/>
      <c r="AC1613" s="135"/>
    </row>
    <row r="1614">
      <c r="I1614" s="97"/>
      <c r="J1614" s="97"/>
      <c r="K1614" s="97"/>
      <c r="L1614" s="153"/>
      <c r="M1614" s="97"/>
      <c r="N1614" s="97"/>
      <c r="O1614" s="97"/>
      <c r="P1614" s="97"/>
      <c r="Q1614" s="97"/>
      <c r="R1614" s="135"/>
      <c r="S1614" s="135"/>
      <c r="T1614" s="135"/>
      <c r="U1614" s="135"/>
      <c r="V1614" s="135"/>
      <c r="W1614" s="137"/>
      <c r="X1614" s="135"/>
      <c r="Y1614" s="135"/>
      <c r="Z1614" s="135"/>
      <c r="AA1614" s="135"/>
      <c r="AB1614" s="135"/>
      <c r="AC1614" s="135"/>
    </row>
    <row r="1615">
      <c r="I1615" s="97"/>
      <c r="J1615" s="97"/>
      <c r="K1615" s="97"/>
      <c r="L1615" s="153"/>
      <c r="M1615" s="97"/>
      <c r="N1615" s="97"/>
      <c r="O1615" s="97"/>
      <c r="P1615" s="97"/>
      <c r="Q1615" s="97"/>
      <c r="R1615" s="135"/>
      <c r="S1615" s="135"/>
      <c r="T1615" s="135"/>
      <c r="U1615" s="135"/>
      <c r="V1615" s="135"/>
      <c r="W1615" s="137"/>
      <c r="X1615" s="135"/>
      <c r="Y1615" s="135"/>
      <c r="Z1615" s="135"/>
      <c r="AA1615" s="135"/>
      <c r="AB1615" s="135"/>
      <c r="AC1615" s="135"/>
    </row>
    <row r="1616">
      <c r="I1616" s="97"/>
      <c r="J1616" s="97"/>
      <c r="K1616" s="97"/>
      <c r="L1616" s="153"/>
      <c r="M1616" s="97"/>
      <c r="N1616" s="97"/>
      <c r="O1616" s="97"/>
      <c r="P1616" s="97"/>
      <c r="Q1616" s="97"/>
      <c r="R1616" s="135"/>
      <c r="S1616" s="135"/>
      <c r="T1616" s="135"/>
      <c r="U1616" s="135"/>
      <c r="V1616" s="135"/>
      <c r="W1616" s="137"/>
      <c r="X1616" s="135"/>
      <c r="Y1616" s="135"/>
      <c r="Z1616" s="135"/>
      <c r="AA1616" s="135"/>
      <c r="AB1616" s="135"/>
      <c r="AC1616" s="135"/>
    </row>
    <row r="1617">
      <c r="I1617" s="97"/>
      <c r="J1617" s="97"/>
      <c r="K1617" s="97"/>
      <c r="L1617" s="153"/>
      <c r="M1617" s="97"/>
      <c r="N1617" s="97"/>
      <c r="O1617" s="97"/>
      <c r="P1617" s="97"/>
      <c r="Q1617" s="97"/>
      <c r="R1617" s="135"/>
      <c r="S1617" s="135"/>
      <c r="T1617" s="135"/>
      <c r="U1617" s="135"/>
      <c r="V1617" s="135"/>
      <c r="W1617" s="137"/>
      <c r="X1617" s="135"/>
      <c r="Y1617" s="135"/>
      <c r="Z1617" s="135"/>
      <c r="AA1617" s="135"/>
      <c r="AB1617" s="135"/>
      <c r="AC1617" s="135"/>
    </row>
    <row r="1618">
      <c r="I1618" s="97"/>
      <c r="J1618" s="97"/>
      <c r="K1618" s="97"/>
      <c r="L1618" s="153"/>
      <c r="M1618" s="97"/>
      <c r="N1618" s="97"/>
      <c r="O1618" s="97"/>
      <c r="P1618" s="97"/>
      <c r="Q1618" s="97"/>
      <c r="R1618" s="135"/>
      <c r="S1618" s="135"/>
      <c r="T1618" s="135"/>
      <c r="U1618" s="135"/>
      <c r="V1618" s="135"/>
      <c r="W1618" s="137"/>
      <c r="X1618" s="135"/>
      <c r="Y1618" s="135"/>
      <c r="Z1618" s="135"/>
      <c r="AA1618" s="135"/>
      <c r="AB1618" s="135"/>
      <c r="AC1618" s="135"/>
    </row>
    <row r="1619">
      <c r="I1619" s="97"/>
      <c r="J1619" s="97"/>
      <c r="K1619" s="97"/>
      <c r="L1619" s="153"/>
      <c r="M1619" s="97"/>
      <c r="N1619" s="97"/>
      <c r="O1619" s="97"/>
      <c r="P1619" s="97"/>
      <c r="Q1619" s="97"/>
      <c r="R1619" s="135"/>
      <c r="S1619" s="135"/>
      <c r="T1619" s="135"/>
      <c r="U1619" s="135"/>
      <c r="V1619" s="135"/>
      <c r="W1619" s="137"/>
      <c r="X1619" s="135"/>
      <c r="Y1619" s="135"/>
      <c r="Z1619" s="135"/>
      <c r="AA1619" s="135"/>
      <c r="AB1619" s="135"/>
      <c r="AC1619" s="135"/>
    </row>
    <row r="1620">
      <c r="I1620" s="97"/>
      <c r="J1620" s="97"/>
      <c r="K1620" s="97"/>
      <c r="L1620" s="153"/>
      <c r="M1620" s="97"/>
      <c r="N1620" s="97"/>
      <c r="O1620" s="97"/>
      <c r="P1620" s="97"/>
      <c r="Q1620" s="97"/>
      <c r="R1620" s="135"/>
      <c r="S1620" s="135"/>
      <c r="T1620" s="135"/>
      <c r="U1620" s="135"/>
      <c r="V1620" s="135"/>
      <c r="W1620" s="137"/>
      <c r="X1620" s="135"/>
      <c r="Y1620" s="135"/>
      <c r="Z1620" s="135"/>
      <c r="AA1620" s="135"/>
      <c r="AB1620" s="135"/>
      <c r="AC1620" s="135"/>
    </row>
    <row r="1621">
      <c r="I1621" s="97"/>
      <c r="J1621" s="97"/>
      <c r="K1621" s="97"/>
      <c r="L1621" s="153"/>
      <c r="M1621" s="97"/>
      <c r="N1621" s="97"/>
      <c r="O1621" s="97"/>
      <c r="P1621" s="97"/>
      <c r="Q1621" s="97"/>
      <c r="R1621" s="135"/>
      <c r="S1621" s="135"/>
      <c r="T1621" s="135"/>
      <c r="U1621" s="135"/>
      <c r="V1621" s="135"/>
      <c r="W1621" s="137"/>
      <c r="X1621" s="135"/>
      <c r="Y1621" s="135"/>
      <c r="Z1621" s="135"/>
      <c r="AA1621" s="135"/>
      <c r="AB1621" s="135"/>
      <c r="AC1621" s="135"/>
    </row>
    <row r="1622">
      <c r="I1622" s="97"/>
      <c r="J1622" s="97"/>
      <c r="K1622" s="97"/>
      <c r="L1622" s="153"/>
      <c r="M1622" s="97"/>
      <c r="N1622" s="97"/>
      <c r="O1622" s="97"/>
      <c r="P1622" s="97"/>
      <c r="Q1622" s="97"/>
      <c r="R1622" s="135"/>
      <c r="S1622" s="135"/>
      <c r="T1622" s="135"/>
      <c r="U1622" s="135"/>
      <c r="V1622" s="135"/>
      <c r="W1622" s="137"/>
      <c r="X1622" s="135"/>
      <c r="Y1622" s="135"/>
      <c r="Z1622" s="135"/>
      <c r="AA1622" s="135"/>
      <c r="AB1622" s="135"/>
      <c r="AC1622" s="135"/>
    </row>
    <row r="1623">
      <c r="I1623" s="97"/>
      <c r="J1623" s="97"/>
      <c r="K1623" s="97"/>
      <c r="L1623" s="153"/>
      <c r="M1623" s="97"/>
      <c r="N1623" s="97"/>
      <c r="O1623" s="97"/>
      <c r="P1623" s="97"/>
      <c r="Q1623" s="97"/>
      <c r="R1623" s="135"/>
      <c r="S1623" s="135"/>
      <c r="T1623" s="135"/>
      <c r="U1623" s="135"/>
      <c r="V1623" s="135"/>
      <c r="W1623" s="137"/>
      <c r="X1623" s="135"/>
      <c r="Y1623" s="135"/>
      <c r="Z1623" s="135"/>
      <c r="AA1623" s="135"/>
      <c r="AB1623" s="135"/>
      <c r="AC1623" s="135"/>
    </row>
    <row r="1624">
      <c r="I1624" s="97"/>
      <c r="J1624" s="97"/>
      <c r="K1624" s="97"/>
      <c r="L1624" s="153"/>
      <c r="M1624" s="97"/>
      <c r="N1624" s="97"/>
      <c r="O1624" s="97"/>
      <c r="P1624" s="97"/>
      <c r="Q1624" s="97"/>
      <c r="R1624" s="135"/>
      <c r="S1624" s="135"/>
      <c r="T1624" s="135"/>
      <c r="U1624" s="135"/>
      <c r="V1624" s="135"/>
      <c r="W1624" s="137"/>
      <c r="X1624" s="135"/>
      <c r="Y1624" s="135"/>
      <c r="Z1624" s="135"/>
      <c r="AA1624" s="135"/>
      <c r="AB1624" s="135"/>
      <c r="AC1624" s="135"/>
    </row>
    <row r="1625">
      <c r="I1625" s="97"/>
      <c r="J1625" s="97"/>
      <c r="K1625" s="97"/>
      <c r="L1625" s="153"/>
      <c r="M1625" s="97"/>
      <c r="N1625" s="97"/>
      <c r="O1625" s="97"/>
      <c r="P1625" s="97"/>
      <c r="Q1625" s="97"/>
      <c r="R1625" s="135"/>
      <c r="S1625" s="135"/>
      <c r="T1625" s="135"/>
      <c r="U1625" s="135"/>
      <c r="V1625" s="135"/>
      <c r="W1625" s="137"/>
      <c r="X1625" s="135"/>
      <c r="Y1625" s="135"/>
      <c r="Z1625" s="135"/>
      <c r="AA1625" s="135"/>
      <c r="AB1625" s="135"/>
      <c r="AC1625" s="135"/>
    </row>
    <row r="1626">
      <c r="I1626" s="97"/>
      <c r="J1626" s="97"/>
      <c r="K1626" s="97"/>
      <c r="L1626" s="153"/>
      <c r="M1626" s="97"/>
      <c r="N1626" s="97"/>
      <c r="O1626" s="97"/>
      <c r="P1626" s="97"/>
      <c r="Q1626" s="97"/>
      <c r="R1626" s="135"/>
      <c r="S1626" s="135"/>
      <c r="T1626" s="135"/>
      <c r="U1626" s="135"/>
      <c r="V1626" s="135"/>
      <c r="W1626" s="137"/>
      <c r="X1626" s="135"/>
      <c r="Y1626" s="135"/>
      <c r="Z1626" s="135"/>
      <c r="AA1626" s="135"/>
      <c r="AB1626" s="135"/>
      <c r="AC1626" s="135"/>
    </row>
    <row r="1627">
      <c r="I1627" s="97"/>
      <c r="J1627" s="97"/>
      <c r="K1627" s="97"/>
      <c r="L1627" s="153"/>
      <c r="M1627" s="97"/>
      <c r="N1627" s="97"/>
      <c r="O1627" s="97"/>
      <c r="P1627" s="97"/>
      <c r="Q1627" s="97"/>
      <c r="R1627" s="135"/>
      <c r="S1627" s="135"/>
      <c r="T1627" s="135"/>
      <c r="U1627" s="135"/>
      <c r="V1627" s="135"/>
      <c r="W1627" s="137"/>
      <c r="X1627" s="135"/>
      <c r="Y1627" s="135"/>
      <c r="Z1627" s="135"/>
      <c r="AA1627" s="135"/>
      <c r="AB1627" s="135"/>
      <c r="AC1627" s="135"/>
    </row>
    <row r="1628">
      <c r="I1628" s="97"/>
      <c r="J1628" s="97"/>
      <c r="K1628" s="97"/>
      <c r="L1628" s="153"/>
      <c r="M1628" s="97"/>
      <c r="N1628" s="97"/>
      <c r="O1628" s="97"/>
      <c r="P1628" s="97"/>
      <c r="Q1628" s="97"/>
      <c r="R1628" s="135"/>
      <c r="S1628" s="135"/>
      <c r="T1628" s="135"/>
      <c r="U1628" s="135"/>
      <c r="V1628" s="135"/>
      <c r="W1628" s="137"/>
      <c r="X1628" s="135"/>
      <c r="Y1628" s="135"/>
      <c r="Z1628" s="135"/>
      <c r="AA1628" s="135"/>
      <c r="AB1628" s="135"/>
      <c r="AC1628" s="135"/>
    </row>
    <row r="1629">
      <c r="I1629" s="97"/>
      <c r="J1629" s="97"/>
      <c r="K1629" s="97"/>
      <c r="L1629" s="153"/>
      <c r="M1629" s="97"/>
      <c r="N1629" s="97"/>
      <c r="O1629" s="97"/>
      <c r="P1629" s="97"/>
      <c r="Q1629" s="97"/>
      <c r="R1629" s="135"/>
      <c r="S1629" s="135"/>
      <c r="T1629" s="135"/>
      <c r="U1629" s="135"/>
      <c r="V1629" s="135"/>
      <c r="W1629" s="137"/>
      <c r="X1629" s="135"/>
      <c r="Y1629" s="135"/>
      <c r="Z1629" s="135"/>
      <c r="AA1629" s="135"/>
      <c r="AB1629" s="135"/>
      <c r="AC1629" s="135"/>
    </row>
    <row r="1630">
      <c r="I1630" s="97"/>
      <c r="J1630" s="97"/>
      <c r="K1630" s="97"/>
      <c r="L1630" s="153"/>
      <c r="M1630" s="97"/>
      <c r="N1630" s="97"/>
      <c r="O1630" s="97"/>
      <c r="P1630" s="97"/>
      <c r="Q1630" s="97"/>
      <c r="R1630" s="135"/>
      <c r="S1630" s="135"/>
      <c r="T1630" s="135"/>
      <c r="U1630" s="135"/>
      <c r="V1630" s="135"/>
      <c r="W1630" s="137"/>
      <c r="X1630" s="135"/>
      <c r="Y1630" s="135"/>
      <c r="Z1630" s="135"/>
      <c r="AA1630" s="135"/>
      <c r="AB1630" s="135"/>
      <c r="AC1630" s="135"/>
    </row>
    <row r="1631">
      <c r="I1631" s="97"/>
      <c r="J1631" s="97"/>
      <c r="K1631" s="97"/>
      <c r="L1631" s="153"/>
      <c r="M1631" s="97"/>
      <c r="N1631" s="97"/>
      <c r="O1631" s="97"/>
      <c r="P1631" s="97"/>
      <c r="Q1631" s="97"/>
      <c r="R1631" s="135"/>
      <c r="S1631" s="135"/>
      <c r="T1631" s="135"/>
      <c r="U1631" s="135"/>
      <c r="V1631" s="135"/>
      <c r="W1631" s="137"/>
      <c r="X1631" s="135"/>
      <c r="Y1631" s="135"/>
      <c r="Z1631" s="135"/>
      <c r="AA1631" s="135"/>
      <c r="AB1631" s="135"/>
      <c r="AC1631" s="135"/>
    </row>
    <row r="1632">
      <c r="I1632" s="97"/>
      <c r="J1632" s="97"/>
      <c r="K1632" s="97"/>
      <c r="L1632" s="153"/>
      <c r="M1632" s="97"/>
      <c r="N1632" s="97"/>
      <c r="O1632" s="97"/>
      <c r="P1632" s="97"/>
      <c r="Q1632" s="97"/>
      <c r="R1632" s="135"/>
      <c r="S1632" s="135"/>
      <c r="T1632" s="135"/>
      <c r="U1632" s="135"/>
      <c r="V1632" s="135"/>
      <c r="W1632" s="137"/>
      <c r="X1632" s="135"/>
      <c r="Y1632" s="135"/>
      <c r="Z1632" s="135"/>
      <c r="AA1632" s="135"/>
      <c r="AB1632" s="135"/>
      <c r="AC1632" s="135"/>
    </row>
    <row r="1633">
      <c r="I1633" s="97"/>
      <c r="J1633" s="97"/>
      <c r="K1633" s="97"/>
      <c r="L1633" s="153"/>
      <c r="M1633" s="97"/>
      <c r="N1633" s="97"/>
      <c r="O1633" s="97"/>
      <c r="P1633" s="97"/>
      <c r="Q1633" s="97"/>
      <c r="R1633" s="135"/>
      <c r="S1633" s="135"/>
      <c r="T1633" s="135"/>
      <c r="U1633" s="135"/>
      <c r="V1633" s="135"/>
      <c r="W1633" s="137"/>
      <c r="X1633" s="135"/>
      <c r="Y1633" s="135"/>
      <c r="Z1633" s="135"/>
      <c r="AA1633" s="135"/>
      <c r="AB1633" s="135"/>
      <c r="AC1633" s="135"/>
    </row>
    <row r="1634">
      <c r="I1634" s="97"/>
      <c r="J1634" s="97"/>
      <c r="K1634" s="97"/>
      <c r="L1634" s="153"/>
      <c r="M1634" s="97"/>
      <c r="N1634" s="97"/>
      <c r="O1634" s="97"/>
      <c r="P1634" s="97"/>
      <c r="Q1634" s="97"/>
      <c r="R1634" s="135"/>
      <c r="S1634" s="135"/>
      <c r="T1634" s="135"/>
      <c r="U1634" s="135"/>
      <c r="V1634" s="135"/>
      <c r="W1634" s="137"/>
      <c r="X1634" s="135"/>
      <c r="Y1634" s="135"/>
      <c r="Z1634" s="135"/>
      <c r="AA1634" s="135"/>
      <c r="AB1634" s="135"/>
      <c r="AC1634" s="135"/>
    </row>
    <row r="1635">
      <c r="I1635" s="97"/>
      <c r="J1635" s="97"/>
      <c r="K1635" s="97"/>
      <c r="L1635" s="153"/>
      <c r="M1635" s="97"/>
      <c r="N1635" s="97"/>
      <c r="O1635" s="97"/>
      <c r="P1635" s="97"/>
      <c r="Q1635" s="97"/>
      <c r="R1635" s="135"/>
      <c r="S1635" s="135"/>
      <c r="T1635" s="135"/>
      <c r="U1635" s="135"/>
      <c r="V1635" s="135"/>
      <c r="W1635" s="137"/>
      <c r="X1635" s="135"/>
      <c r="Y1635" s="135"/>
      <c r="Z1635" s="135"/>
      <c r="AA1635" s="135"/>
      <c r="AB1635" s="135"/>
      <c r="AC1635" s="135"/>
    </row>
    <row r="1636">
      <c r="I1636" s="97"/>
      <c r="J1636" s="97"/>
      <c r="K1636" s="97"/>
      <c r="L1636" s="153"/>
      <c r="M1636" s="97"/>
      <c r="N1636" s="97"/>
      <c r="O1636" s="97"/>
      <c r="P1636" s="97"/>
      <c r="Q1636" s="97"/>
      <c r="R1636" s="135"/>
      <c r="S1636" s="135"/>
      <c r="T1636" s="135"/>
      <c r="U1636" s="135"/>
      <c r="V1636" s="135"/>
      <c r="W1636" s="137"/>
      <c r="X1636" s="135"/>
      <c r="Y1636" s="135"/>
      <c r="Z1636" s="135"/>
      <c r="AA1636" s="135"/>
      <c r="AB1636" s="135"/>
      <c r="AC1636" s="135"/>
    </row>
    <row r="1637">
      <c r="I1637" s="97"/>
      <c r="J1637" s="97"/>
      <c r="K1637" s="97"/>
      <c r="L1637" s="153"/>
      <c r="M1637" s="97"/>
      <c r="N1637" s="97"/>
      <c r="O1637" s="97"/>
      <c r="P1637" s="97"/>
      <c r="Q1637" s="97"/>
      <c r="R1637" s="135"/>
      <c r="S1637" s="135"/>
      <c r="T1637" s="135"/>
      <c r="U1637" s="135"/>
      <c r="V1637" s="135"/>
      <c r="W1637" s="137"/>
      <c r="X1637" s="135"/>
      <c r="Y1637" s="135"/>
      <c r="Z1637" s="135"/>
      <c r="AA1637" s="135"/>
      <c r="AB1637" s="135"/>
      <c r="AC1637" s="135"/>
    </row>
    <row r="1638">
      <c r="I1638" s="97"/>
      <c r="J1638" s="97"/>
      <c r="K1638" s="97"/>
      <c r="L1638" s="153"/>
      <c r="M1638" s="97"/>
      <c r="N1638" s="97"/>
      <c r="O1638" s="97"/>
      <c r="P1638" s="97"/>
      <c r="Q1638" s="97"/>
      <c r="R1638" s="135"/>
      <c r="S1638" s="135"/>
      <c r="T1638" s="135"/>
      <c r="U1638" s="135"/>
      <c r="V1638" s="135"/>
      <c r="W1638" s="137"/>
      <c r="X1638" s="135"/>
      <c r="Y1638" s="135"/>
      <c r="Z1638" s="135"/>
      <c r="AA1638" s="135"/>
      <c r="AB1638" s="135"/>
      <c r="AC1638" s="135"/>
    </row>
    <row r="1639">
      <c r="I1639" s="97"/>
      <c r="J1639" s="97"/>
      <c r="K1639" s="97"/>
      <c r="L1639" s="153"/>
      <c r="M1639" s="97"/>
      <c r="N1639" s="97"/>
      <c r="O1639" s="97"/>
      <c r="P1639" s="97"/>
      <c r="Q1639" s="97"/>
      <c r="R1639" s="135"/>
      <c r="S1639" s="135"/>
      <c r="T1639" s="135"/>
      <c r="U1639" s="135"/>
      <c r="V1639" s="135"/>
      <c r="W1639" s="137"/>
      <c r="X1639" s="135"/>
      <c r="Y1639" s="135"/>
      <c r="Z1639" s="135"/>
      <c r="AA1639" s="135"/>
      <c r="AB1639" s="135"/>
      <c r="AC1639" s="135"/>
    </row>
    <row r="1640">
      <c r="I1640" s="97"/>
      <c r="J1640" s="97"/>
      <c r="K1640" s="97"/>
      <c r="L1640" s="153"/>
      <c r="M1640" s="97"/>
      <c r="N1640" s="97"/>
      <c r="O1640" s="97"/>
      <c r="P1640" s="97"/>
      <c r="Q1640" s="97"/>
      <c r="R1640" s="135"/>
      <c r="S1640" s="135"/>
      <c r="T1640" s="135"/>
      <c r="U1640" s="135"/>
      <c r="V1640" s="135"/>
      <c r="W1640" s="137"/>
      <c r="X1640" s="135"/>
      <c r="Y1640" s="135"/>
      <c r="Z1640" s="135"/>
      <c r="AA1640" s="135"/>
      <c r="AB1640" s="135"/>
      <c r="AC1640" s="135"/>
    </row>
    <row r="1641">
      <c r="I1641" s="97"/>
      <c r="J1641" s="97"/>
      <c r="K1641" s="97"/>
      <c r="L1641" s="153"/>
      <c r="M1641" s="97"/>
      <c r="N1641" s="97"/>
      <c r="O1641" s="97"/>
      <c r="P1641" s="97"/>
      <c r="Q1641" s="97"/>
      <c r="R1641" s="135"/>
      <c r="S1641" s="135"/>
      <c r="T1641" s="135"/>
      <c r="U1641" s="135"/>
      <c r="V1641" s="135"/>
      <c r="W1641" s="137"/>
      <c r="X1641" s="135"/>
      <c r="Y1641" s="135"/>
      <c r="Z1641" s="135"/>
      <c r="AA1641" s="135"/>
      <c r="AB1641" s="135"/>
      <c r="AC1641" s="135"/>
    </row>
    <row r="1642">
      <c r="I1642" s="97"/>
      <c r="J1642" s="97"/>
      <c r="K1642" s="97"/>
      <c r="L1642" s="153"/>
      <c r="M1642" s="97"/>
      <c r="N1642" s="97"/>
      <c r="O1642" s="97"/>
      <c r="P1642" s="97"/>
      <c r="Q1642" s="97"/>
      <c r="R1642" s="135"/>
      <c r="S1642" s="135"/>
      <c r="T1642" s="135"/>
      <c r="U1642" s="135"/>
      <c r="V1642" s="135"/>
      <c r="W1642" s="137"/>
      <c r="X1642" s="135"/>
      <c r="Y1642" s="135"/>
      <c r="Z1642" s="135"/>
      <c r="AA1642" s="135"/>
      <c r="AB1642" s="135"/>
      <c r="AC1642" s="135"/>
    </row>
    <row r="1643">
      <c r="I1643" s="97"/>
      <c r="J1643" s="97"/>
      <c r="K1643" s="97"/>
      <c r="L1643" s="153"/>
      <c r="M1643" s="97"/>
      <c r="N1643" s="97"/>
      <c r="O1643" s="97"/>
      <c r="P1643" s="97"/>
      <c r="Q1643" s="97"/>
      <c r="R1643" s="135"/>
      <c r="S1643" s="135"/>
      <c r="T1643" s="135"/>
      <c r="U1643" s="135"/>
      <c r="V1643" s="135"/>
      <c r="W1643" s="137"/>
      <c r="X1643" s="135"/>
      <c r="Y1643" s="135"/>
      <c r="Z1643" s="135"/>
      <c r="AA1643" s="135"/>
      <c r="AB1643" s="135"/>
      <c r="AC1643" s="135"/>
    </row>
    <row r="1644">
      <c r="I1644" s="97"/>
      <c r="J1644" s="97"/>
      <c r="K1644" s="97"/>
      <c r="L1644" s="153"/>
      <c r="M1644" s="97"/>
      <c r="N1644" s="97"/>
      <c r="O1644" s="97"/>
      <c r="P1644" s="97"/>
      <c r="Q1644" s="97"/>
      <c r="R1644" s="135"/>
      <c r="S1644" s="135"/>
      <c r="T1644" s="135"/>
      <c r="U1644" s="135"/>
      <c r="V1644" s="135"/>
      <c r="W1644" s="137"/>
      <c r="X1644" s="135"/>
      <c r="Y1644" s="135"/>
      <c r="Z1644" s="135"/>
      <c r="AA1644" s="135"/>
      <c r="AB1644" s="135"/>
      <c r="AC1644" s="135"/>
    </row>
    <row r="1645">
      <c r="I1645" s="97"/>
      <c r="J1645" s="97"/>
      <c r="K1645" s="97"/>
      <c r="L1645" s="153"/>
      <c r="M1645" s="97"/>
      <c r="N1645" s="97"/>
      <c r="O1645" s="97"/>
      <c r="P1645" s="97"/>
      <c r="Q1645" s="97"/>
      <c r="R1645" s="135"/>
      <c r="S1645" s="135"/>
      <c r="T1645" s="135"/>
      <c r="U1645" s="135"/>
      <c r="V1645" s="135"/>
      <c r="W1645" s="137"/>
      <c r="X1645" s="135"/>
      <c r="Y1645" s="135"/>
      <c r="Z1645" s="135"/>
      <c r="AA1645" s="135"/>
      <c r="AB1645" s="135"/>
      <c r="AC1645" s="135"/>
    </row>
    <row r="1646">
      <c r="I1646" s="97"/>
      <c r="J1646" s="97"/>
      <c r="K1646" s="97"/>
      <c r="L1646" s="153"/>
      <c r="M1646" s="97"/>
      <c r="N1646" s="97"/>
      <c r="O1646" s="97"/>
      <c r="P1646" s="97"/>
      <c r="Q1646" s="97"/>
      <c r="R1646" s="135"/>
      <c r="S1646" s="135"/>
      <c r="T1646" s="135"/>
      <c r="U1646" s="135"/>
      <c r="V1646" s="135"/>
      <c r="W1646" s="137"/>
      <c r="X1646" s="135"/>
      <c r="Y1646" s="135"/>
      <c r="Z1646" s="135"/>
      <c r="AA1646" s="135"/>
      <c r="AB1646" s="135"/>
      <c r="AC1646" s="135"/>
    </row>
    <row r="1647">
      <c r="I1647" s="97"/>
      <c r="J1647" s="97"/>
      <c r="K1647" s="97"/>
      <c r="L1647" s="153"/>
      <c r="M1647" s="97"/>
      <c r="N1647" s="97"/>
      <c r="O1647" s="97"/>
      <c r="P1647" s="97"/>
      <c r="Q1647" s="97"/>
      <c r="R1647" s="135"/>
      <c r="S1647" s="135"/>
      <c r="T1647" s="135"/>
      <c r="U1647" s="135"/>
      <c r="V1647" s="135"/>
      <c r="W1647" s="137"/>
      <c r="X1647" s="135"/>
      <c r="Y1647" s="135"/>
      <c r="Z1647" s="135"/>
      <c r="AA1647" s="135"/>
      <c r="AB1647" s="135"/>
      <c r="AC1647" s="135"/>
    </row>
    <row r="1648">
      <c r="I1648" s="97"/>
      <c r="J1648" s="97"/>
      <c r="K1648" s="97"/>
      <c r="L1648" s="153"/>
      <c r="M1648" s="97"/>
      <c r="N1648" s="97"/>
      <c r="O1648" s="97"/>
      <c r="P1648" s="97"/>
      <c r="Q1648" s="97"/>
      <c r="R1648" s="135"/>
      <c r="S1648" s="135"/>
      <c r="T1648" s="135"/>
      <c r="U1648" s="135"/>
      <c r="V1648" s="135"/>
      <c r="W1648" s="137"/>
      <c r="X1648" s="135"/>
      <c r="Y1648" s="135"/>
      <c r="Z1648" s="135"/>
      <c r="AA1648" s="135"/>
      <c r="AB1648" s="135"/>
      <c r="AC1648" s="135"/>
    </row>
    <row r="1649">
      <c r="I1649" s="97"/>
      <c r="J1649" s="97"/>
      <c r="K1649" s="97"/>
      <c r="L1649" s="153"/>
      <c r="M1649" s="97"/>
      <c r="N1649" s="97"/>
      <c r="O1649" s="97"/>
      <c r="P1649" s="97"/>
      <c r="Q1649" s="97"/>
      <c r="R1649" s="135"/>
      <c r="S1649" s="135"/>
      <c r="T1649" s="135"/>
      <c r="U1649" s="135"/>
      <c r="V1649" s="135"/>
      <c r="W1649" s="137"/>
      <c r="X1649" s="135"/>
      <c r="Y1649" s="135"/>
      <c r="Z1649" s="135"/>
      <c r="AA1649" s="135"/>
      <c r="AB1649" s="135"/>
      <c r="AC1649" s="135"/>
    </row>
    <row r="1650">
      <c r="I1650" s="97"/>
      <c r="J1650" s="97"/>
      <c r="K1650" s="97"/>
      <c r="L1650" s="153"/>
      <c r="M1650" s="97"/>
      <c r="N1650" s="97"/>
      <c r="O1650" s="97"/>
      <c r="P1650" s="97"/>
      <c r="Q1650" s="97"/>
      <c r="R1650" s="135"/>
      <c r="S1650" s="135"/>
      <c r="T1650" s="135"/>
      <c r="U1650" s="135"/>
      <c r="V1650" s="135"/>
      <c r="W1650" s="137"/>
      <c r="X1650" s="135"/>
      <c r="Y1650" s="135"/>
      <c r="Z1650" s="135"/>
      <c r="AA1650" s="135"/>
      <c r="AB1650" s="135"/>
      <c r="AC1650" s="135"/>
    </row>
    <row r="1651">
      <c r="I1651" s="97"/>
      <c r="J1651" s="97"/>
      <c r="K1651" s="97"/>
      <c r="L1651" s="153"/>
      <c r="M1651" s="97"/>
      <c r="N1651" s="97"/>
      <c r="O1651" s="97"/>
      <c r="P1651" s="97"/>
      <c r="Q1651" s="97"/>
      <c r="R1651" s="135"/>
      <c r="S1651" s="135"/>
      <c r="T1651" s="135"/>
      <c r="U1651" s="135"/>
      <c r="V1651" s="135"/>
      <c r="W1651" s="137"/>
      <c r="X1651" s="135"/>
      <c r="Y1651" s="135"/>
      <c r="Z1651" s="135"/>
      <c r="AA1651" s="135"/>
      <c r="AB1651" s="135"/>
      <c r="AC1651" s="135"/>
    </row>
    <row r="1652">
      <c r="I1652" s="97"/>
      <c r="J1652" s="97"/>
      <c r="K1652" s="97"/>
      <c r="L1652" s="153"/>
      <c r="M1652" s="97"/>
      <c r="N1652" s="97"/>
      <c r="O1652" s="97"/>
      <c r="P1652" s="97"/>
      <c r="Q1652" s="97"/>
      <c r="R1652" s="135"/>
      <c r="S1652" s="135"/>
      <c r="T1652" s="135"/>
      <c r="U1652" s="135"/>
      <c r="V1652" s="135"/>
      <c r="W1652" s="137"/>
      <c r="X1652" s="135"/>
      <c r="Y1652" s="135"/>
      <c r="Z1652" s="135"/>
      <c r="AA1652" s="135"/>
      <c r="AB1652" s="135"/>
      <c r="AC1652" s="135"/>
    </row>
    <row r="1653">
      <c r="I1653" s="97"/>
      <c r="J1653" s="97"/>
      <c r="K1653" s="97"/>
      <c r="L1653" s="153"/>
      <c r="M1653" s="97"/>
      <c r="N1653" s="97"/>
      <c r="O1653" s="97"/>
      <c r="P1653" s="97"/>
      <c r="Q1653" s="97"/>
      <c r="R1653" s="135"/>
      <c r="S1653" s="135"/>
      <c r="T1653" s="135"/>
      <c r="U1653" s="135"/>
      <c r="V1653" s="135"/>
      <c r="W1653" s="137"/>
      <c r="X1653" s="135"/>
      <c r="Y1653" s="135"/>
      <c r="Z1653" s="135"/>
      <c r="AA1653" s="135"/>
      <c r="AB1653" s="135"/>
      <c r="AC1653" s="135"/>
    </row>
    <row r="1654">
      <c r="I1654" s="97"/>
      <c r="J1654" s="97"/>
      <c r="K1654" s="97"/>
      <c r="L1654" s="153"/>
      <c r="M1654" s="97"/>
      <c r="N1654" s="97"/>
      <c r="O1654" s="97"/>
      <c r="P1654" s="97"/>
      <c r="Q1654" s="97"/>
      <c r="R1654" s="135"/>
      <c r="S1654" s="135"/>
      <c r="T1654" s="135"/>
      <c r="U1654" s="135"/>
      <c r="V1654" s="135"/>
      <c r="W1654" s="137"/>
      <c r="X1654" s="135"/>
      <c r="Y1654" s="135"/>
      <c r="Z1654" s="135"/>
      <c r="AA1654" s="135"/>
      <c r="AB1654" s="135"/>
      <c r="AC1654" s="135"/>
    </row>
    <row r="1655">
      <c r="I1655" s="97"/>
      <c r="J1655" s="97"/>
      <c r="K1655" s="97"/>
      <c r="L1655" s="153"/>
      <c r="M1655" s="97"/>
      <c r="N1655" s="97"/>
      <c r="O1655" s="97"/>
      <c r="P1655" s="97"/>
      <c r="Q1655" s="97"/>
      <c r="R1655" s="135"/>
      <c r="S1655" s="135"/>
      <c r="T1655" s="135"/>
      <c r="U1655" s="135"/>
      <c r="V1655" s="135"/>
      <c r="W1655" s="137"/>
      <c r="X1655" s="135"/>
      <c r="Y1655" s="135"/>
      <c r="Z1655" s="135"/>
      <c r="AA1655" s="135"/>
      <c r="AB1655" s="135"/>
      <c r="AC1655" s="135"/>
    </row>
    <row r="1656">
      <c r="I1656" s="97"/>
      <c r="J1656" s="97"/>
      <c r="K1656" s="97"/>
      <c r="L1656" s="153"/>
      <c r="M1656" s="97"/>
      <c r="N1656" s="97"/>
      <c r="O1656" s="97"/>
      <c r="P1656" s="97"/>
      <c r="Q1656" s="97"/>
      <c r="R1656" s="135"/>
      <c r="S1656" s="135"/>
      <c r="T1656" s="135"/>
      <c r="U1656" s="135"/>
      <c r="V1656" s="135"/>
      <c r="W1656" s="137"/>
      <c r="X1656" s="135"/>
      <c r="Y1656" s="135"/>
      <c r="Z1656" s="135"/>
      <c r="AA1656" s="135"/>
      <c r="AB1656" s="135"/>
      <c r="AC1656" s="135"/>
    </row>
    <row r="1657">
      <c r="I1657" s="97"/>
      <c r="J1657" s="97"/>
      <c r="K1657" s="97"/>
      <c r="L1657" s="153"/>
      <c r="M1657" s="97"/>
      <c r="N1657" s="97"/>
      <c r="O1657" s="97"/>
      <c r="P1657" s="97"/>
      <c r="Q1657" s="97"/>
      <c r="R1657" s="135"/>
      <c r="S1657" s="135"/>
      <c r="T1657" s="135"/>
      <c r="U1657" s="135"/>
      <c r="V1657" s="135"/>
      <c r="W1657" s="137"/>
      <c r="X1657" s="135"/>
      <c r="Y1657" s="135"/>
      <c r="Z1657" s="135"/>
      <c r="AA1657" s="135"/>
      <c r="AB1657" s="135"/>
      <c r="AC1657" s="135"/>
    </row>
    <row r="1658">
      <c r="I1658" s="97"/>
      <c r="J1658" s="97"/>
      <c r="K1658" s="97"/>
      <c r="L1658" s="153"/>
      <c r="M1658" s="97"/>
      <c r="N1658" s="97"/>
      <c r="O1658" s="97"/>
      <c r="P1658" s="97"/>
      <c r="Q1658" s="97"/>
      <c r="R1658" s="135"/>
      <c r="S1658" s="135"/>
      <c r="T1658" s="135"/>
      <c r="U1658" s="135"/>
      <c r="V1658" s="135"/>
      <c r="W1658" s="137"/>
      <c r="X1658" s="135"/>
      <c r="Y1658" s="135"/>
      <c r="Z1658" s="135"/>
      <c r="AA1658" s="135"/>
      <c r="AB1658" s="135"/>
      <c r="AC1658" s="135"/>
    </row>
    <row r="1659">
      <c r="I1659" s="97"/>
      <c r="J1659" s="97"/>
      <c r="K1659" s="97"/>
      <c r="L1659" s="153"/>
      <c r="M1659" s="97"/>
      <c r="N1659" s="97"/>
      <c r="O1659" s="97"/>
      <c r="P1659" s="97"/>
      <c r="Q1659" s="97"/>
      <c r="R1659" s="135"/>
      <c r="S1659" s="135"/>
      <c r="T1659" s="135"/>
      <c r="U1659" s="135"/>
      <c r="V1659" s="135"/>
      <c r="W1659" s="137"/>
      <c r="X1659" s="135"/>
      <c r="Y1659" s="135"/>
      <c r="Z1659" s="135"/>
      <c r="AA1659" s="135"/>
      <c r="AB1659" s="135"/>
      <c r="AC1659" s="135"/>
    </row>
    <row r="1660">
      <c r="I1660" s="97"/>
      <c r="J1660" s="97"/>
      <c r="K1660" s="97"/>
      <c r="L1660" s="153"/>
      <c r="M1660" s="97"/>
      <c r="N1660" s="97"/>
      <c r="O1660" s="97"/>
      <c r="P1660" s="97"/>
      <c r="Q1660" s="97"/>
      <c r="R1660" s="135"/>
      <c r="S1660" s="135"/>
      <c r="T1660" s="135"/>
      <c r="U1660" s="135"/>
      <c r="V1660" s="135"/>
      <c r="W1660" s="137"/>
      <c r="X1660" s="135"/>
      <c r="Y1660" s="135"/>
      <c r="Z1660" s="135"/>
      <c r="AA1660" s="135"/>
      <c r="AB1660" s="135"/>
      <c r="AC1660" s="135"/>
    </row>
    <row r="1661">
      <c r="I1661" s="97"/>
      <c r="J1661" s="97"/>
      <c r="K1661" s="97"/>
      <c r="L1661" s="153"/>
      <c r="M1661" s="97"/>
      <c r="N1661" s="97"/>
      <c r="O1661" s="97"/>
      <c r="P1661" s="97"/>
      <c r="Q1661" s="97"/>
      <c r="R1661" s="135"/>
      <c r="S1661" s="135"/>
      <c r="T1661" s="135"/>
      <c r="U1661" s="135"/>
      <c r="V1661" s="135"/>
      <c r="W1661" s="137"/>
      <c r="X1661" s="135"/>
      <c r="Y1661" s="135"/>
      <c r="Z1661" s="135"/>
      <c r="AA1661" s="135"/>
      <c r="AB1661" s="135"/>
      <c r="AC1661" s="135"/>
    </row>
    <row r="1662">
      <c r="I1662" s="97"/>
      <c r="J1662" s="97"/>
      <c r="K1662" s="97"/>
      <c r="L1662" s="153"/>
      <c r="M1662" s="97"/>
      <c r="N1662" s="97"/>
      <c r="O1662" s="97"/>
      <c r="P1662" s="97"/>
      <c r="Q1662" s="97"/>
      <c r="R1662" s="135"/>
      <c r="S1662" s="135"/>
      <c r="T1662" s="135"/>
      <c r="U1662" s="135"/>
      <c r="V1662" s="135"/>
      <c r="W1662" s="137"/>
      <c r="X1662" s="135"/>
      <c r="Y1662" s="135"/>
      <c r="Z1662" s="135"/>
      <c r="AA1662" s="135"/>
      <c r="AB1662" s="135"/>
      <c r="AC1662" s="135"/>
    </row>
    <row r="1663">
      <c r="I1663" s="97"/>
      <c r="J1663" s="97"/>
      <c r="K1663" s="97"/>
      <c r="L1663" s="153"/>
      <c r="M1663" s="97"/>
      <c r="N1663" s="97"/>
      <c r="O1663" s="97"/>
      <c r="P1663" s="97"/>
      <c r="Q1663" s="97"/>
      <c r="R1663" s="135"/>
      <c r="S1663" s="135"/>
      <c r="T1663" s="135"/>
      <c r="U1663" s="135"/>
      <c r="V1663" s="135"/>
      <c r="W1663" s="137"/>
      <c r="X1663" s="135"/>
      <c r="Y1663" s="135"/>
      <c r="Z1663" s="135"/>
      <c r="AA1663" s="135"/>
      <c r="AB1663" s="135"/>
      <c r="AC1663" s="135"/>
    </row>
    <row r="1664">
      <c r="I1664" s="97"/>
      <c r="J1664" s="97"/>
      <c r="K1664" s="97"/>
      <c r="L1664" s="153"/>
      <c r="M1664" s="97"/>
      <c r="N1664" s="97"/>
      <c r="O1664" s="97"/>
      <c r="P1664" s="97"/>
      <c r="Q1664" s="97"/>
      <c r="R1664" s="135"/>
      <c r="S1664" s="135"/>
      <c r="T1664" s="135"/>
      <c r="U1664" s="135"/>
      <c r="V1664" s="135"/>
      <c r="W1664" s="137"/>
      <c r="X1664" s="135"/>
      <c r="Y1664" s="135"/>
      <c r="Z1664" s="135"/>
      <c r="AA1664" s="135"/>
      <c r="AB1664" s="135"/>
      <c r="AC1664" s="135"/>
    </row>
    <row r="1665">
      <c r="I1665" s="97"/>
      <c r="J1665" s="97"/>
      <c r="K1665" s="97"/>
      <c r="L1665" s="153"/>
      <c r="M1665" s="97"/>
      <c r="N1665" s="97"/>
      <c r="O1665" s="97"/>
      <c r="P1665" s="97"/>
      <c r="Q1665" s="97"/>
      <c r="R1665" s="135"/>
      <c r="S1665" s="135"/>
      <c r="T1665" s="135"/>
      <c r="U1665" s="135"/>
      <c r="V1665" s="135"/>
      <c r="W1665" s="137"/>
      <c r="X1665" s="135"/>
      <c r="Y1665" s="135"/>
      <c r="Z1665" s="135"/>
      <c r="AA1665" s="135"/>
      <c r="AB1665" s="135"/>
      <c r="AC1665" s="135"/>
    </row>
    <row r="1666">
      <c r="I1666" s="97"/>
      <c r="J1666" s="97"/>
      <c r="K1666" s="97"/>
      <c r="L1666" s="153"/>
      <c r="M1666" s="97"/>
      <c r="N1666" s="97"/>
      <c r="O1666" s="97"/>
      <c r="P1666" s="97"/>
      <c r="Q1666" s="97"/>
      <c r="R1666" s="135"/>
      <c r="S1666" s="135"/>
      <c r="T1666" s="135"/>
      <c r="U1666" s="135"/>
      <c r="V1666" s="135"/>
      <c r="W1666" s="137"/>
      <c r="X1666" s="135"/>
      <c r="Y1666" s="135"/>
      <c r="Z1666" s="135"/>
      <c r="AA1666" s="135"/>
      <c r="AB1666" s="135"/>
      <c r="AC1666" s="135"/>
    </row>
    <row r="1667">
      <c r="I1667" s="97"/>
      <c r="J1667" s="97"/>
      <c r="K1667" s="97"/>
      <c r="L1667" s="153"/>
      <c r="M1667" s="97"/>
      <c r="N1667" s="97"/>
      <c r="O1667" s="97"/>
      <c r="P1667" s="97"/>
      <c r="Q1667" s="97"/>
      <c r="R1667" s="135"/>
      <c r="S1667" s="135"/>
      <c r="T1667" s="135"/>
      <c r="U1667" s="135"/>
      <c r="V1667" s="135"/>
      <c r="W1667" s="137"/>
      <c r="X1667" s="135"/>
      <c r="Y1667" s="135"/>
      <c r="Z1667" s="135"/>
      <c r="AA1667" s="135"/>
      <c r="AB1667" s="135"/>
      <c r="AC1667" s="135"/>
    </row>
    <row r="1668">
      <c r="I1668" s="97"/>
      <c r="J1668" s="97"/>
      <c r="K1668" s="97"/>
      <c r="L1668" s="153"/>
      <c r="M1668" s="97"/>
      <c r="N1668" s="97"/>
      <c r="O1668" s="97"/>
      <c r="P1668" s="97"/>
      <c r="Q1668" s="97"/>
      <c r="R1668" s="135"/>
      <c r="S1668" s="135"/>
      <c r="T1668" s="135"/>
      <c r="U1668" s="135"/>
      <c r="V1668" s="135"/>
      <c r="W1668" s="137"/>
      <c r="X1668" s="135"/>
      <c r="Y1668" s="135"/>
      <c r="Z1668" s="135"/>
      <c r="AA1668" s="135"/>
      <c r="AB1668" s="135"/>
      <c r="AC1668" s="135"/>
    </row>
    <row r="1669">
      <c r="I1669" s="97"/>
      <c r="J1669" s="97"/>
      <c r="K1669" s="97"/>
      <c r="L1669" s="153"/>
      <c r="M1669" s="97"/>
      <c r="N1669" s="97"/>
      <c r="O1669" s="97"/>
      <c r="P1669" s="97"/>
      <c r="Q1669" s="97"/>
      <c r="R1669" s="135"/>
      <c r="S1669" s="135"/>
      <c r="T1669" s="135"/>
      <c r="U1669" s="135"/>
      <c r="V1669" s="135"/>
      <c r="W1669" s="137"/>
      <c r="X1669" s="135"/>
      <c r="Y1669" s="135"/>
      <c r="Z1669" s="135"/>
      <c r="AA1669" s="135"/>
      <c r="AB1669" s="135"/>
      <c r="AC1669" s="135"/>
    </row>
    <row r="1670">
      <c r="I1670" s="97"/>
      <c r="J1670" s="97"/>
      <c r="K1670" s="97"/>
      <c r="L1670" s="153"/>
      <c r="M1670" s="97"/>
      <c r="N1670" s="97"/>
      <c r="O1670" s="97"/>
      <c r="P1670" s="97"/>
      <c r="Q1670" s="97"/>
      <c r="R1670" s="135"/>
      <c r="S1670" s="135"/>
      <c r="T1670" s="135"/>
      <c r="U1670" s="135"/>
      <c r="V1670" s="135"/>
      <c r="W1670" s="137"/>
      <c r="X1670" s="135"/>
      <c r="Y1670" s="135"/>
      <c r="Z1670" s="135"/>
      <c r="AA1670" s="135"/>
      <c r="AB1670" s="135"/>
      <c r="AC1670" s="135"/>
    </row>
    <row r="1671">
      <c r="I1671" s="97"/>
      <c r="J1671" s="97"/>
      <c r="K1671" s="97"/>
      <c r="L1671" s="153"/>
      <c r="M1671" s="97"/>
      <c r="N1671" s="97"/>
      <c r="O1671" s="97"/>
      <c r="P1671" s="97"/>
      <c r="Q1671" s="97"/>
      <c r="R1671" s="135"/>
      <c r="S1671" s="135"/>
      <c r="T1671" s="135"/>
      <c r="U1671" s="135"/>
      <c r="V1671" s="135"/>
      <c r="W1671" s="137"/>
      <c r="X1671" s="135"/>
      <c r="Y1671" s="135"/>
      <c r="Z1671" s="135"/>
      <c r="AA1671" s="135"/>
      <c r="AB1671" s="135"/>
      <c r="AC1671" s="135"/>
    </row>
    <row r="1672">
      <c r="I1672" s="97"/>
      <c r="J1672" s="97"/>
      <c r="K1672" s="97"/>
      <c r="L1672" s="153"/>
      <c r="M1672" s="97"/>
      <c r="N1672" s="97"/>
      <c r="O1672" s="97"/>
      <c r="P1672" s="97"/>
      <c r="Q1672" s="97"/>
      <c r="R1672" s="135"/>
      <c r="S1672" s="135"/>
      <c r="T1672" s="135"/>
      <c r="U1672" s="135"/>
      <c r="V1672" s="135"/>
      <c r="W1672" s="137"/>
      <c r="X1672" s="135"/>
      <c r="Y1672" s="135"/>
      <c r="Z1672" s="135"/>
      <c r="AA1672" s="135"/>
      <c r="AB1672" s="135"/>
      <c r="AC1672" s="135"/>
    </row>
    <row r="1673">
      <c r="I1673" s="97"/>
      <c r="J1673" s="97"/>
      <c r="K1673" s="97"/>
      <c r="L1673" s="153"/>
      <c r="M1673" s="97"/>
      <c r="N1673" s="97"/>
      <c r="O1673" s="97"/>
      <c r="P1673" s="97"/>
      <c r="Q1673" s="97"/>
      <c r="R1673" s="135"/>
      <c r="S1673" s="135"/>
      <c r="T1673" s="135"/>
      <c r="U1673" s="135"/>
      <c r="V1673" s="135"/>
      <c r="W1673" s="137"/>
      <c r="X1673" s="135"/>
      <c r="Y1673" s="135"/>
      <c r="Z1673" s="135"/>
      <c r="AA1673" s="135"/>
      <c r="AB1673" s="135"/>
      <c r="AC1673" s="135"/>
    </row>
    <row r="1674">
      <c r="I1674" s="97"/>
      <c r="J1674" s="97"/>
      <c r="K1674" s="97"/>
      <c r="L1674" s="153"/>
      <c r="M1674" s="97"/>
      <c r="N1674" s="97"/>
      <c r="O1674" s="97"/>
      <c r="P1674" s="97"/>
      <c r="Q1674" s="97"/>
      <c r="R1674" s="135"/>
      <c r="S1674" s="135"/>
      <c r="T1674" s="135"/>
      <c r="U1674" s="135"/>
      <c r="V1674" s="135"/>
      <c r="W1674" s="137"/>
      <c r="X1674" s="135"/>
      <c r="Y1674" s="135"/>
      <c r="Z1674" s="135"/>
      <c r="AA1674" s="135"/>
      <c r="AB1674" s="135"/>
      <c r="AC1674" s="135"/>
    </row>
    <row r="1675">
      <c r="I1675" s="97"/>
      <c r="J1675" s="97"/>
      <c r="K1675" s="97"/>
      <c r="L1675" s="153"/>
      <c r="M1675" s="97"/>
      <c r="N1675" s="97"/>
      <c r="O1675" s="97"/>
      <c r="P1675" s="97"/>
      <c r="Q1675" s="97"/>
      <c r="R1675" s="135"/>
      <c r="S1675" s="135"/>
      <c r="T1675" s="135"/>
      <c r="U1675" s="135"/>
      <c r="V1675" s="135"/>
      <c r="W1675" s="137"/>
      <c r="X1675" s="135"/>
      <c r="Y1675" s="135"/>
      <c r="Z1675" s="135"/>
      <c r="AA1675" s="135"/>
      <c r="AB1675" s="135"/>
      <c r="AC1675" s="135"/>
    </row>
    <row r="1676">
      <c r="I1676" s="97"/>
      <c r="J1676" s="97"/>
      <c r="K1676" s="97"/>
      <c r="L1676" s="153"/>
      <c r="M1676" s="97"/>
      <c r="N1676" s="97"/>
      <c r="O1676" s="97"/>
      <c r="P1676" s="97"/>
      <c r="Q1676" s="97"/>
      <c r="R1676" s="135"/>
      <c r="S1676" s="135"/>
      <c r="T1676" s="135"/>
      <c r="U1676" s="135"/>
      <c r="V1676" s="135"/>
      <c r="W1676" s="137"/>
      <c r="X1676" s="135"/>
      <c r="Y1676" s="135"/>
      <c r="Z1676" s="135"/>
      <c r="AA1676" s="135"/>
      <c r="AB1676" s="135"/>
      <c r="AC1676" s="135"/>
    </row>
    <row r="1677">
      <c r="I1677" s="97"/>
      <c r="J1677" s="97"/>
      <c r="K1677" s="97"/>
      <c r="L1677" s="153"/>
      <c r="M1677" s="97"/>
      <c r="N1677" s="97"/>
      <c r="O1677" s="97"/>
      <c r="P1677" s="97"/>
      <c r="Q1677" s="97"/>
      <c r="R1677" s="135"/>
      <c r="S1677" s="135"/>
      <c r="T1677" s="135"/>
      <c r="U1677" s="135"/>
      <c r="V1677" s="135"/>
      <c r="W1677" s="137"/>
      <c r="X1677" s="135"/>
      <c r="Y1677" s="135"/>
      <c r="Z1677" s="135"/>
      <c r="AA1677" s="135"/>
      <c r="AB1677" s="135"/>
      <c r="AC1677" s="135"/>
    </row>
    <row r="1678">
      <c r="I1678" s="97"/>
      <c r="J1678" s="97"/>
      <c r="K1678" s="97"/>
      <c r="L1678" s="153"/>
      <c r="M1678" s="97"/>
      <c r="N1678" s="97"/>
      <c r="O1678" s="97"/>
      <c r="P1678" s="97"/>
      <c r="Q1678" s="97"/>
      <c r="R1678" s="135"/>
      <c r="S1678" s="135"/>
      <c r="T1678" s="135"/>
      <c r="U1678" s="135"/>
      <c r="V1678" s="135"/>
      <c r="W1678" s="137"/>
      <c r="X1678" s="135"/>
      <c r="Y1678" s="135"/>
      <c r="Z1678" s="135"/>
      <c r="AA1678" s="135"/>
      <c r="AB1678" s="135"/>
      <c r="AC1678" s="135"/>
    </row>
    <row r="1679">
      <c r="I1679" s="97"/>
      <c r="J1679" s="97"/>
      <c r="K1679" s="97"/>
      <c r="L1679" s="153"/>
      <c r="M1679" s="97"/>
      <c r="N1679" s="97"/>
      <c r="O1679" s="97"/>
      <c r="P1679" s="97"/>
      <c r="Q1679" s="97"/>
      <c r="R1679" s="135"/>
      <c r="S1679" s="135"/>
      <c r="T1679" s="135"/>
      <c r="U1679" s="135"/>
      <c r="V1679" s="135"/>
      <c r="W1679" s="137"/>
      <c r="X1679" s="135"/>
      <c r="Y1679" s="135"/>
      <c r="Z1679" s="135"/>
      <c r="AA1679" s="135"/>
      <c r="AB1679" s="135"/>
      <c r="AC1679" s="135"/>
    </row>
    <row r="1680">
      <c r="I1680" s="97"/>
      <c r="J1680" s="97"/>
      <c r="K1680" s="97"/>
      <c r="L1680" s="153"/>
      <c r="M1680" s="97"/>
      <c r="N1680" s="97"/>
      <c r="O1680" s="97"/>
      <c r="P1680" s="97"/>
      <c r="Q1680" s="97"/>
      <c r="R1680" s="135"/>
      <c r="S1680" s="135"/>
      <c r="T1680" s="135"/>
      <c r="U1680" s="135"/>
      <c r="V1680" s="135"/>
      <c r="W1680" s="137"/>
      <c r="X1680" s="135"/>
      <c r="Y1680" s="135"/>
      <c r="Z1680" s="135"/>
      <c r="AA1680" s="135"/>
      <c r="AB1680" s="135"/>
      <c r="AC1680" s="135"/>
    </row>
    <row r="1681">
      <c r="I1681" s="97"/>
      <c r="J1681" s="97"/>
      <c r="K1681" s="97"/>
      <c r="L1681" s="153"/>
      <c r="M1681" s="97"/>
      <c r="N1681" s="97"/>
      <c r="O1681" s="97"/>
      <c r="P1681" s="97"/>
      <c r="Q1681" s="97"/>
      <c r="R1681" s="135"/>
      <c r="S1681" s="135"/>
      <c r="T1681" s="135"/>
      <c r="U1681" s="135"/>
      <c r="V1681" s="135"/>
      <c r="W1681" s="137"/>
      <c r="X1681" s="135"/>
      <c r="Y1681" s="135"/>
      <c r="Z1681" s="135"/>
      <c r="AA1681" s="135"/>
      <c r="AB1681" s="135"/>
      <c r="AC1681" s="135"/>
    </row>
    <row r="1682">
      <c r="I1682" s="97"/>
      <c r="J1682" s="97"/>
      <c r="K1682" s="97"/>
      <c r="L1682" s="153"/>
      <c r="M1682" s="97"/>
      <c r="N1682" s="97"/>
      <c r="O1682" s="97"/>
      <c r="P1682" s="97"/>
      <c r="Q1682" s="97"/>
      <c r="R1682" s="135"/>
      <c r="S1682" s="135"/>
      <c r="T1682" s="135"/>
      <c r="U1682" s="135"/>
      <c r="V1682" s="135"/>
      <c r="W1682" s="137"/>
      <c r="X1682" s="135"/>
      <c r="Y1682" s="135"/>
      <c r="Z1682" s="135"/>
      <c r="AA1682" s="135"/>
      <c r="AB1682" s="135"/>
      <c r="AC1682" s="135"/>
    </row>
    <row r="1683">
      <c r="I1683" s="97"/>
      <c r="J1683" s="97"/>
      <c r="K1683" s="97"/>
      <c r="L1683" s="153"/>
      <c r="M1683" s="97"/>
      <c r="N1683" s="97"/>
      <c r="O1683" s="97"/>
      <c r="P1683" s="97"/>
      <c r="Q1683" s="97"/>
      <c r="R1683" s="135"/>
      <c r="S1683" s="135"/>
      <c r="T1683" s="135"/>
      <c r="U1683" s="135"/>
      <c r="V1683" s="135"/>
      <c r="W1683" s="137"/>
      <c r="X1683" s="135"/>
      <c r="Y1683" s="135"/>
      <c r="Z1683" s="135"/>
      <c r="AA1683" s="135"/>
      <c r="AB1683" s="135"/>
      <c r="AC1683" s="135"/>
    </row>
    <row r="1684">
      <c r="I1684" s="97"/>
      <c r="J1684" s="97"/>
      <c r="K1684" s="97"/>
      <c r="L1684" s="153"/>
      <c r="M1684" s="97"/>
      <c r="N1684" s="97"/>
      <c r="O1684" s="97"/>
      <c r="P1684" s="97"/>
      <c r="Q1684" s="97"/>
      <c r="R1684" s="135"/>
      <c r="S1684" s="135"/>
      <c r="T1684" s="135"/>
      <c r="U1684" s="135"/>
      <c r="V1684" s="135"/>
      <c r="W1684" s="137"/>
      <c r="X1684" s="135"/>
      <c r="Y1684" s="135"/>
      <c r="Z1684" s="135"/>
      <c r="AA1684" s="135"/>
      <c r="AB1684" s="135"/>
      <c r="AC1684" s="135"/>
    </row>
    <row r="1685">
      <c r="I1685" s="97"/>
      <c r="J1685" s="97"/>
      <c r="K1685" s="97"/>
      <c r="L1685" s="153"/>
      <c r="M1685" s="97"/>
      <c r="N1685" s="97"/>
      <c r="O1685" s="97"/>
      <c r="P1685" s="97"/>
      <c r="Q1685" s="97"/>
      <c r="R1685" s="135"/>
      <c r="S1685" s="135"/>
      <c r="T1685" s="135"/>
      <c r="U1685" s="135"/>
      <c r="V1685" s="135"/>
      <c r="W1685" s="137"/>
      <c r="X1685" s="135"/>
      <c r="Y1685" s="135"/>
      <c r="Z1685" s="135"/>
      <c r="AA1685" s="135"/>
      <c r="AB1685" s="135"/>
      <c r="AC1685" s="135"/>
    </row>
    <row r="1686">
      <c r="I1686" s="97"/>
      <c r="J1686" s="97"/>
      <c r="K1686" s="97"/>
      <c r="L1686" s="153"/>
      <c r="M1686" s="97"/>
      <c r="N1686" s="97"/>
      <c r="O1686" s="97"/>
      <c r="P1686" s="97"/>
      <c r="Q1686" s="97"/>
      <c r="R1686" s="135"/>
      <c r="S1686" s="135"/>
      <c r="T1686" s="135"/>
      <c r="U1686" s="135"/>
      <c r="V1686" s="135"/>
      <c r="W1686" s="137"/>
      <c r="X1686" s="135"/>
      <c r="Y1686" s="135"/>
      <c r="Z1686" s="135"/>
      <c r="AA1686" s="135"/>
      <c r="AB1686" s="135"/>
      <c r="AC1686" s="135"/>
    </row>
    <row r="1687">
      <c r="I1687" s="97"/>
      <c r="J1687" s="97"/>
      <c r="K1687" s="97"/>
      <c r="L1687" s="153"/>
      <c r="M1687" s="97"/>
      <c r="N1687" s="97"/>
      <c r="O1687" s="97"/>
      <c r="P1687" s="97"/>
      <c r="Q1687" s="97"/>
      <c r="R1687" s="135"/>
      <c r="S1687" s="135"/>
      <c r="T1687" s="135"/>
      <c r="U1687" s="135"/>
      <c r="V1687" s="135"/>
      <c r="W1687" s="137"/>
      <c r="X1687" s="135"/>
      <c r="Y1687" s="135"/>
      <c r="Z1687" s="135"/>
      <c r="AA1687" s="135"/>
      <c r="AB1687" s="135"/>
      <c r="AC1687" s="135"/>
    </row>
    <row r="1688">
      <c r="I1688" s="97"/>
      <c r="J1688" s="97"/>
      <c r="K1688" s="97"/>
      <c r="L1688" s="153"/>
      <c r="M1688" s="97"/>
      <c r="N1688" s="97"/>
      <c r="O1688" s="97"/>
      <c r="P1688" s="97"/>
      <c r="Q1688" s="97"/>
      <c r="R1688" s="135"/>
      <c r="S1688" s="135"/>
      <c r="T1688" s="135"/>
      <c r="U1688" s="135"/>
      <c r="V1688" s="135"/>
      <c r="W1688" s="137"/>
      <c r="X1688" s="135"/>
      <c r="Y1688" s="135"/>
      <c r="Z1688" s="135"/>
      <c r="AA1688" s="135"/>
      <c r="AB1688" s="135"/>
      <c r="AC1688" s="135"/>
    </row>
    <row r="1689">
      <c r="I1689" s="97"/>
      <c r="J1689" s="97"/>
      <c r="K1689" s="97"/>
      <c r="L1689" s="153"/>
      <c r="M1689" s="97"/>
      <c r="N1689" s="97"/>
      <c r="O1689" s="97"/>
      <c r="P1689" s="97"/>
      <c r="Q1689" s="97"/>
      <c r="R1689" s="135"/>
      <c r="S1689" s="135"/>
      <c r="T1689" s="135"/>
      <c r="U1689" s="135"/>
      <c r="V1689" s="135"/>
      <c r="W1689" s="137"/>
      <c r="X1689" s="135"/>
      <c r="Y1689" s="135"/>
      <c r="Z1689" s="135"/>
      <c r="AA1689" s="135"/>
      <c r="AB1689" s="135"/>
      <c r="AC1689" s="135"/>
    </row>
    <row r="1690">
      <c r="I1690" s="97"/>
      <c r="J1690" s="97"/>
      <c r="K1690" s="97"/>
      <c r="L1690" s="153"/>
      <c r="M1690" s="97"/>
      <c r="N1690" s="97"/>
      <c r="O1690" s="97"/>
      <c r="P1690" s="97"/>
      <c r="Q1690" s="97"/>
      <c r="R1690" s="135"/>
      <c r="S1690" s="135"/>
      <c r="T1690" s="135"/>
      <c r="U1690" s="135"/>
      <c r="V1690" s="135"/>
      <c r="W1690" s="137"/>
      <c r="X1690" s="135"/>
      <c r="Y1690" s="135"/>
      <c r="Z1690" s="135"/>
      <c r="AA1690" s="135"/>
      <c r="AB1690" s="135"/>
      <c r="AC1690" s="135"/>
    </row>
    <row r="1691">
      <c r="I1691" s="97"/>
      <c r="J1691" s="97"/>
      <c r="K1691" s="97"/>
      <c r="L1691" s="153"/>
      <c r="M1691" s="97"/>
      <c r="N1691" s="97"/>
      <c r="O1691" s="97"/>
      <c r="P1691" s="97"/>
      <c r="Q1691" s="97"/>
      <c r="R1691" s="135"/>
      <c r="S1691" s="135"/>
      <c r="T1691" s="135"/>
      <c r="U1691" s="135"/>
      <c r="V1691" s="135"/>
      <c r="W1691" s="137"/>
      <c r="X1691" s="135"/>
      <c r="Y1691" s="135"/>
      <c r="Z1691" s="135"/>
      <c r="AA1691" s="135"/>
      <c r="AB1691" s="135"/>
      <c r="AC1691" s="135"/>
    </row>
    <row r="1692">
      <c r="I1692" s="97"/>
      <c r="J1692" s="97"/>
      <c r="K1692" s="97"/>
      <c r="L1692" s="153"/>
      <c r="M1692" s="97"/>
      <c r="N1692" s="97"/>
      <c r="O1692" s="97"/>
      <c r="P1692" s="97"/>
      <c r="Q1692" s="97"/>
      <c r="R1692" s="135"/>
      <c r="S1692" s="135"/>
      <c r="T1692" s="135"/>
      <c r="U1692" s="135"/>
      <c r="V1692" s="135"/>
      <c r="W1692" s="137"/>
      <c r="X1692" s="135"/>
      <c r="Y1692" s="135"/>
      <c r="Z1692" s="135"/>
      <c r="AA1692" s="135"/>
      <c r="AB1692" s="135"/>
      <c r="AC1692" s="135"/>
    </row>
    <row r="1693">
      <c r="I1693" s="97"/>
      <c r="J1693" s="97"/>
      <c r="K1693" s="97"/>
      <c r="L1693" s="153"/>
      <c r="M1693" s="97"/>
      <c r="N1693" s="97"/>
      <c r="O1693" s="97"/>
      <c r="P1693" s="97"/>
      <c r="Q1693" s="97"/>
      <c r="R1693" s="135"/>
      <c r="S1693" s="135"/>
      <c r="T1693" s="135"/>
      <c r="U1693" s="135"/>
      <c r="V1693" s="135"/>
      <c r="W1693" s="137"/>
      <c r="X1693" s="135"/>
      <c r="Y1693" s="135"/>
      <c r="Z1693" s="135"/>
      <c r="AA1693" s="135"/>
      <c r="AB1693" s="135"/>
      <c r="AC1693" s="135"/>
    </row>
    <row r="1694">
      <c r="I1694" s="97"/>
      <c r="J1694" s="97"/>
      <c r="K1694" s="97"/>
      <c r="L1694" s="153"/>
      <c r="M1694" s="97"/>
      <c r="N1694" s="97"/>
      <c r="O1694" s="97"/>
      <c r="P1694" s="97"/>
      <c r="Q1694" s="97"/>
      <c r="R1694" s="135"/>
      <c r="S1694" s="135"/>
      <c r="T1694" s="135"/>
      <c r="U1694" s="135"/>
      <c r="V1694" s="135"/>
      <c r="W1694" s="137"/>
      <c r="X1694" s="135"/>
      <c r="Y1694" s="135"/>
      <c r="Z1694" s="135"/>
      <c r="AA1694" s="135"/>
      <c r="AB1694" s="135"/>
      <c r="AC1694" s="135"/>
    </row>
    <row r="1695">
      <c r="I1695" s="97"/>
      <c r="J1695" s="97"/>
      <c r="K1695" s="97"/>
      <c r="L1695" s="153"/>
      <c r="M1695" s="97"/>
      <c r="N1695" s="97"/>
      <c r="O1695" s="97"/>
      <c r="P1695" s="97"/>
      <c r="Q1695" s="97"/>
      <c r="R1695" s="135"/>
      <c r="S1695" s="135"/>
      <c r="T1695" s="135"/>
      <c r="U1695" s="135"/>
      <c r="V1695" s="135"/>
      <c r="W1695" s="137"/>
      <c r="X1695" s="135"/>
      <c r="Y1695" s="135"/>
      <c r="Z1695" s="135"/>
      <c r="AA1695" s="135"/>
      <c r="AB1695" s="135"/>
      <c r="AC1695" s="135"/>
    </row>
    <row r="1696">
      <c r="I1696" s="97"/>
      <c r="J1696" s="97"/>
      <c r="K1696" s="97"/>
      <c r="L1696" s="153"/>
      <c r="M1696" s="97"/>
      <c r="N1696" s="97"/>
      <c r="O1696" s="97"/>
      <c r="P1696" s="97"/>
      <c r="Q1696" s="97"/>
      <c r="R1696" s="135"/>
      <c r="S1696" s="135"/>
      <c r="T1696" s="135"/>
      <c r="U1696" s="135"/>
      <c r="V1696" s="135"/>
      <c r="W1696" s="137"/>
      <c r="X1696" s="135"/>
      <c r="Y1696" s="135"/>
      <c r="Z1696" s="135"/>
      <c r="AA1696" s="135"/>
      <c r="AB1696" s="135"/>
      <c r="AC1696" s="135"/>
    </row>
    <row r="1697">
      <c r="I1697" s="97"/>
      <c r="J1697" s="97"/>
      <c r="K1697" s="97"/>
      <c r="L1697" s="153"/>
      <c r="M1697" s="97"/>
      <c r="N1697" s="97"/>
      <c r="O1697" s="97"/>
      <c r="P1697" s="97"/>
      <c r="Q1697" s="97"/>
      <c r="R1697" s="135"/>
      <c r="S1697" s="135"/>
      <c r="T1697" s="135"/>
      <c r="U1697" s="135"/>
      <c r="V1697" s="135"/>
      <c r="W1697" s="137"/>
      <c r="X1697" s="135"/>
      <c r="Y1697" s="135"/>
      <c r="Z1697" s="135"/>
      <c r="AA1697" s="135"/>
      <c r="AB1697" s="135"/>
      <c r="AC1697" s="135"/>
    </row>
    <row r="1698">
      <c r="I1698" s="97"/>
      <c r="J1698" s="97"/>
      <c r="K1698" s="97"/>
      <c r="L1698" s="153"/>
      <c r="M1698" s="97"/>
      <c r="N1698" s="97"/>
      <c r="O1698" s="97"/>
      <c r="P1698" s="97"/>
      <c r="Q1698" s="97"/>
      <c r="R1698" s="135"/>
      <c r="S1698" s="135"/>
      <c r="T1698" s="135"/>
      <c r="U1698" s="135"/>
      <c r="V1698" s="135"/>
      <c r="W1698" s="137"/>
      <c r="X1698" s="135"/>
      <c r="Y1698" s="135"/>
      <c r="Z1698" s="135"/>
      <c r="AA1698" s="135"/>
      <c r="AB1698" s="135"/>
      <c r="AC1698" s="135"/>
    </row>
    <row r="1699">
      <c r="I1699" s="97"/>
      <c r="J1699" s="97"/>
      <c r="K1699" s="97"/>
      <c r="L1699" s="153"/>
      <c r="M1699" s="97"/>
      <c r="N1699" s="97"/>
      <c r="O1699" s="97"/>
      <c r="P1699" s="97"/>
      <c r="Q1699" s="97"/>
      <c r="R1699" s="135"/>
      <c r="S1699" s="135"/>
      <c r="T1699" s="135"/>
      <c r="U1699" s="135"/>
      <c r="V1699" s="135"/>
      <c r="W1699" s="137"/>
      <c r="X1699" s="135"/>
      <c r="Y1699" s="135"/>
      <c r="Z1699" s="135"/>
      <c r="AA1699" s="135"/>
      <c r="AB1699" s="135"/>
      <c r="AC1699" s="135"/>
    </row>
    <row r="1700">
      <c r="I1700" s="97"/>
      <c r="J1700" s="97"/>
      <c r="K1700" s="97"/>
      <c r="L1700" s="153"/>
      <c r="M1700" s="97"/>
      <c r="N1700" s="97"/>
      <c r="O1700" s="97"/>
      <c r="P1700" s="97"/>
      <c r="Q1700" s="97"/>
      <c r="R1700" s="135"/>
      <c r="S1700" s="135"/>
      <c r="T1700" s="135"/>
      <c r="U1700" s="135"/>
      <c r="V1700" s="135"/>
      <c r="W1700" s="137"/>
      <c r="X1700" s="135"/>
      <c r="Y1700" s="135"/>
      <c r="Z1700" s="135"/>
      <c r="AA1700" s="135"/>
      <c r="AB1700" s="135"/>
      <c r="AC1700" s="135"/>
    </row>
    <row r="1701">
      <c r="I1701" s="97"/>
      <c r="J1701" s="97"/>
      <c r="K1701" s="97"/>
      <c r="L1701" s="153"/>
      <c r="M1701" s="97"/>
      <c r="N1701" s="97"/>
      <c r="O1701" s="97"/>
      <c r="P1701" s="97"/>
      <c r="Q1701" s="97"/>
      <c r="R1701" s="135"/>
      <c r="S1701" s="135"/>
      <c r="T1701" s="135"/>
      <c r="U1701" s="135"/>
      <c r="V1701" s="135"/>
      <c r="W1701" s="137"/>
      <c r="X1701" s="135"/>
      <c r="Y1701" s="135"/>
      <c r="Z1701" s="135"/>
      <c r="AA1701" s="135"/>
      <c r="AB1701" s="135"/>
      <c r="AC1701" s="135"/>
    </row>
    <row r="1702">
      <c r="I1702" s="97"/>
      <c r="J1702" s="97"/>
      <c r="K1702" s="97"/>
      <c r="L1702" s="153"/>
      <c r="M1702" s="97"/>
      <c r="N1702" s="97"/>
      <c r="O1702" s="97"/>
      <c r="P1702" s="97"/>
      <c r="Q1702" s="97"/>
      <c r="R1702" s="135"/>
      <c r="S1702" s="135"/>
      <c r="T1702" s="135"/>
      <c r="U1702" s="135"/>
      <c r="V1702" s="135"/>
      <c r="W1702" s="137"/>
      <c r="X1702" s="135"/>
      <c r="Y1702" s="135"/>
      <c r="Z1702" s="135"/>
      <c r="AA1702" s="135"/>
      <c r="AB1702" s="135"/>
      <c r="AC1702" s="135"/>
    </row>
    <row r="1703">
      <c r="I1703" s="97"/>
      <c r="J1703" s="97"/>
      <c r="K1703" s="97"/>
      <c r="L1703" s="153"/>
      <c r="M1703" s="97"/>
      <c r="N1703" s="97"/>
      <c r="O1703" s="97"/>
      <c r="P1703" s="97"/>
      <c r="Q1703" s="97"/>
      <c r="R1703" s="135"/>
      <c r="S1703" s="135"/>
      <c r="T1703" s="135"/>
      <c r="U1703" s="135"/>
      <c r="V1703" s="135"/>
      <c r="W1703" s="137"/>
      <c r="X1703" s="135"/>
      <c r="Y1703" s="135"/>
      <c r="Z1703" s="135"/>
      <c r="AA1703" s="135"/>
      <c r="AB1703" s="135"/>
      <c r="AC1703" s="135"/>
    </row>
    <row r="1704">
      <c r="I1704" s="97"/>
      <c r="J1704" s="97"/>
      <c r="K1704" s="97"/>
      <c r="L1704" s="153"/>
      <c r="M1704" s="97"/>
      <c r="N1704" s="97"/>
      <c r="O1704" s="97"/>
      <c r="P1704" s="97"/>
      <c r="Q1704" s="97"/>
      <c r="R1704" s="135"/>
      <c r="S1704" s="135"/>
      <c r="T1704" s="135"/>
      <c r="U1704" s="135"/>
      <c r="V1704" s="135"/>
      <c r="W1704" s="137"/>
      <c r="X1704" s="135"/>
      <c r="Y1704" s="135"/>
      <c r="Z1704" s="135"/>
      <c r="AA1704" s="135"/>
      <c r="AB1704" s="135"/>
      <c r="AC1704" s="135"/>
    </row>
    <row r="1705">
      <c r="I1705" s="97"/>
      <c r="J1705" s="97"/>
      <c r="K1705" s="97"/>
      <c r="L1705" s="153"/>
      <c r="M1705" s="97"/>
      <c r="N1705" s="97"/>
      <c r="O1705" s="97"/>
      <c r="P1705" s="97"/>
      <c r="Q1705" s="97"/>
      <c r="R1705" s="135"/>
      <c r="S1705" s="135"/>
      <c r="T1705" s="135"/>
      <c r="U1705" s="135"/>
      <c r="V1705" s="135"/>
      <c r="W1705" s="137"/>
      <c r="X1705" s="135"/>
      <c r="Y1705" s="135"/>
      <c r="Z1705" s="135"/>
      <c r="AA1705" s="135"/>
      <c r="AB1705" s="135"/>
      <c r="AC1705" s="135"/>
    </row>
    <row r="1706">
      <c r="I1706" s="97"/>
      <c r="J1706" s="97"/>
      <c r="K1706" s="97"/>
      <c r="L1706" s="153"/>
      <c r="M1706" s="97"/>
      <c r="N1706" s="97"/>
      <c r="O1706" s="97"/>
      <c r="P1706" s="97"/>
      <c r="Q1706" s="97"/>
      <c r="R1706" s="135"/>
      <c r="S1706" s="135"/>
      <c r="T1706" s="135"/>
      <c r="U1706" s="135"/>
      <c r="V1706" s="135"/>
      <c r="W1706" s="137"/>
      <c r="X1706" s="135"/>
      <c r="Y1706" s="135"/>
      <c r="Z1706" s="135"/>
      <c r="AA1706" s="135"/>
      <c r="AB1706" s="135"/>
      <c r="AC1706" s="135"/>
    </row>
    <row r="1707">
      <c r="I1707" s="97"/>
      <c r="J1707" s="97"/>
      <c r="K1707" s="97"/>
      <c r="L1707" s="153"/>
      <c r="M1707" s="97"/>
      <c r="N1707" s="97"/>
      <c r="O1707" s="97"/>
      <c r="P1707" s="97"/>
      <c r="Q1707" s="97"/>
      <c r="R1707" s="135"/>
      <c r="S1707" s="135"/>
      <c r="T1707" s="135"/>
      <c r="U1707" s="135"/>
      <c r="V1707" s="135"/>
      <c r="W1707" s="137"/>
      <c r="X1707" s="135"/>
      <c r="Y1707" s="135"/>
      <c r="Z1707" s="135"/>
      <c r="AA1707" s="135"/>
      <c r="AB1707" s="135"/>
      <c r="AC1707" s="135"/>
    </row>
    <row r="1708">
      <c r="I1708" s="97"/>
      <c r="J1708" s="97"/>
      <c r="K1708" s="97"/>
      <c r="L1708" s="153"/>
      <c r="M1708" s="97"/>
      <c r="N1708" s="97"/>
      <c r="O1708" s="97"/>
      <c r="P1708" s="97"/>
      <c r="Q1708" s="97"/>
      <c r="R1708" s="135"/>
      <c r="S1708" s="135"/>
      <c r="T1708" s="135"/>
      <c r="U1708" s="135"/>
      <c r="V1708" s="135"/>
      <c r="W1708" s="137"/>
      <c r="X1708" s="135"/>
      <c r="Y1708" s="135"/>
      <c r="Z1708" s="135"/>
      <c r="AA1708" s="135"/>
      <c r="AB1708" s="135"/>
      <c r="AC1708" s="135"/>
    </row>
    <row r="1709">
      <c r="I1709" s="97"/>
      <c r="J1709" s="97"/>
      <c r="K1709" s="97"/>
      <c r="L1709" s="153"/>
      <c r="M1709" s="97"/>
      <c r="N1709" s="97"/>
      <c r="O1709" s="97"/>
      <c r="P1709" s="97"/>
      <c r="Q1709" s="97"/>
      <c r="R1709" s="135"/>
      <c r="S1709" s="135"/>
      <c r="T1709" s="135"/>
      <c r="U1709" s="135"/>
      <c r="V1709" s="135"/>
      <c r="W1709" s="137"/>
      <c r="X1709" s="135"/>
      <c r="Y1709" s="135"/>
      <c r="Z1709" s="135"/>
      <c r="AA1709" s="135"/>
      <c r="AB1709" s="135"/>
      <c r="AC1709" s="135"/>
    </row>
    <row r="1710">
      <c r="I1710" s="97"/>
      <c r="J1710" s="97"/>
      <c r="K1710" s="97"/>
      <c r="L1710" s="153"/>
      <c r="M1710" s="97"/>
      <c r="N1710" s="97"/>
      <c r="O1710" s="97"/>
      <c r="P1710" s="97"/>
      <c r="Q1710" s="97"/>
      <c r="R1710" s="135"/>
      <c r="S1710" s="135"/>
      <c r="T1710" s="135"/>
      <c r="U1710" s="135"/>
      <c r="V1710" s="135"/>
      <c r="W1710" s="137"/>
      <c r="X1710" s="135"/>
      <c r="Y1710" s="135"/>
      <c r="Z1710" s="135"/>
      <c r="AA1710" s="135"/>
      <c r="AB1710" s="135"/>
      <c r="AC1710" s="135"/>
    </row>
    <row r="1711">
      <c r="I1711" s="97"/>
      <c r="J1711" s="97"/>
      <c r="K1711" s="97"/>
      <c r="L1711" s="153"/>
      <c r="M1711" s="97"/>
      <c r="N1711" s="97"/>
      <c r="O1711" s="97"/>
      <c r="P1711" s="97"/>
      <c r="Q1711" s="97"/>
      <c r="R1711" s="135"/>
      <c r="S1711" s="135"/>
      <c r="T1711" s="135"/>
      <c r="U1711" s="135"/>
      <c r="V1711" s="135"/>
      <c r="W1711" s="137"/>
      <c r="X1711" s="135"/>
      <c r="Y1711" s="135"/>
      <c r="Z1711" s="135"/>
      <c r="AA1711" s="135"/>
      <c r="AB1711" s="135"/>
      <c r="AC1711" s="135"/>
    </row>
    <row r="1712">
      <c r="I1712" s="97"/>
      <c r="J1712" s="97"/>
      <c r="K1712" s="97"/>
      <c r="L1712" s="153"/>
      <c r="M1712" s="97"/>
      <c r="N1712" s="97"/>
      <c r="O1712" s="97"/>
      <c r="P1712" s="97"/>
      <c r="Q1712" s="97"/>
      <c r="R1712" s="135"/>
      <c r="S1712" s="135"/>
      <c r="T1712" s="135"/>
      <c r="U1712" s="135"/>
      <c r="V1712" s="135"/>
      <c r="W1712" s="137"/>
      <c r="X1712" s="135"/>
      <c r="Y1712" s="135"/>
      <c r="Z1712" s="135"/>
      <c r="AA1712" s="135"/>
      <c r="AB1712" s="135"/>
      <c r="AC1712" s="135"/>
    </row>
    <row r="1713">
      <c r="I1713" s="97"/>
      <c r="J1713" s="97"/>
      <c r="K1713" s="97"/>
      <c r="L1713" s="153"/>
      <c r="M1713" s="97"/>
      <c r="N1713" s="97"/>
      <c r="O1713" s="97"/>
      <c r="P1713" s="97"/>
      <c r="Q1713" s="97"/>
      <c r="R1713" s="135"/>
      <c r="S1713" s="135"/>
      <c r="T1713" s="135"/>
      <c r="U1713" s="135"/>
      <c r="V1713" s="135"/>
      <c r="W1713" s="137"/>
      <c r="X1713" s="135"/>
      <c r="Y1713" s="135"/>
      <c r="Z1713" s="135"/>
      <c r="AA1713" s="135"/>
      <c r="AB1713" s="135"/>
      <c r="AC1713" s="135"/>
    </row>
    <row r="1714">
      <c r="I1714" s="97"/>
      <c r="J1714" s="97"/>
      <c r="K1714" s="97"/>
      <c r="L1714" s="153"/>
      <c r="M1714" s="97"/>
      <c r="N1714" s="97"/>
      <c r="O1714" s="97"/>
      <c r="P1714" s="97"/>
      <c r="Q1714" s="97"/>
      <c r="R1714" s="135"/>
      <c r="S1714" s="135"/>
      <c r="T1714" s="135"/>
      <c r="U1714" s="135"/>
      <c r="V1714" s="135"/>
      <c r="W1714" s="137"/>
      <c r="X1714" s="135"/>
      <c r="Y1714" s="135"/>
      <c r="Z1714" s="135"/>
      <c r="AA1714" s="135"/>
      <c r="AB1714" s="135"/>
      <c r="AC1714" s="135"/>
    </row>
    <row r="1715">
      <c r="I1715" s="97"/>
      <c r="J1715" s="97"/>
      <c r="K1715" s="97"/>
      <c r="L1715" s="153"/>
      <c r="M1715" s="97"/>
      <c r="N1715" s="97"/>
      <c r="O1715" s="97"/>
      <c r="P1715" s="97"/>
      <c r="Q1715" s="97"/>
      <c r="R1715" s="135"/>
      <c r="S1715" s="135"/>
      <c r="T1715" s="135"/>
      <c r="U1715" s="135"/>
      <c r="V1715" s="135"/>
      <c r="W1715" s="137"/>
      <c r="X1715" s="135"/>
      <c r="Y1715" s="135"/>
      <c r="Z1715" s="135"/>
      <c r="AA1715" s="135"/>
      <c r="AB1715" s="135"/>
      <c r="AC1715" s="135"/>
    </row>
    <row r="1716">
      <c r="I1716" s="97"/>
      <c r="J1716" s="97"/>
      <c r="K1716" s="97"/>
      <c r="L1716" s="153"/>
      <c r="M1716" s="97"/>
      <c r="N1716" s="97"/>
      <c r="O1716" s="97"/>
      <c r="P1716" s="97"/>
      <c r="Q1716" s="97"/>
      <c r="R1716" s="135"/>
      <c r="S1716" s="135"/>
      <c r="T1716" s="135"/>
      <c r="U1716" s="135"/>
      <c r="V1716" s="135"/>
      <c r="W1716" s="137"/>
      <c r="X1716" s="135"/>
      <c r="Y1716" s="135"/>
      <c r="Z1716" s="135"/>
      <c r="AA1716" s="135"/>
      <c r="AB1716" s="135"/>
      <c r="AC1716" s="135"/>
    </row>
    <row r="1717">
      <c r="I1717" s="97"/>
      <c r="J1717" s="97"/>
      <c r="K1717" s="97"/>
      <c r="L1717" s="153"/>
      <c r="M1717" s="97"/>
      <c r="N1717" s="97"/>
      <c r="O1717" s="97"/>
      <c r="P1717" s="97"/>
      <c r="Q1717" s="97"/>
      <c r="R1717" s="135"/>
      <c r="S1717" s="135"/>
      <c r="T1717" s="135"/>
      <c r="U1717" s="135"/>
      <c r="V1717" s="135"/>
      <c r="W1717" s="137"/>
      <c r="X1717" s="135"/>
      <c r="Y1717" s="135"/>
      <c r="Z1717" s="135"/>
      <c r="AA1717" s="135"/>
      <c r="AB1717" s="135"/>
      <c r="AC1717" s="135"/>
    </row>
    <row r="1718">
      <c r="I1718" s="97"/>
      <c r="J1718" s="97"/>
      <c r="K1718" s="97"/>
      <c r="L1718" s="153"/>
      <c r="M1718" s="97"/>
      <c r="N1718" s="97"/>
      <c r="O1718" s="97"/>
      <c r="P1718" s="97"/>
      <c r="Q1718" s="97"/>
      <c r="R1718" s="135"/>
      <c r="S1718" s="135"/>
      <c r="T1718" s="135"/>
      <c r="U1718" s="135"/>
      <c r="V1718" s="135"/>
      <c r="W1718" s="137"/>
      <c r="X1718" s="135"/>
      <c r="Y1718" s="135"/>
      <c r="Z1718" s="135"/>
      <c r="AA1718" s="135"/>
      <c r="AB1718" s="135"/>
      <c r="AC1718" s="135"/>
    </row>
    <row r="1719">
      <c r="I1719" s="97"/>
      <c r="J1719" s="97"/>
      <c r="K1719" s="97"/>
      <c r="L1719" s="153"/>
      <c r="M1719" s="97"/>
      <c r="N1719" s="97"/>
      <c r="O1719" s="97"/>
      <c r="P1719" s="97"/>
      <c r="Q1719" s="97"/>
      <c r="R1719" s="135"/>
      <c r="S1719" s="135"/>
      <c r="T1719" s="135"/>
      <c r="U1719" s="135"/>
      <c r="V1719" s="135"/>
      <c r="W1719" s="137"/>
      <c r="X1719" s="135"/>
      <c r="Y1719" s="135"/>
      <c r="Z1719" s="135"/>
      <c r="AA1719" s="135"/>
      <c r="AB1719" s="135"/>
      <c r="AC1719" s="135"/>
    </row>
    <row r="1720">
      <c r="I1720" s="97"/>
      <c r="J1720" s="97"/>
      <c r="K1720" s="97"/>
      <c r="L1720" s="153"/>
      <c r="M1720" s="97"/>
      <c r="N1720" s="97"/>
      <c r="O1720" s="97"/>
      <c r="P1720" s="97"/>
      <c r="Q1720" s="97"/>
      <c r="R1720" s="135"/>
      <c r="S1720" s="135"/>
      <c r="T1720" s="135"/>
      <c r="U1720" s="135"/>
      <c r="V1720" s="135"/>
      <c r="W1720" s="137"/>
      <c r="X1720" s="135"/>
      <c r="Y1720" s="135"/>
      <c r="Z1720" s="135"/>
      <c r="AA1720" s="135"/>
      <c r="AB1720" s="135"/>
      <c r="AC1720" s="135"/>
    </row>
    <row r="1721">
      <c r="I1721" s="97"/>
      <c r="J1721" s="97"/>
      <c r="K1721" s="97"/>
      <c r="L1721" s="153"/>
      <c r="M1721" s="97"/>
      <c r="N1721" s="97"/>
      <c r="O1721" s="97"/>
      <c r="P1721" s="97"/>
      <c r="Q1721" s="97"/>
      <c r="R1721" s="135"/>
      <c r="S1721" s="135"/>
      <c r="T1721" s="135"/>
      <c r="U1721" s="135"/>
      <c r="V1721" s="135"/>
      <c r="W1721" s="137"/>
      <c r="X1721" s="135"/>
      <c r="Y1721" s="135"/>
      <c r="Z1721" s="135"/>
      <c r="AA1721" s="135"/>
      <c r="AB1721" s="135"/>
      <c r="AC1721" s="135"/>
    </row>
    <row r="1722">
      <c r="I1722" s="97"/>
      <c r="J1722" s="97"/>
      <c r="K1722" s="97"/>
      <c r="L1722" s="153"/>
      <c r="M1722" s="97"/>
      <c r="N1722" s="97"/>
      <c r="O1722" s="97"/>
      <c r="P1722" s="97"/>
      <c r="Q1722" s="97"/>
      <c r="R1722" s="135"/>
      <c r="S1722" s="135"/>
      <c r="T1722" s="135"/>
      <c r="U1722" s="135"/>
      <c r="V1722" s="135"/>
      <c r="W1722" s="137"/>
      <c r="X1722" s="135"/>
      <c r="Y1722" s="135"/>
      <c r="Z1722" s="135"/>
      <c r="AA1722" s="135"/>
      <c r="AB1722" s="135"/>
      <c r="AC1722" s="135"/>
    </row>
    <row r="1723">
      <c r="I1723" s="97"/>
      <c r="J1723" s="97"/>
      <c r="K1723" s="97"/>
      <c r="L1723" s="153"/>
      <c r="M1723" s="97"/>
      <c r="N1723" s="97"/>
      <c r="O1723" s="97"/>
      <c r="P1723" s="97"/>
      <c r="Q1723" s="97"/>
      <c r="R1723" s="135"/>
      <c r="S1723" s="135"/>
      <c r="T1723" s="135"/>
      <c r="U1723" s="135"/>
      <c r="V1723" s="135"/>
      <c r="W1723" s="137"/>
      <c r="X1723" s="135"/>
      <c r="Y1723" s="135"/>
      <c r="Z1723" s="135"/>
      <c r="AA1723" s="135"/>
      <c r="AB1723" s="135"/>
      <c r="AC1723" s="135"/>
    </row>
    <row r="1724">
      <c r="I1724" s="97"/>
      <c r="J1724" s="97"/>
      <c r="K1724" s="97"/>
      <c r="L1724" s="153"/>
      <c r="M1724" s="97"/>
      <c r="N1724" s="97"/>
      <c r="O1724" s="97"/>
      <c r="P1724" s="97"/>
      <c r="Q1724" s="97"/>
      <c r="R1724" s="135"/>
      <c r="S1724" s="135"/>
      <c r="T1724" s="135"/>
      <c r="U1724" s="135"/>
      <c r="V1724" s="135"/>
      <c r="W1724" s="137"/>
      <c r="X1724" s="135"/>
      <c r="Y1724" s="135"/>
      <c r="Z1724" s="135"/>
      <c r="AA1724" s="135"/>
      <c r="AB1724" s="135"/>
      <c r="AC1724" s="135"/>
    </row>
    <row r="1725">
      <c r="I1725" s="97"/>
      <c r="J1725" s="97"/>
      <c r="K1725" s="97"/>
      <c r="L1725" s="153"/>
      <c r="M1725" s="97"/>
      <c r="N1725" s="97"/>
      <c r="O1725" s="97"/>
      <c r="P1725" s="97"/>
      <c r="Q1725" s="97"/>
      <c r="R1725" s="135"/>
      <c r="S1725" s="135"/>
      <c r="T1725" s="135"/>
      <c r="U1725" s="135"/>
      <c r="V1725" s="135"/>
      <c r="W1725" s="137"/>
      <c r="X1725" s="135"/>
      <c r="Y1725" s="135"/>
      <c r="Z1725" s="135"/>
      <c r="AA1725" s="135"/>
      <c r="AB1725" s="135"/>
      <c r="AC1725" s="135"/>
    </row>
    <row r="1726">
      <c r="I1726" s="97"/>
      <c r="J1726" s="97"/>
      <c r="K1726" s="97"/>
      <c r="L1726" s="153"/>
      <c r="M1726" s="97"/>
      <c r="N1726" s="97"/>
      <c r="O1726" s="97"/>
      <c r="P1726" s="97"/>
      <c r="Q1726" s="97"/>
      <c r="R1726" s="135"/>
      <c r="S1726" s="135"/>
      <c r="T1726" s="135"/>
      <c r="U1726" s="135"/>
      <c r="V1726" s="135"/>
      <c r="W1726" s="137"/>
      <c r="X1726" s="135"/>
      <c r="Y1726" s="135"/>
      <c r="Z1726" s="135"/>
      <c r="AA1726" s="135"/>
      <c r="AB1726" s="135"/>
      <c r="AC1726" s="135"/>
    </row>
    <row r="1727">
      <c r="I1727" s="97"/>
      <c r="J1727" s="97"/>
      <c r="K1727" s="97"/>
      <c r="L1727" s="153"/>
      <c r="M1727" s="97"/>
      <c r="N1727" s="97"/>
      <c r="O1727" s="97"/>
      <c r="P1727" s="97"/>
      <c r="Q1727" s="97"/>
      <c r="R1727" s="135"/>
      <c r="S1727" s="135"/>
      <c r="T1727" s="135"/>
      <c r="U1727" s="135"/>
      <c r="V1727" s="135"/>
      <c r="W1727" s="137"/>
      <c r="X1727" s="135"/>
      <c r="Y1727" s="135"/>
      <c r="Z1727" s="135"/>
      <c r="AA1727" s="135"/>
      <c r="AB1727" s="135"/>
      <c r="AC1727" s="135"/>
    </row>
    <row r="1728">
      <c r="I1728" s="97"/>
      <c r="J1728" s="97"/>
      <c r="K1728" s="97"/>
      <c r="L1728" s="153"/>
      <c r="M1728" s="97"/>
      <c r="N1728" s="97"/>
      <c r="O1728" s="97"/>
      <c r="P1728" s="97"/>
      <c r="Q1728" s="97"/>
      <c r="R1728" s="135"/>
      <c r="S1728" s="135"/>
      <c r="T1728" s="135"/>
      <c r="U1728" s="135"/>
      <c r="V1728" s="135"/>
      <c r="W1728" s="137"/>
      <c r="X1728" s="135"/>
      <c r="Y1728" s="135"/>
      <c r="Z1728" s="135"/>
      <c r="AA1728" s="135"/>
      <c r="AB1728" s="135"/>
      <c r="AC1728" s="135"/>
    </row>
    <row r="1729">
      <c r="I1729" s="97"/>
      <c r="J1729" s="97"/>
      <c r="K1729" s="97"/>
      <c r="L1729" s="153"/>
      <c r="M1729" s="97"/>
      <c r="N1729" s="97"/>
      <c r="O1729" s="97"/>
      <c r="P1729" s="97"/>
      <c r="Q1729" s="97"/>
      <c r="R1729" s="135"/>
      <c r="S1729" s="135"/>
      <c r="T1729" s="135"/>
      <c r="U1729" s="135"/>
      <c r="V1729" s="135"/>
      <c r="W1729" s="137"/>
      <c r="X1729" s="135"/>
      <c r="Y1729" s="135"/>
      <c r="Z1729" s="135"/>
      <c r="AA1729" s="135"/>
      <c r="AB1729" s="135"/>
      <c r="AC1729" s="135"/>
    </row>
    <row r="1730">
      <c r="I1730" s="97"/>
      <c r="J1730" s="97"/>
      <c r="K1730" s="97"/>
      <c r="L1730" s="153"/>
      <c r="M1730" s="97"/>
      <c r="N1730" s="97"/>
      <c r="O1730" s="97"/>
      <c r="P1730" s="97"/>
      <c r="Q1730" s="97"/>
      <c r="R1730" s="135"/>
      <c r="S1730" s="135"/>
      <c r="T1730" s="135"/>
      <c r="U1730" s="135"/>
      <c r="V1730" s="135"/>
      <c r="W1730" s="137"/>
      <c r="X1730" s="135"/>
      <c r="Y1730" s="135"/>
      <c r="Z1730" s="135"/>
      <c r="AA1730" s="135"/>
      <c r="AB1730" s="135"/>
      <c r="AC1730" s="135"/>
    </row>
    <row r="1731">
      <c r="I1731" s="97"/>
      <c r="J1731" s="97"/>
      <c r="K1731" s="97"/>
      <c r="L1731" s="153"/>
      <c r="M1731" s="97"/>
      <c r="N1731" s="97"/>
      <c r="O1731" s="97"/>
      <c r="P1731" s="97"/>
      <c r="Q1731" s="97"/>
      <c r="R1731" s="135"/>
      <c r="S1731" s="135"/>
      <c r="T1731" s="135"/>
      <c r="U1731" s="135"/>
      <c r="V1731" s="135"/>
      <c r="W1731" s="137"/>
      <c r="X1731" s="135"/>
      <c r="Y1731" s="135"/>
      <c r="Z1731" s="135"/>
      <c r="AA1731" s="135"/>
      <c r="AB1731" s="135"/>
      <c r="AC1731" s="135"/>
    </row>
    <row r="1732">
      <c r="I1732" s="97"/>
      <c r="J1732" s="97"/>
      <c r="K1732" s="97"/>
      <c r="L1732" s="153"/>
      <c r="M1732" s="97"/>
      <c r="N1732" s="97"/>
      <c r="O1732" s="97"/>
      <c r="P1732" s="97"/>
      <c r="Q1732" s="97"/>
      <c r="R1732" s="135"/>
      <c r="S1732" s="135"/>
      <c r="T1732" s="135"/>
      <c r="U1732" s="135"/>
      <c r="V1732" s="135"/>
      <c r="W1732" s="137"/>
      <c r="X1732" s="135"/>
      <c r="Y1732" s="135"/>
      <c r="Z1732" s="135"/>
      <c r="AA1732" s="135"/>
      <c r="AB1732" s="135"/>
      <c r="AC1732" s="135"/>
    </row>
    <row r="1733">
      <c r="I1733" s="97"/>
      <c r="J1733" s="97"/>
      <c r="K1733" s="97"/>
      <c r="L1733" s="153"/>
      <c r="M1733" s="97"/>
      <c r="N1733" s="97"/>
      <c r="O1733" s="97"/>
      <c r="P1733" s="97"/>
      <c r="Q1733" s="97"/>
      <c r="R1733" s="135"/>
      <c r="S1733" s="135"/>
      <c r="T1733" s="135"/>
      <c r="U1733" s="135"/>
      <c r="V1733" s="135"/>
      <c r="W1733" s="137"/>
      <c r="X1733" s="135"/>
      <c r="Y1733" s="135"/>
      <c r="Z1733" s="135"/>
      <c r="AA1733" s="135"/>
      <c r="AB1733" s="135"/>
      <c r="AC1733" s="135"/>
    </row>
    <row r="1734">
      <c r="I1734" s="97"/>
      <c r="J1734" s="97"/>
      <c r="K1734" s="97"/>
      <c r="L1734" s="153"/>
      <c r="M1734" s="97"/>
      <c r="N1734" s="97"/>
      <c r="O1734" s="97"/>
      <c r="P1734" s="97"/>
      <c r="Q1734" s="97"/>
      <c r="R1734" s="135"/>
      <c r="S1734" s="135"/>
      <c r="T1734" s="135"/>
      <c r="U1734" s="135"/>
      <c r="V1734" s="135"/>
      <c r="W1734" s="137"/>
      <c r="X1734" s="135"/>
      <c r="Y1734" s="135"/>
      <c r="Z1734" s="135"/>
      <c r="AA1734" s="135"/>
      <c r="AB1734" s="135"/>
      <c r="AC1734" s="135"/>
    </row>
    <row r="1735">
      <c r="I1735" s="97"/>
      <c r="J1735" s="97"/>
      <c r="K1735" s="97"/>
      <c r="L1735" s="153"/>
      <c r="M1735" s="97"/>
      <c r="N1735" s="97"/>
      <c r="O1735" s="97"/>
      <c r="P1735" s="97"/>
      <c r="Q1735" s="97"/>
      <c r="R1735" s="135"/>
      <c r="S1735" s="135"/>
      <c r="T1735" s="135"/>
      <c r="U1735" s="135"/>
      <c r="V1735" s="135"/>
      <c r="W1735" s="137"/>
      <c r="X1735" s="135"/>
      <c r="Y1735" s="135"/>
      <c r="Z1735" s="135"/>
      <c r="AA1735" s="135"/>
      <c r="AB1735" s="135"/>
      <c r="AC1735" s="135"/>
    </row>
    <row r="1736">
      <c r="I1736" s="97"/>
      <c r="J1736" s="97"/>
      <c r="K1736" s="97"/>
      <c r="L1736" s="153"/>
      <c r="M1736" s="97"/>
      <c r="N1736" s="97"/>
      <c r="O1736" s="97"/>
      <c r="P1736" s="97"/>
      <c r="Q1736" s="97"/>
      <c r="R1736" s="135"/>
      <c r="S1736" s="135"/>
      <c r="T1736" s="135"/>
      <c r="U1736" s="135"/>
      <c r="V1736" s="135"/>
      <c r="W1736" s="137"/>
      <c r="X1736" s="135"/>
      <c r="Y1736" s="135"/>
      <c r="Z1736" s="135"/>
      <c r="AA1736" s="135"/>
      <c r="AB1736" s="135"/>
      <c r="AC1736" s="135"/>
    </row>
    <row r="1737">
      <c r="I1737" s="97"/>
      <c r="J1737" s="97"/>
      <c r="K1737" s="97"/>
      <c r="L1737" s="153"/>
      <c r="M1737" s="97"/>
      <c r="N1737" s="97"/>
      <c r="O1737" s="97"/>
      <c r="P1737" s="97"/>
      <c r="Q1737" s="97"/>
      <c r="R1737" s="135"/>
      <c r="S1737" s="135"/>
      <c r="T1737" s="135"/>
      <c r="U1737" s="135"/>
      <c r="V1737" s="135"/>
      <c r="W1737" s="137"/>
      <c r="X1737" s="135"/>
      <c r="Y1737" s="135"/>
      <c r="Z1737" s="135"/>
      <c r="AA1737" s="135"/>
      <c r="AB1737" s="135"/>
      <c r="AC1737" s="135"/>
    </row>
    <row r="1738">
      <c r="I1738" s="97"/>
      <c r="J1738" s="97"/>
      <c r="K1738" s="97"/>
      <c r="L1738" s="153"/>
      <c r="M1738" s="97"/>
      <c r="N1738" s="97"/>
      <c r="O1738" s="97"/>
      <c r="P1738" s="97"/>
      <c r="Q1738" s="97"/>
      <c r="R1738" s="135"/>
      <c r="S1738" s="135"/>
      <c r="T1738" s="135"/>
      <c r="U1738" s="135"/>
      <c r="V1738" s="135"/>
      <c r="W1738" s="137"/>
      <c r="X1738" s="135"/>
      <c r="Y1738" s="135"/>
      <c r="Z1738" s="135"/>
      <c r="AA1738" s="135"/>
      <c r="AB1738" s="135"/>
      <c r="AC1738" s="135"/>
    </row>
    <row r="1739">
      <c r="I1739" s="97"/>
      <c r="J1739" s="97"/>
      <c r="K1739" s="97"/>
      <c r="L1739" s="153"/>
      <c r="M1739" s="97"/>
      <c r="N1739" s="97"/>
      <c r="O1739" s="97"/>
      <c r="P1739" s="97"/>
      <c r="Q1739" s="97"/>
      <c r="R1739" s="135"/>
      <c r="S1739" s="135"/>
      <c r="T1739" s="135"/>
      <c r="U1739" s="135"/>
      <c r="V1739" s="135"/>
      <c r="W1739" s="137"/>
      <c r="X1739" s="135"/>
      <c r="Y1739" s="135"/>
      <c r="Z1739" s="135"/>
      <c r="AA1739" s="135"/>
      <c r="AB1739" s="135"/>
      <c r="AC1739" s="135"/>
    </row>
    <row r="1740">
      <c r="I1740" s="97"/>
      <c r="J1740" s="97"/>
      <c r="K1740" s="97"/>
      <c r="L1740" s="153"/>
      <c r="M1740" s="97"/>
      <c r="N1740" s="97"/>
      <c r="O1740" s="97"/>
      <c r="P1740" s="97"/>
      <c r="Q1740" s="97"/>
      <c r="R1740" s="135"/>
      <c r="S1740" s="135"/>
      <c r="T1740" s="135"/>
      <c r="U1740" s="135"/>
      <c r="V1740" s="135"/>
      <c r="W1740" s="137"/>
      <c r="X1740" s="135"/>
      <c r="Y1740" s="135"/>
      <c r="Z1740" s="135"/>
      <c r="AA1740" s="135"/>
      <c r="AB1740" s="135"/>
      <c r="AC1740" s="135"/>
    </row>
    <row r="1741">
      <c r="I1741" s="97"/>
      <c r="J1741" s="97"/>
      <c r="K1741" s="97"/>
      <c r="L1741" s="153"/>
      <c r="M1741" s="97"/>
      <c r="N1741" s="97"/>
      <c r="O1741" s="97"/>
      <c r="P1741" s="97"/>
      <c r="Q1741" s="97"/>
      <c r="R1741" s="135"/>
      <c r="S1741" s="135"/>
      <c r="T1741" s="135"/>
      <c r="U1741" s="135"/>
      <c r="V1741" s="135"/>
      <c r="W1741" s="137"/>
      <c r="X1741" s="135"/>
      <c r="Y1741" s="135"/>
      <c r="Z1741" s="135"/>
      <c r="AA1741" s="135"/>
      <c r="AB1741" s="135"/>
      <c r="AC1741" s="135"/>
    </row>
    <row r="1742">
      <c r="I1742" s="97"/>
      <c r="J1742" s="97"/>
      <c r="K1742" s="97"/>
      <c r="L1742" s="153"/>
      <c r="M1742" s="97"/>
      <c r="N1742" s="97"/>
      <c r="O1742" s="97"/>
      <c r="P1742" s="97"/>
      <c r="Q1742" s="97"/>
      <c r="R1742" s="135"/>
      <c r="S1742" s="135"/>
      <c r="T1742" s="135"/>
      <c r="U1742" s="135"/>
      <c r="V1742" s="135"/>
      <c r="W1742" s="137"/>
      <c r="X1742" s="135"/>
      <c r="Y1742" s="135"/>
      <c r="Z1742" s="135"/>
      <c r="AA1742" s="135"/>
      <c r="AB1742" s="135"/>
      <c r="AC1742" s="135"/>
    </row>
    <row r="1743">
      <c r="I1743" s="97"/>
      <c r="J1743" s="97"/>
      <c r="K1743" s="97"/>
      <c r="L1743" s="153"/>
      <c r="M1743" s="97"/>
      <c r="N1743" s="97"/>
      <c r="O1743" s="97"/>
      <c r="P1743" s="97"/>
      <c r="Q1743" s="97"/>
      <c r="R1743" s="135"/>
      <c r="S1743" s="135"/>
      <c r="T1743" s="135"/>
      <c r="U1743" s="135"/>
      <c r="V1743" s="135"/>
      <c r="W1743" s="137"/>
      <c r="X1743" s="135"/>
      <c r="Y1743" s="135"/>
      <c r="Z1743" s="135"/>
      <c r="AA1743" s="135"/>
      <c r="AB1743" s="135"/>
      <c r="AC1743" s="135"/>
    </row>
    <row r="1744">
      <c r="I1744" s="97"/>
      <c r="J1744" s="97"/>
      <c r="K1744" s="97"/>
      <c r="L1744" s="153"/>
      <c r="M1744" s="97"/>
      <c r="N1744" s="97"/>
      <c r="O1744" s="97"/>
      <c r="P1744" s="97"/>
      <c r="Q1744" s="97"/>
      <c r="R1744" s="135"/>
      <c r="S1744" s="135"/>
      <c r="T1744" s="135"/>
      <c r="U1744" s="135"/>
      <c r="V1744" s="135"/>
      <c r="W1744" s="137"/>
      <c r="X1744" s="135"/>
      <c r="Y1744" s="135"/>
      <c r="Z1744" s="135"/>
      <c r="AA1744" s="135"/>
      <c r="AB1744" s="135"/>
      <c r="AC1744" s="135"/>
    </row>
    <row r="1745">
      <c r="I1745" s="97"/>
      <c r="J1745" s="97"/>
      <c r="K1745" s="97"/>
      <c r="L1745" s="153"/>
      <c r="M1745" s="97"/>
      <c r="N1745" s="97"/>
      <c r="O1745" s="97"/>
      <c r="P1745" s="97"/>
      <c r="Q1745" s="97"/>
      <c r="R1745" s="135"/>
      <c r="S1745" s="135"/>
      <c r="T1745" s="135"/>
      <c r="U1745" s="135"/>
      <c r="V1745" s="135"/>
      <c r="W1745" s="137"/>
      <c r="X1745" s="135"/>
      <c r="Y1745" s="135"/>
      <c r="Z1745" s="135"/>
      <c r="AA1745" s="135"/>
      <c r="AB1745" s="135"/>
      <c r="AC1745" s="135"/>
    </row>
    <row r="1746">
      <c r="I1746" s="97"/>
      <c r="J1746" s="97"/>
      <c r="K1746" s="97"/>
      <c r="L1746" s="153"/>
      <c r="M1746" s="97"/>
      <c r="N1746" s="97"/>
      <c r="O1746" s="97"/>
      <c r="P1746" s="97"/>
      <c r="Q1746" s="97"/>
      <c r="R1746" s="135"/>
      <c r="S1746" s="135"/>
      <c r="T1746" s="135"/>
      <c r="U1746" s="135"/>
      <c r="V1746" s="135"/>
      <c r="W1746" s="137"/>
      <c r="X1746" s="135"/>
      <c r="Y1746" s="135"/>
      <c r="Z1746" s="135"/>
      <c r="AA1746" s="135"/>
      <c r="AB1746" s="135"/>
      <c r="AC1746" s="135"/>
    </row>
    <row r="1747">
      <c r="I1747" s="97"/>
      <c r="J1747" s="97"/>
      <c r="K1747" s="97"/>
      <c r="L1747" s="153"/>
      <c r="M1747" s="97"/>
      <c r="N1747" s="97"/>
      <c r="O1747" s="97"/>
      <c r="P1747" s="97"/>
      <c r="Q1747" s="97"/>
      <c r="R1747" s="135"/>
      <c r="S1747" s="135"/>
      <c r="T1747" s="135"/>
      <c r="U1747" s="135"/>
      <c r="V1747" s="135"/>
      <c r="W1747" s="137"/>
      <c r="X1747" s="135"/>
      <c r="Y1747" s="135"/>
      <c r="Z1747" s="135"/>
      <c r="AA1747" s="135"/>
      <c r="AB1747" s="135"/>
      <c r="AC1747" s="135"/>
    </row>
    <row r="1748">
      <c r="I1748" s="97"/>
      <c r="J1748" s="97"/>
      <c r="K1748" s="97"/>
      <c r="L1748" s="153"/>
      <c r="M1748" s="97"/>
      <c r="N1748" s="97"/>
      <c r="O1748" s="97"/>
      <c r="P1748" s="97"/>
      <c r="Q1748" s="97"/>
      <c r="R1748" s="135"/>
      <c r="S1748" s="135"/>
      <c r="T1748" s="135"/>
      <c r="U1748" s="135"/>
      <c r="V1748" s="135"/>
      <c r="W1748" s="137"/>
      <c r="X1748" s="135"/>
      <c r="Y1748" s="135"/>
      <c r="Z1748" s="135"/>
      <c r="AA1748" s="135"/>
      <c r="AB1748" s="135"/>
      <c r="AC1748" s="135"/>
    </row>
    <row r="1749">
      <c r="I1749" s="97"/>
      <c r="J1749" s="97"/>
      <c r="K1749" s="97"/>
      <c r="L1749" s="153"/>
      <c r="M1749" s="97"/>
      <c r="N1749" s="97"/>
      <c r="O1749" s="97"/>
      <c r="P1749" s="97"/>
      <c r="Q1749" s="97"/>
      <c r="R1749" s="135"/>
      <c r="S1749" s="135"/>
      <c r="T1749" s="135"/>
      <c r="U1749" s="135"/>
      <c r="V1749" s="135"/>
      <c r="W1749" s="137"/>
      <c r="X1749" s="135"/>
      <c r="Y1749" s="135"/>
      <c r="Z1749" s="135"/>
      <c r="AA1749" s="135"/>
      <c r="AB1749" s="135"/>
      <c r="AC1749" s="135"/>
    </row>
    <row r="1750">
      <c r="I1750" s="97"/>
      <c r="J1750" s="97"/>
      <c r="K1750" s="97"/>
      <c r="L1750" s="153"/>
      <c r="M1750" s="97"/>
      <c r="N1750" s="97"/>
      <c r="O1750" s="97"/>
      <c r="P1750" s="97"/>
      <c r="Q1750" s="97"/>
      <c r="R1750" s="135"/>
      <c r="S1750" s="135"/>
      <c r="T1750" s="135"/>
      <c r="U1750" s="135"/>
      <c r="V1750" s="135"/>
      <c r="W1750" s="137"/>
      <c r="X1750" s="135"/>
      <c r="Y1750" s="135"/>
      <c r="Z1750" s="135"/>
      <c r="AA1750" s="135"/>
      <c r="AB1750" s="135"/>
      <c r="AC1750" s="135"/>
    </row>
    <row r="1751">
      <c r="I1751" s="97"/>
      <c r="J1751" s="97"/>
      <c r="K1751" s="97"/>
      <c r="L1751" s="153"/>
      <c r="M1751" s="97"/>
      <c r="N1751" s="97"/>
      <c r="O1751" s="97"/>
      <c r="P1751" s="97"/>
      <c r="Q1751" s="97"/>
      <c r="R1751" s="135"/>
      <c r="S1751" s="135"/>
      <c r="T1751" s="135"/>
      <c r="U1751" s="135"/>
      <c r="V1751" s="135"/>
      <c r="W1751" s="137"/>
      <c r="X1751" s="135"/>
      <c r="Y1751" s="135"/>
      <c r="Z1751" s="135"/>
      <c r="AA1751" s="135"/>
      <c r="AB1751" s="135"/>
      <c r="AC1751" s="135"/>
    </row>
    <row r="1752">
      <c r="I1752" s="97"/>
      <c r="J1752" s="97"/>
      <c r="K1752" s="97"/>
      <c r="L1752" s="153"/>
      <c r="M1752" s="97"/>
      <c r="N1752" s="97"/>
      <c r="O1752" s="97"/>
      <c r="P1752" s="97"/>
      <c r="Q1752" s="97"/>
      <c r="R1752" s="135"/>
      <c r="S1752" s="135"/>
      <c r="T1752" s="135"/>
      <c r="U1752" s="135"/>
      <c r="V1752" s="135"/>
      <c r="W1752" s="137"/>
      <c r="X1752" s="135"/>
      <c r="Y1752" s="135"/>
      <c r="Z1752" s="135"/>
      <c r="AA1752" s="135"/>
      <c r="AB1752" s="135"/>
      <c r="AC1752" s="135"/>
    </row>
    <row r="1753">
      <c r="I1753" s="97"/>
      <c r="J1753" s="97"/>
      <c r="K1753" s="97"/>
      <c r="L1753" s="153"/>
      <c r="M1753" s="97"/>
      <c r="N1753" s="97"/>
      <c r="O1753" s="97"/>
      <c r="P1753" s="97"/>
      <c r="Q1753" s="97"/>
      <c r="R1753" s="135"/>
      <c r="S1753" s="135"/>
      <c r="T1753" s="135"/>
      <c r="U1753" s="135"/>
      <c r="V1753" s="135"/>
      <c r="W1753" s="137"/>
      <c r="X1753" s="135"/>
      <c r="Y1753" s="135"/>
      <c r="Z1753" s="135"/>
      <c r="AA1753" s="135"/>
      <c r="AB1753" s="135"/>
      <c r="AC1753" s="135"/>
    </row>
    <row r="1754">
      <c r="I1754" s="97"/>
      <c r="J1754" s="97"/>
      <c r="K1754" s="97"/>
      <c r="L1754" s="153"/>
      <c r="M1754" s="97"/>
      <c r="N1754" s="97"/>
      <c r="O1754" s="97"/>
      <c r="P1754" s="97"/>
      <c r="Q1754" s="97"/>
      <c r="R1754" s="135"/>
      <c r="S1754" s="135"/>
      <c r="T1754" s="135"/>
      <c r="U1754" s="135"/>
      <c r="V1754" s="135"/>
      <c r="W1754" s="137"/>
      <c r="X1754" s="135"/>
      <c r="Y1754" s="135"/>
      <c r="Z1754" s="135"/>
      <c r="AA1754" s="135"/>
      <c r="AB1754" s="135"/>
      <c r="AC1754" s="135"/>
    </row>
    <row r="1755">
      <c r="I1755" s="97"/>
      <c r="J1755" s="97"/>
      <c r="K1755" s="97"/>
      <c r="L1755" s="153"/>
      <c r="M1755" s="97"/>
      <c r="N1755" s="97"/>
      <c r="O1755" s="97"/>
      <c r="P1755" s="97"/>
      <c r="Q1755" s="97"/>
      <c r="R1755" s="135"/>
      <c r="S1755" s="135"/>
      <c r="T1755" s="135"/>
      <c r="U1755" s="135"/>
      <c r="V1755" s="135"/>
      <c r="W1755" s="137"/>
      <c r="X1755" s="135"/>
      <c r="Y1755" s="135"/>
      <c r="Z1755" s="135"/>
      <c r="AA1755" s="135"/>
      <c r="AB1755" s="135"/>
      <c r="AC1755" s="135"/>
    </row>
    <row r="1756">
      <c r="I1756" s="97"/>
      <c r="J1756" s="97"/>
      <c r="K1756" s="97"/>
      <c r="L1756" s="153"/>
      <c r="M1756" s="97"/>
      <c r="N1756" s="97"/>
      <c r="O1756" s="97"/>
      <c r="P1756" s="97"/>
      <c r="Q1756" s="97"/>
      <c r="R1756" s="135"/>
      <c r="S1756" s="135"/>
      <c r="T1756" s="135"/>
      <c r="U1756" s="135"/>
      <c r="V1756" s="135"/>
      <c r="W1756" s="137"/>
      <c r="X1756" s="135"/>
      <c r="Y1756" s="135"/>
      <c r="Z1756" s="135"/>
      <c r="AA1756" s="135"/>
      <c r="AB1756" s="135"/>
      <c r="AC1756" s="135"/>
    </row>
    <row r="1757">
      <c r="I1757" s="97"/>
      <c r="J1757" s="97"/>
      <c r="K1757" s="97"/>
      <c r="L1757" s="153"/>
      <c r="M1757" s="97"/>
      <c r="N1757" s="97"/>
      <c r="O1757" s="97"/>
      <c r="P1757" s="97"/>
      <c r="Q1757" s="97"/>
      <c r="R1757" s="135"/>
      <c r="S1757" s="135"/>
      <c r="T1757" s="135"/>
      <c r="U1757" s="135"/>
      <c r="V1757" s="135"/>
      <c r="W1757" s="137"/>
      <c r="X1757" s="135"/>
      <c r="Y1757" s="135"/>
      <c r="Z1757" s="135"/>
      <c r="AA1757" s="135"/>
      <c r="AB1757" s="135"/>
      <c r="AC1757" s="135"/>
    </row>
    <row r="1758">
      <c r="I1758" s="97"/>
      <c r="J1758" s="97"/>
      <c r="K1758" s="97"/>
      <c r="L1758" s="153"/>
      <c r="M1758" s="97"/>
      <c r="N1758" s="97"/>
      <c r="O1758" s="97"/>
      <c r="P1758" s="97"/>
      <c r="Q1758" s="97"/>
      <c r="R1758" s="135"/>
      <c r="S1758" s="135"/>
      <c r="T1758" s="135"/>
      <c r="U1758" s="135"/>
      <c r="V1758" s="135"/>
      <c r="W1758" s="137"/>
      <c r="X1758" s="135"/>
      <c r="Y1758" s="135"/>
      <c r="Z1758" s="135"/>
      <c r="AA1758" s="135"/>
      <c r="AB1758" s="135"/>
      <c r="AC1758" s="135"/>
    </row>
    <row r="1759">
      <c r="I1759" s="97"/>
      <c r="J1759" s="97"/>
      <c r="K1759" s="97"/>
      <c r="L1759" s="153"/>
      <c r="M1759" s="97"/>
      <c r="N1759" s="97"/>
      <c r="O1759" s="97"/>
      <c r="P1759" s="97"/>
      <c r="Q1759" s="97"/>
      <c r="R1759" s="135"/>
      <c r="S1759" s="135"/>
      <c r="T1759" s="135"/>
      <c r="U1759" s="135"/>
      <c r="V1759" s="135"/>
      <c r="W1759" s="137"/>
      <c r="X1759" s="135"/>
      <c r="Y1759" s="135"/>
      <c r="Z1759" s="135"/>
      <c r="AA1759" s="135"/>
      <c r="AB1759" s="135"/>
      <c r="AC1759" s="135"/>
    </row>
    <row r="1760">
      <c r="I1760" s="97"/>
      <c r="J1760" s="97"/>
      <c r="K1760" s="97"/>
      <c r="L1760" s="153"/>
      <c r="M1760" s="97"/>
      <c r="N1760" s="97"/>
      <c r="O1760" s="97"/>
      <c r="P1760" s="97"/>
      <c r="Q1760" s="97"/>
      <c r="R1760" s="135"/>
      <c r="S1760" s="135"/>
      <c r="T1760" s="135"/>
      <c r="U1760" s="135"/>
      <c r="V1760" s="135"/>
      <c r="W1760" s="137"/>
      <c r="X1760" s="135"/>
      <c r="Y1760" s="135"/>
      <c r="Z1760" s="135"/>
      <c r="AA1760" s="135"/>
      <c r="AB1760" s="135"/>
      <c r="AC1760" s="135"/>
    </row>
    <row r="1761">
      <c r="I1761" s="97"/>
      <c r="J1761" s="97"/>
      <c r="K1761" s="97"/>
      <c r="L1761" s="153"/>
      <c r="M1761" s="97"/>
      <c r="N1761" s="97"/>
      <c r="O1761" s="97"/>
      <c r="P1761" s="97"/>
      <c r="Q1761" s="97"/>
      <c r="R1761" s="135"/>
      <c r="S1761" s="135"/>
      <c r="T1761" s="135"/>
      <c r="U1761" s="135"/>
      <c r="V1761" s="135"/>
      <c r="W1761" s="137"/>
      <c r="X1761" s="135"/>
      <c r="Y1761" s="135"/>
      <c r="Z1761" s="135"/>
      <c r="AA1761" s="135"/>
      <c r="AB1761" s="135"/>
      <c r="AC1761" s="135"/>
    </row>
    <row r="1762">
      <c r="I1762" s="97"/>
      <c r="J1762" s="97"/>
      <c r="K1762" s="97"/>
      <c r="L1762" s="153"/>
      <c r="M1762" s="97"/>
      <c r="N1762" s="97"/>
      <c r="O1762" s="97"/>
      <c r="P1762" s="97"/>
      <c r="Q1762" s="97"/>
      <c r="R1762" s="135"/>
      <c r="S1762" s="135"/>
      <c r="T1762" s="135"/>
      <c r="U1762" s="135"/>
      <c r="V1762" s="135"/>
      <c r="W1762" s="137"/>
      <c r="X1762" s="135"/>
      <c r="Y1762" s="135"/>
      <c r="Z1762" s="135"/>
      <c r="AA1762" s="135"/>
      <c r="AB1762" s="135"/>
      <c r="AC1762" s="135"/>
    </row>
    <row r="1763">
      <c r="I1763" s="97"/>
      <c r="J1763" s="97"/>
      <c r="K1763" s="97"/>
      <c r="L1763" s="153"/>
      <c r="M1763" s="97"/>
      <c r="N1763" s="97"/>
      <c r="O1763" s="97"/>
      <c r="P1763" s="97"/>
      <c r="Q1763" s="97"/>
      <c r="R1763" s="135"/>
      <c r="S1763" s="135"/>
      <c r="T1763" s="135"/>
      <c r="U1763" s="135"/>
      <c r="V1763" s="135"/>
      <c r="W1763" s="137"/>
      <c r="X1763" s="135"/>
      <c r="Y1763" s="135"/>
      <c r="Z1763" s="135"/>
      <c r="AA1763" s="135"/>
      <c r="AB1763" s="135"/>
      <c r="AC1763" s="135"/>
    </row>
    <row r="1764">
      <c r="I1764" s="97"/>
      <c r="J1764" s="97"/>
      <c r="K1764" s="97"/>
      <c r="L1764" s="153"/>
      <c r="M1764" s="97"/>
      <c r="N1764" s="97"/>
      <c r="O1764" s="97"/>
      <c r="P1764" s="97"/>
      <c r="Q1764" s="97"/>
      <c r="R1764" s="135"/>
      <c r="S1764" s="135"/>
      <c r="T1764" s="135"/>
      <c r="U1764" s="135"/>
      <c r="V1764" s="135"/>
      <c r="W1764" s="137"/>
      <c r="X1764" s="135"/>
      <c r="Y1764" s="135"/>
      <c r="Z1764" s="135"/>
      <c r="AA1764" s="135"/>
      <c r="AB1764" s="135"/>
      <c r="AC1764" s="135"/>
    </row>
    <row r="1765">
      <c r="I1765" s="97"/>
      <c r="J1765" s="97"/>
      <c r="K1765" s="97"/>
      <c r="L1765" s="153"/>
      <c r="M1765" s="97"/>
      <c r="N1765" s="97"/>
      <c r="O1765" s="97"/>
      <c r="P1765" s="97"/>
      <c r="Q1765" s="97"/>
      <c r="R1765" s="135"/>
      <c r="S1765" s="135"/>
      <c r="T1765" s="135"/>
      <c r="U1765" s="135"/>
      <c r="V1765" s="135"/>
      <c r="W1765" s="137"/>
      <c r="X1765" s="135"/>
      <c r="Y1765" s="135"/>
      <c r="Z1765" s="135"/>
      <c r="AA1765" s="135"/>
      <c r="AB1765" s="135"/>
      <c r="AC1765" s="135"/>
    </row>
    <row r="1766">
      <c r="I1766" s="97"/>
      <c r="J1766" s="97"/>
      <c r="K1766" s="97"/>
      <c r="L1766" s="153"/>
      <c r="M1766" s="97"/>
      <c r="N1766" s="97"/>
      <c r="O1766" s="97"/>
      <c r="P1766" s="97"/>
      <c r="Q1766" s="97"/>
      <c r="R1766" s="135"/>
      <c r="S1766" s="135"/>
      <c r="T1766" s="135"/>
      <c r="U1766" s="135"/>
      <c r="V1766" s="135"/>
      <c r="W1766" s="137"/>
      <c r="X1766" s="135"/>
      <c r="Y1766" s="135"/>
      <c r="Z1766" s="135"/>
      <c r="AA1766" s="135"/>
      <c r="AB1766" s="135"/>
      <c r="AC1766" s="135"/>
    </row>
    <row r="1767">
      <c r="I1767" s="97"/>
      <c r="J1767" s="97"/>
      <c r="K1767" s="97"/>
      <c r="L1767" s="153"/>
      <c r="M1767" s="97"/>
      <c r="N1767" s="97"/>
      <c r="O1767" s="97"/>
      <c r="P1767" s="97"/>
      <c r="Q1767" s="97"/>
      <c r="R1767" s="135"/>
      <c r="S1767" s="135"/>
      <c r="T1767" s="135"/>
      <c r="U1767" s="135"/>
      <c r="V1767" s="135"/>
      <c r="W1767" s="137"/>
      <c r="X1767" s="135"/>
      <c r="Y1767" s="135"/>
      <c r="Z1767" s="135"/>
      <c r="AA1767" s="135"/>
      <c r="AB1767" s="135"/>
      <c r="AC1767" s="135"/>
    </row>
    <row r="1768">
      <c r="I1768" s="97"/>
      <c r="J1768" s="97"/>
      <c r="K1768" s="97"/>
      <c r="L1768" s="153"/>
      <c r="M1768" s="97"/>
      <c r="N1768" s="97"/>
      <c r="O1768" s="97"/>
      <c r="P1768" s="97"/>
      <c r="Q1768" s="97"/>
      <c r="R1768" s="135"/>
      <c r="S1768" s="135"/>
      <c r="T1768" s="135"/>
      <c r="U1768" s="135"/>
      <c r="V1768" s="135"/>
      <c r="W1768" s="137"/>
      <c r="X1768" s="135"/>
      <c r="Y1768" s="135"/>
      <c r="Z1768" s="135"/>
      <c r="AA1768" s="135"/>
      <c r="AB1768" s="135"/>
      <c r="AC1768" s="135"/>
    </row>
    <row r="1769">
      <c r="I1769" s="97"/>
      <c r="J1769" s="97"/>
      <c r="K1769" s="97"/>
      <c r="L1769" s="153"/>
      <c r="M1769" s="97"/>
      <c r="N1769" s="97"/>
      <c r="O1769" s="97"/>
      <c r="P1769" s="97"/>
      <c r="Q1769" s="97"/>
      <c r="R1769" s="135"/>
      <c r="S1769" s="135"/>
      <c r="T1769" s="135"/>
      <c r="U1769" s="135"/>
      <c r="V1769" s="135"/>
      <c r="W1769" s="137"/>
      <c r="X1769" s="135"/>
      <c r="Y1769" s="135"/>
      <c r="Z1769" s="135"/>
      <c r="AA1769" s="135"/>
      <c r="AB1769" s="135"/>
      <c r="AC1769" s="135"/>
    </row>
    <row r="1770">
      <c r="I1770" s="97"/>
      <c r="J1770" s="97"/>
      <c r="K1770" s="97"/>
      <c r="L1770" s="153"/>
      <c r="M1770" s="97"/>
      <c r="N1770" s="97"/>
      <c r="O1770" s="97"/>
      <c r="P1770" s="97"/>
      <c r="Q1770" s="97"/>
      <c r="R1770" s="135"/>
      <c r="S1770" s="135"/>
      <c r="T1770" s="135"/>
      <c r="U1770" s="135"/>
      <c r="V1770" s="135"/>
      <c r="W1770" s="137"/>
      <c r="X1770" s="135"/>
      <c r="Y1770" s="135"/>
      <c r="Z1770" s="135"/>
      <c r="AA1770" s="135"/>
      <c r="AB1770" s="135"/>
      <c r="AC1770" s="135"/>
    </row>
    <row r="1771">
      <c r="I1771" s="97"/>
      <c r="J1771" s="97"/>
      <c r="K1771" s="97"/>
      <c r="L1771" s="153"/>
      <c r="M1771" s="97"/>
      <c r="N1771" s="97"/>
      <c r="O1771" s="97"/>
      <c r="P1771" s="97"/>
      <c r="Q1771" s="97"/>
      <c r="R1771" s="135"/>
      <c r="S1771" s="135"/>
      <c r="T1771" s="135"/>
      <c r="U1771" s="135"/>
      <c r="V1771" s="135"/>
      <c r="W1771" s="137"/>
      <c r="X1771" s="135"/>
      <c r="Y1771" s="135"/>
      <c r="Z1771" s="135"/>
      <c r="AA1771" s="135"/>
      <c r="AB1771" s="135"/>
      <c r="AC1771" s="135"/>
    </row>
    <row r="1772">
      <c r="I1772" s="97"/>
      <c r="J1772" s="97"/>
      <c r="K1772" s="97"/>
      <c r="L1772" s="153"/>
      <c r="M1772" s="97"/>
      <c r="N1772" s="97"/>
      <c r="O1772" s="97"/>
      <c r="P1772" s="97"/>
      <c r="Q1772" s="97"/>
      <c r="R1772" s="135"/>
      <c r="S1772" s="135"/>
      <c r="T1772" s="135"/>
      <c r="U1772" s="135"/>
      <c r="V1772" s="135"/>
      <c r="W1772" s="137"/>
      <c r="X1772" s="135"/>
      <c r="Y1772" s="135"/>
      <c r="Z1772" s="135"/>
      <c r="AA1772" s="135"/>
      <c r="AB1772" s="135"/>
      <c r="AC1772" s="135"/>
    </row>
    <row r="1773">
      <c r="I1773" s="97"/>
      <c r="J1773" s="97"/>
      <c r="K1773" s="97"/>
      <c r="L1773" s="153"/>
      <c r="M1773" s="97"/>
      <c r="N1773" s="97"/>
      <c r="O1773" s="97"/>
      <c r="P1773" s="97"/>
      <c r="Q1773" s="97"/>
      <c r="R1773" s="135"/>
      <c r="S1773" s="135"/>
      <c r="T1773" s="135"/>
      <c r="U1773" s="135"/>
      <c r="V1773" s="135"/>
      <c r="W1773" s="137"/>
      <c r="X1773" s="135"/>
      <c r="Y1773" s="135"/>
      <c r="Z1773" s="135"/>
      <c r="AA1773" s="135"/>
      <c r="AB1773" s="135"/>
      <c r="AC1773" s="135"/>
    </row>
    <row r="1774">
      <c r="I1774" s="97"/>
      <c r="J1774" s="97"/>
      <c r="K1774" s="97"/>
      <c r="L1774" s="153"/>
      <c r="M1774" s="97"/>
      <c r="N1774" s="97"/>
      <c r="O1774" s="97"/>
      <c r="P1774" s="97"/>
      <c r="Q1774" s="97"/>
      <c r="R1774" s="135"/>
      <c r="S1774" s="135"/>
      <c r="T1774" s="135"/>
      <c r="U1774" s="135"/>
      <c r="V1774" s="135"/>
      <c r="W1774" s="137"/>
      <c r="X1774" s="135"/>
      <c r="Y1774" s="135"/>
      <c r="Z1774" s="135"/>
      <c r="AA1774" s="135"/>
      <c r="AB1774" s="135"/>
      <c r="AC1774" s="135"/>
    </row>
    <row r="1775">
      <c r="I1775" s="97"/>
      <c r="J1775" s="97"/>
      <c r="K1775" s="97"/>
      <c r="L1775" s="153"/>
      <c r="M1775" s="97"/>
      <c r="N1775" s="97"/>
      <c r="O1775" s="97"/>
      <c r="P1775" s="97"/>
      <c r="Q1775" s="97"/>
      <c r="R1775" s="135"/>
      <c r="S1775" s="135"/>
      <c r="T1775" s="135"/>
      <c r="U1775" s="135"/>
      <c r="V1775" s="135"/>
      <c r="W1775" s="137"/>
      <c r="X1775" s="135"/>
      <c r="Y1775" s="135"/>
      <c r="Z1775" s="135"/>
      <c r="AA1775" s="135"/>
      <c r="AB1775" s="135"/>
      <c r="AC1775" s="135"/>
    </row>
    <row r="1776">
      <c r="I1776" s="97"/>
      <c r="J1776" s="97"/>
      <c r="K1776" s="97"/>
      <c r="L1776" s="153"/>
      <c r="M1776" s="97"/>
      <c r="N1776" s="97"/>
      <c r="O1776" s="97"/>
      <c r="P1776" s="97"/>
      <c r="Q1776" s="97"/>
      <c r="R1776" s="135"/>
      <c r="S1776" s="135"/>
      <c r="T1776" s="135"/>
      <c r="U1776" s="135"/>
      <c r="V1776" s="135"/>
      <c r="W1776" s="137"/>
      <c r="X1776" s="135"/>
      <c r="Y1776" s="135"/>
      <c r="Z1776" s="135"/>
      <c r="AA1776" s="135"/>
      <c r="AB1776" s="135"/>
      <c r="AC1776" s="135"/>
    </row>
    <row r="1777">
      <c r="I1777" s="97"/>
      <c r="J1777" s="97"/>
      <c r="K1777" s="97"/>
      <c r="L1777" s="153"/>
      <c r="M1777" s="97"/>
      <c r="N1777" s="97"/>
      <c r="O1777" s="97"/>
      <c r="P1777" s="97"/>
      <c r="Q1777" s="97"/>
      <c r="R1777" s="135"/>
      <c r="S1777" s="135"/>
      <c r="T1777" s="135"/>
      <c r="U1777" s="135"/>
      <c r="V1777" s="135"/>
      <c r="W1777" s="137"/>
      <c r="X1777" s="135"/>
      <c r="Y1777" s="135"/>
      <c r="Z1777" s="135"/>
      <c r="AA1777" s="135"/>
      <c r="AB1777" s="135"/>
      <c r="AC1777" s="135"/>
    </row>
    <row r="1778">
      <c r="I1778" s="97"/>
      <c r="J1778" s="97"/>
      <c r="K1778" s="97"/>
      <c r="L1778" s="153"/>
      <c r="M1778" s="97"/>
      <c r="N1778" s="97"/>
      <c r="O1778" s="97"/>
      <c r="P1778" s="97"/>
      <c r="Q1778" s="97"/>
      <c r="R1778" s="135"/>
      <c r="S1778" s="135"/>
      <c r="T1778" s="135"/>
      <c r="U1778" s="135"/>
      <c r="V1778" s="135"/>
      <c r="W1778" s="137"/>
      <c r="X1778" s="135"/>
      <c r="Y1778" s="135"/>
      <c r="Z1778" s="135"/>
      <c r="AA1778" s="135"/>
      <c r="AB1778" s="135"/>
      <c r="AC1778" s="135"/>
    </row>
    <row r="1779">
      <c r="I1779" s="97"/>
      <c r="J1779" s="97"/>
      <c r="K1779" s="97"/>
      <c r="L1779" s="153"/>
      <c r="M1779" s="97"/>
      <c r="N1779" s="97"/>
      <c r="O1779" s="97"/>
      <c r="P1779" s="97"/>
      <c r="Q1779" s="97"/>
      <c r="R1779" s="135"/>
      <c r="S1779" s="135"/>
      <c r="T1779" s="135"/>
      <c r="U1779" s="135"/>
      <c r="V1779" s="135"/>
      <c r="W1779" s="137"/>
      <c r="X1779" s="135"/>
      <c r="Y1779" s="135"/>
      <c r="Z1779" s="135"/>
      <c r="AA1779" s="135"/>
      <c r="AB1779" s="135"/>
      <c r="AC1779" s="135"/>
    </row>
    <row r="1780">
      <c r="I1780" s="97"/>
      <c r="J1780" s="97"/>
      <c r="K1780" s="97"/>
      <c r="L1780" s="153"/>
      <c r="M1780" s="97"/>
      <c r="N1780" s="97"/>
      <c r="O1780" s="97"/>
      <c r="P1780" s="97"/>
      <c r="Q1780" s="97"/>
      <c r="R1780" s="135"/>
      <c r="S1780" s="135"/>
      <c r="T1780" s="135"/>
      <c r="U1780" s="135"/>
      <c r="V1780" s="135"/>
      <c r="W1780" s="137"/>
      <c r="X1780" s="135"/>
      <c r="Y1780" s="135"/>
      <c r="Z1780" s="135"/>
      <c r="AA1780" s="135"/>
      <c r="AB1780" s="135"/>
      <c r="AC1780" s="135"/>
    </row>
    <row r="1781">
      <c r="I1781" s="97"/>
      <c r="J1781" s="97"/>
      <c r="K1781" s="97"/>
      <c r="L1781" s="153"/>
      <c r="M1781" s="97"/>
      <c r="N1781" s="97"/>
      <c r="O1781" s="97"/>
      <c r="P1781" s="97"/>
      <c r="Q1781" s="97"/>
      <c r="R1781" s="135"/>
      <c r="S1781" s="135"/>
      <c r="T1781" s="135"/>
      <c r="U1781" s="135"/>
      <c r="V1781" s="135"/>
      <c r="W1781" s="137"/>
      <c r="X1781" s="135"/>
      <c r="Y1781" s="135"/>
      <c r="Z1781" s="135"/>
      <c r="AA1781" s="135"/>
      <c r="AB1781" s="135"/>
      <c r="AC1781" s="135"/>
    </row>
    <row r="1782">
      <c r="I1782" s="97"/>
      <c r="J1782" s="97"/>
      <c r="K1782" s="97"/>
      <c r="L1782" s="153"/>
      <c r="M1782" s="97"/>
      <c r="N1782" s="97"/>
      <c r="O1782" s="97"/>
      <c r="P1782" s="97"/>
      <c r="Q1782" s="97"/>
      <c r="R1782" s="135"/>
      <c r="S1782" s="135"/>
      <c r="T1782" s="135"/>
      <c r="U1782" s="135"/>
      <c r="V1782" s="135"/>
      <c r="W1782" s="137"/>
      <c r="X1782" s="135"/>
      <c r="Y1782" s="135"/>
      <c r="Z1782" s="135"/>
      <c r="AA1782" s="135"/>
      <c r="AB1782" s="135"/>
      <c r="AC1782" s="135"/>
    </row>
    <row r="1783">
      <c r="I1783" s="97"/>
      <c r="J1783" s="97"/>
      <c r="K1783" s="97"/>
      <c r="L1783" s="153"/>
      <c r="M1783" s="97"/>
      <c r="N1783" s="97"/>
      <c r="O1783" s="97"/>
      <c r="P1783" s="97"/>
      <c r="Q1783" s="97"/>
      <c r="R1783" s="135"/>
      <c r="S1783" s="135"/>
      <c r="T1783" s="135"/>
      <c r="U1783" s="135"/>
      <c r="V1783" s="135"/>
      <c r="W1783" s="137"/>
      <c r="X1783" s="135"/>
      <c r="Y1783" s="135"/>
      <c r="Z1783" s="135"/>
      <c r="AA1783" s="135"/>
      <c r="AB1783" s="135"/>
      <c r="AC1783" s="135"/>
    </row>
    <row r="1784">
      <c r="I1784" s="97"/>
      <c r="J1784" s="97"/>
      <c r="K1784" s="97"/>
      <c r="L1784" s="153"/>
      <c r="M1784" s="97"/>
      <c r="N1784" s="97"/>
      <c r="O1784" s="97"/>
      <c r="P1784" s="97"/>
      <c r="Q1784" s="97"/>
      <c r="R1784" s="135"/>
      <c r="S1784" s="135"/>
      <c r="T1784" s="135"/>
      <c r="U1784" s="135"/>
      <c r="V1784" s="135"/>
      <c r="W1784" s="137"/>
      <c r="X1784" s="135"/>
      <c r="Y1784" s="135"/>
      <c r="Z1784" s="135"/>
      <c r="AA1784" s="135"/>
      <c r="AB1784" s="135"/>
      <c r="AC1784" s="135"/>
    </row>
    <row r="1785">
      <c r="I1785" s="97"/>
      <c r="J1785" s="97"/>
      <c r="K1785" s="97"/>
      <c r="L1785" s="153"/>
      <c r="M1785" s="97"/>
      <c r="N1785" s="97"/>
      <c r="O1785" s="97"/>
      <c r="P1785" s="97"/>
      <c r="Q1785" s="97"/>
      <c r="R1785" s="135"/>
      <c r="S1785" s="135"/>
      <c r="T1785" s="135"/>
      <c r="U1785" s="135"/>
      <c r="V1785" s="135"/>
      <c r="W1785" s="137"/>
      <c r="X1785" s="135"/>
      <c r="Y1785" s="135"/>
      <c r="Z1785" s="135"/>
      <c r="AA1785" s="135"/>
      <c r="AB1785" s="135"/>
      <c r="AC1785" s="135"/>
    </row>
    <row r="1786">
      <c r="I1786" s="97"/>
      <c r="J1786" s="97"/>
      <c r="K1786" s="97"/>
      <c r="L1786" s="153"/>
      <c r="M1786" s="97"/>
      <c r="N1786" s="97"/>
      <c r="O1786" s="97"/>
      <c r="P1786" s="97"/>
      <c r="Q1786" s="97"/>
      <c r="R1786" s="135"/>
      <c r="S1786" s="135"/>
      <c r="T1786" s="135"/>
      <c r="U1786" s="135"/>
      <c r="V1786" s="135"/>
      <c r="W1786" s="137"/>
      <c r="X1786" s="135"/>
      <c r="Y1786" s="135"/>
      <c r="Z1786" s="135"/>
      <c r="AA1786" s="135"/>
      <c r="AB1786" s="135"/>
      <c r="AC1786" s="135"/>
    </row>
    <row r="1787">
      <c r="I1787" s="97"/>
      <c r="J1787" s="97"/>
      <c r="K1787" s="97"/>
      <c r="L1787" s="153"/>
      <c r="M1787" s="97"/>
      <c r="N1787" s="97"/>
      <c r="O1787" s="97"/>
      <c r="P1787" s="97"/>
      <c r="Q1787" s="97"/>
      <c r="R1787" s="135"/>
      <c r="S1787" s="135"/>
      <c r="T1787" s="135"/>
      <c r="U1787" s="135"/>
      <c r="V1787" s="135"/>
      <c r="W1787" s="137"/>
      <c r="X1787" s="135"/>
      <c r="Y1787" s="135"/>
      <c r="Z1787" s="135"/>
      <c r="AA1787" s="135"/>
      <c r="AB1787" s="135"/>
      <c r="AC1787" s="135"/>
    </row>
    <row r="1788">
      <c r="I1788" s="97"/>
      <c r="J1788" s="97"/>
      <c r="K1788" s="97"/>
      <c r="L1788" s="153"/>
      <c r="M1788" s="97"/>
      <c r="N1788" s="97"/>
      <c r="O1788" s="97"/>
      <c r="P1788" s="97"/>
      <c r="Q1788" s="97"/>
      <c r="R1788" s="135"/>
      <c r="S1788" s="135"/>
      <c r="T1788" s="135"/>
      <c r="U1788" s="135"/>
      <c r="V1788" s="135"/>
      <c r="W1788" s="137"/>
      <c r="X1788" s="135"/>
      <c r="Y1788" s="135"/>
      <c r="Z1788" s="135"/>
      <c r="AA1788" s="135"/>
      <c r="AB1788" s="135"/>
      <c r="AC1788" s="135"/>
    </row>
    <row r="1789">
      <c r="I1789" s="97"/>
      <c r="J1789" s="97"/>
      <c r="K1789" s="97"/>
      <c r="L1789" s="153"/>
      <c r="M1789" s="97"/>
      <c r="N1789" s="97"/>
      <c r="O1789" s="97"/>
      <c r="P1789" s="97"/>
      <c r="Q1789" s="97"/>
      <c r="R1789" s="135"/>
      <c r="S1789" s="135"/>
      <c r="T1789" s="135"/>
      <c r="U1789" s="135"/>
      <c r="V1789" s="135"/>
      <c r="W1789" s="137"/>
      <c r="X1789" s="135"/>
      <c r="Y1789" s="135"/>
      <c r="Z1789" s="135"/>
      <c r="AA1789" s="135"/>
      <c r="AB1789" s="135"/>
      <c r="AC1789" s="135"/>
    </row>
    <row r="1790">
      <c r="I1790" s="97"/>
      <c r="J1790" s="97"/>
      <c r="K1790" s="97"/>
      <c r="L1790" s="153"/>
      <c r="M1790" s="97"/>
      <c r="N1790" s="97"/>
      <c r="O1790" s="97"/>
      <c r="P1790" s="97"/>
      <c r="Q1790" s="97"/>
      <c r="R1790" s="135"/>
      <c r="S1790" s="135"/>
      <c r="T1790" s="135"/>
      <c r="U1790" s="135"/>
      <c r="V1790" s="135"/>
      <c r="W1790" s="137"/>
      <c r="X1790" s="135"/>
      <c r="Y1790" s="135"/>
      <c r="Z1790" s="135"/>
      <c r="AA1790" s="135"/>
      <c r="AB1790" s="135"/>
      <c r="AC1790" s="135"/>
    </row>
    <row r="1791">
      <c r="I1791" s="97"/>
      <c r="J1791" s="97"/>
      <c r="K1791" s="97"/>
      <c r="L1791" s="153"/>
      <c r="M1791" s="97"/>
      <c r="N1791" s="97"/>
      <c r="O1791" s="97"/>
      <c r="P1791" s="97"/>
      <c r="Q1791" s="97"/>
      <c r="R1791" s="135"/>
      <c r="S1791" s="135"/>
      <c r="T1791" s="135"/>
      <c r="U1791" s="135"/>
      <c r="V1791" s="135"/>
      <c r="W1791" s="137"/>
      <c r="X1791" s="135"/>
      <c r="Y1791" s="135"/>
      <c r="Z1791" s="135"/>
      <c r="AA1791" s="135"/>
      <c r="AB1791" s="135"/>
      <c r="AC1791" s="135"/>
    </row>
    <row r="1792">
      <c r="I1792" s="97"/>
      <c r="J1792" s="97"/>
      <c r="K1792" s="97"/>
      <c r="L1792" s="153"/>
      <c r="M1792" s="97"/>
      <c r="N1792" s="97"/>
      <c r="O1792" s="97"/>
      <c r="P1792" s="97"/>
      <c r="Q1792" s="97"/>
      <c r="R1792" s="135"/>
      <c r="S1792" s="135"/>
      <c r="T1792" s="135"/>
      <c r="U1792" s="135"/>
      <c r="V1792" s="135"/>
      <c r="W1792" s="137"/>
      <c r="X1792" s="135"/>
      <c r="Y1792" s="135"/>
      <c r="Z1792" s="135"/>
      <c r="AA1792" s="135"/>
      <c r="AB1792" s="135"/>
      <c r="AC1792" s="135"/>
    </row>
    <row r="1793">
      <c r="I1793" s="97"/>
      <c r="J1793" s="97"/>
      <c r="K1793" s="97"/>
      <c r="L1793" s="153"/>
      <c r="M1793" s="97"/>
      <c r="N1793" s="97"/>
      <c r="O1793" s="97"/>
      <c r="P1793" s="97"/>
      <c r="Q1793" s="97"/>
      <c r="R1793" s="135"/>
      <c r="S1793" s="135"/>
      <c r="T1793" s="135"/>
      <c r="U1793" s="135"/>
      <c r="V1793" s="135"/>
      <c r="W1793" s="137"/>
      <c r="X1793" s="135"/>
      <c r="Y1793" s="135"/>
      <c r="Z1793" s="135"/>
      <c r="AA1793" s="135"/>
      <c r="AB1793" s="135"/>
      <c r="AC1793" s="135"/>
    </row>
    <row r="1794">
      <c r="I1794" s="97"/>
      <c r="J1794" s="97"/>
      <c r="K1794" s="97"/>
      <c r="L1794" s="153"/>
      <c r="M1794" s="97"/>
      <c r="N1794" s="97"/>
      <c r="O1794" s="97"/>
      <c r="P1794" s="97"/>
      <c r="Q1794" s="97"/>
      <c r="R1794" s="135"/>
      <c r="S1794" s="135"/>
      <c r="T1794" s="135"/>
      <c r="U1794" s="135"/>
      <c r="V1794" s="135"/>
      <c r="W1794" s="137"/>
      <c r="X1794" s="135"/>
      <c r="Y1794" s="135"/>
      <c r="Z1794" s="135"/>
      <c r="AA1794" s="135"/>
      <c r="AB1794" s="135"/>
      <c r="AC1794" s="135"/>
    </row>
    <row r="1795">
      <c r="I1795" s="97"/>
      <c r="J1795" s="97"/>
      <c r="K1795" s="97"/>
      <c r="L1795" s="153"/>
      <c r="M1795" s="97"/>
      <c r="N1795" s="97"/>
      <c r="O1795" s="97"/>
      <c r="P1795" s="97"/>
      <c r="Q1795" s="97"/>
      <c r="R1795" s="135"/>
      <c r="S1795" s="135"/>
      <c r="T1795" s="135"/>
      <c r="U1795" s="135"/>
      <c r="V1795" s="135"/>
      <c r="W1795" s="137"/>
      <c r="X1795" s="135"/>
      <c r="Y1795" s="135"/>
      <c r="Z1795" s="135"/>
      <c r="AA1795" s="135"/>
      <c r="AB1795" s="135"/>
      <c r="AC1795" s="135"/>
    </row>
    <row r="1796">
      <c r="I1796" s="97"/>
      <c r="J1796" s="97"/>
      <c r="K1796" s="97"/>
      <c r="L1796" s="153"/>
      <c r="M1796" s="97"/>
      <c r="N1796" s="97"/>
      <c r="O1796" s="97"/>
      <c r="P1796" s="97"/>
      <c r="Q1796" s="97"/>
      <c r="R1796" s="135"/>
      <c r="S1796" s="135"/>
      <c r="T1796" s="135"/>
      <c r="U1796" s="135"/>
      <c r="V1796" s="135"/>
      <c r="W1796" s="137"/>
      <c r="X1796" s="135"/>
      <c r="Y1796" s="135"/>
      <c r="Z1796" s="135"/>
      <c r="AA1796" s="135"/>
      <c r="AB1796" s="135"/>
      <c r="AC1796" s="135"/>
    </row>
    <row r="1797">
      <c r="I1797" s="97"/>
      <c r="J1797" s="97"/>
      <c r="K1797" s="97"/>
      <c r="L1797" s="153"/>
      <c r="M1797" s="97"/>
      <c r="N1797" s="97"/>
      <c r="O1797" s="97"/>
      <c r="P1797" s="97"/>
      <c r="Q1797" s="97"/>
      <c r="R1797" s="135"/>
      <c r="S1797" s="135"/>
      <c r="T1797" s="135"/>
      <c r="U1797" s="135"/>
      <c r="V1797" s="135"/>
      <c r="W1797" s="137"/>
      <c r="X1797" s="135"/>
      <c r="Y1797" s="135"/>
      <c r="Z1797" s="135"/>
      <c r="AA1797" s="135"/>
      <c r="AB1797" s="135"/>
      <c r="AC1797" s="135"/>
    </row>
    <row r="1798">
      <c r="I1798" s="97"/>
      <c r="J1798" s="97"/>
      <c r="K1798" s="97"/>
      <c r="L1798" s="153"/>
      <c r="M1798" s="97"/>
      <c r="N1798" s="97"/>
      <c r="O1798" s="97"/>
      <c r="P1798" s="97"/>
      <c r="Q1798" s="97"/>
      <c r="R1798" s="135"/>
      <c r="S1798" s="135"/>
      <c r="T1798" s="135"/>
      <c r="U1798" s="135"/>
      <c r="V1798" s="135"/>
      <c r="W1798" s="137"/>
      <c r="X1798" s="135"/>
      <c r="Y1798" s="135"/>
      <c r="Z1798" s="135"/>
      <c r="AA1798" s="135"/>
      <c r="AB1798" s="135"/>
      <c r="AC1798" s="135"/>
    </row>
    <row r="1799">
      <c r="I1799" s="97"/>
      <c r="J1799" s="97"/>
      <c r="K1799" s="97"/>
      <c r="L1799" s="153"/>
      <c r="M1799" s="97"/>
      <c r="N1799" s="97"/>
      <c r="O1799" s="97"/>
      <c r="P1799" s="97"/>
      <c r="Q1799" s="97"/>
      <c r="R1799" s="135"/>
      <c r="S1799" s="135"/>
      <c r="T1799" s="135"/>
      <c r="U1799" s="135"/>
      <c r="V1799" s="135"/>
      <c r="W1799" s="137"/>
      <c r="X1799" s="135"/>
      <c r="Y1799" s="135"/>
      <c r="Z1799" s="135"/>
      <c r="AA1799" s="135"/>
      <c r="AB1799" s="135"/>
      <c r="AC1799" s="135"/>
    </row>
    <row r="1800">
      <c r="I1800" s="97"/>
      <c r="J1800" s="97"/>
      <c r="K1800" s="97"/>
      <c r="L1800" s="153"/>
      <c r="M1800" s="97"/>
      <c r="N1800" s="97"/>
      <c r="O1800" s="97"/>
      <c r="P1800" s="97"/>
      <c r="Q1800" s="97"/>
      <c r="R1800" s="135"/>
      <c r="S1800" s="135"/>
      <c r="T1800" s="135"/>
      <c r="U1800" s="135"/>
      <c r="V1800" s="135"/>
      <c r="W1800" s="137"/>
      <c r="X1800" s="135"/>
      <c r="Y1800" s="135"/>
      <c r="Z1800" s="135"/>
      <c r="AA1800" s="135"/>
      <c r="AB1800" s="135"/>
      <c r="AC1800" s="135"/>
    </row>
    <row r="1801">
      <c r="I1801" s="97"/>
      <c r="J1801" s="97"/>
      <c r="K1801" s="97"/>
      <c r="L1801" s="153"/>
      <c r="M1801" s="97"/>
      <c r="N1801" s="97"/>
      <c r="O1801" s="97"/>
      <c r="P1801" s="97"/>
      <c r="Q1801" s="97"/>
      <c r="R1801" s="135"/>
      <c r="S1801" s="135"/>
      <c r="T1801" s="135"/>
      <c r="U1801" s="135"/>
      <c r="V1801" s="135"/>
      <c r="W1801" s="137"/>
      <c r="X1801" s="135"/>
      <c r="Y1801" s="135"/>
      <c r="Z1801" s="135"/>
      <c r="AA1801" s="135"/>
      <c r="AB1801" s="135"/>
      <c r="AC1801" s="135"/>
    </row>
    <row r="1802">
      <c r="I1802" s="97"/>
      <c r="J1802" s="97"/>
      <c r="K1802" s="97"/>
      <c r="L1802" s="153"/>
      <c r="M1802" s="97"/>
      <c r="N1802" s="97"/>
      <c r="O1802" s="97"/>
      <c r="P1802" s="97"/>
      <c r="Q1802" s="97"/>
      <c r="R1802" s="135"/>
      <c r="S1802" s="135"/>
      <c r="T1802" s="135"/>
      <c r="U1802" s="135"/>
      <c r="V1802" s="135"/>
      <c r="W1802" s="137"/>
      <c r="X1802" s="135"/>
      <c r="Y1802" s="135"/>
      <c r="Z1802" s="135"/>
      <c r="AA1802" s="135"/>
      <c r="AB1802" s="135"/>
      <c r="AC1802" s="135"/>
    </row>
    <row r="1803">
      <c r="I1803" s="97"/>
      <c r="J1803" s="97"/>
      <c r="K1803" s="97"/>
      <c r="L1803" s="153"/>
      <c r="M1803" s="97"/>
      <c r="N1803" s="97"/>
      <c r="O1803" s="97"/>
      <c r="P1803" s="97"/>
      <c r="Q1803" s="97"/>
      <c r="R1803" s="135"/>
      <c r="S1803" s="135"/>
      <c r="T1803" s="135"/>
      <c r="U1803" s="135"/>
      <c r="V1803" s="135"/>
      <c r="W1803" s="137"/>
      <c r="X1803" s="135"/>
      <c r="Y1803" s="135"/>
      <c r="Z1803" s="135"/>
      <c r="AA1803" s="135"/>
      <c r="AB1803" s="135"/>
      <c r="AC1803" s="135"/>
    </row>
    <row r="1804">
      <c r="I1804" s="97"/>
      <c r="J1804" s="97"/>
      <c r="K1804" s="97"/>
      <c r="L1804" s="153"/>
      <c r="M1804" s="97"/>
      <c r="N1804" s="97"/>
      <c r="O1804" s="97"/>
      <c r="P1804" s="97"/>
      <c r="Q1804" s="97"/>
      <c r="R1804" s="135"/>
      <c r="S1804" s="135"/>
      <c r="T1804" s="135"/>
      <c r="U1804" s="135"/>
      <c r="V1804" s="135"/>
      <c r="W1804" s="137"/>
      <c r="X1804" s="135"/>
      <c r="Y1804" s="135"/>
      <c r="Z1804" s="135"/>
      <c r="AA1804" s="135"/>
      <c r="AB1804" s="135"/>
      <c r="AC1804" s="135"/>
    </row>
    <row r="1805">
      <c r="I1805" s="97"/>
      <c r="J1805" s="97"/>
      <c r="K1805" s="97"/>
      <c r="L1805" s="153"/>
      <c r="M1805" s="97"/>
      <c r="N1805" s="97"/>
      <c r="O1805" s="97"/>
      <c r="P1805" s="97"/>
      <c r="Q1805" s="97"/>
      <c r="R1805" s="135"/>
      <c r="S1805" s="135"/>
      <c r="T1805" s="135"/>
      <c r="U1805" s="135"/>
      <c r="V1805" s="135"/>
      <c r="W1805" s="137"/>
      <c r="X1805" s="135"/>
      <c r="Y1805" s="135"/>
      <c r="Z1805" s="135"/>
      <c r="AA1805" s="135"/>
      <c r="AB1805" s="135"/>
      <c r="AC1805" s="135"/>
    </row>
    <row r="1806">
      <c r="I1806" s="97"/>
      <c r="J1806" s="97"/>
      <c r="K1806" s="97"/>
      <c r="L1806" s="153"/>
      <c r="M1806" s="97"/>
      <c r="N1806" s="97"/>
      <c r="O1806" s="97"/>
      <c r="P1806" s="97"/>
      <c r="Q1806" s="97"/>
      <c r="R1806" s="135"/>
      <c r="S1806" s="135"/>
      <c r="T1806" s="135"/>
      <c r="U1806" s="135"/>
      <c r="V1806" s="135"/>
      <c r="W1806" s="137"/>
      <c r="X1806" s="135"/>
      <c r="Y1806" s="135"/>
      <c r="Z1806" s="135"/>
      <c r="AA1806" s="135"/>
      <c r="AB1806" s="135"/>
      <c r="AC1806" s="135"/>
    </row>
    <row r="1807">
      <c r="I1807" s="97"/>
      <c r="J1807" s="97"/>
      <c r="K1807" s="97"/>
      <c r="L1807" s="153"/>
      <c r="M1807" s="97"/>
      <c r="N1807" s="97"/>
      <c r="O1807" s="97"/>
      <c r="P1807" s="97"/>
      <c r="Q1807" s="97"/>
      <c r="R1807" s="135"/>
      <c r="S1807" s="135"/>
      <c r="T1807" s="135"/>
      <c r="U1807" s="135"/>
      <c r="V1807" s="135"/>
      <c r="W1807" s="137"/>
      <c r="X1807" s="135"/>
      <c r="Y1807" s="135"/>
      <c r="Z1807" s="135"/>
      <c r="AA1807" s="135"/>
      <c r="AB1807" s="135"/>
      <c r="AC1807" s="135"/>
    </row>
    <row r="1808">
      <c r="I1808" s="97"/>
      <c r="J1808" s="97"/>
      <c r="K1808" s="97"/>
      <c r="L1808" s="153"/>
      <c r="M1808" s="97"/>
      <c r="N1808" s="97"/>
      <c r="O1808" s="97"/>
      <c r="P1808" s="97"/>
      <c r="Q1808" s="97"/>
      <c r="R1808" s="135"/>
      <c r="S1808" s="135"/>
      <c r="T1808" s="135"/>
      <c r="U1808" s="135"/>
      <c r="V1808" s="135"/>
      <c r="W1808" s="137"/>
      <c r="X1808" s="135"/>
      <c r="Y1808" s="135"/>
      <c r="Z1808" s="135"/>
      <c r="AA1808" s="135"/>
      <c r="AB1808" s="135"/>
      <c r="AC1808" s="135"/>
    </row>
    <row r="1809">
      <c r="I1809" s="97"/>
      <c r="J1809" s="97"/>
      <c r="K1809" s="97"/>
      <c r="L1809" s="153"/>
      <c r="M1809" s="97"/>
      <c r="N1809" s="97"/>
      <c r="O1809" s="97"/>
      <c r="P1809" s="97"/>
      <c r="Q1809" s="97"/>
      <c r="R1809" s="135"/>
      <c r="S1809" s="135"/>
      <c r="T1809" s="135"/>
      <c r="U1809" s="135"/>
      <c r="V1809" s="135"/>
      <c r="W1809" s="137"/>
      <c r="X1809" s="135"/>
      <c r="Y1809" s="135"/>
      <c r="Z1809" s="135"/>
      <c r="AA1809" s="135"/>
      <c r="AB1809" s="135"/>
      <c r="AC1809" s="135"/>
    </row>
    <row r="1810">
      <c r="I1810" s="97"/>
      <c r="J1810" s="97"/>
      <c r="K1810" s="97"/>
      <c r="L1810" s="153"/>
      <c r="M1810" s="97"/>
      <c r="N1810" s="97"/>
      <c r="O1810" s="97"/>
      <c r="P1810" s="97"/>
      <c r="Q1810" s="97"/>
      <c r="R1810" s="135"/>
      <c r="S1810" s="135"/>
      <c r="T1810" s="135"/>
      <c r="U1810" s="135"/>
      <c r="V1810" s="135"/>
      <c r="W1810" s="137"/>
      <c r="X1810" s="135"/>
      <c r="Y1810" s="135"/>
      <c r="Z1810" s="135"/>
      <c r="AA1810" s="135"/>
      <c r="AB1810" s="135"/>
      <c r="AC1810" s="135"/>
    </row>
    <row r="1811">
      <c r="I1811" s="97"/>
      <c r="J1811" s="97"/>
      <c r="K1811" s="97"/>
      <c r="L1811" s="153"/>
      <c r="M1811" s="97"/>
      <c r="N1811" s="97"/>
      <c r="O1811" s="97"/>
      <c r="P1811" s="97"/>
      <c r="Q1811" s="97"/>
      <c r="R1811" s="135"/>
      <c r="S1811" s="135"/>
      <c r="T1811" s="135"/>
      <c r="U1811" s="135"/>
      <c r="V1811" s="135"/>
      <c r="W1811" s="137"/>
      <c r="X1811" s="135"/>
      <c r="Y1811" s="135"/>
      <c r="Z1811" s="135"/>
      <c r="AA1811" s="135"/>
      <c r="AB1811" s="135"/>
      <c r="AC1811" s="135"/>
    </row>
    <row r="1812">
      <c r="I1812" s="97"/>
      <c r="J1812" s="97"/>
      <c r="K1812" s="97"/>
      <c r="L1812" s="153"/>
      <c r="M1812" s="97"/>
      <c r="N1812" s="97"/>
      <c r="O1812" s="97"/>
      <c r="P1812" s="97"/>
      <c r="Q1812" s="97"/>
      <c r="R1812" s="135"/>
      <c r="S1812" s="135"/>
      <c r="T1812" s="135"/>
      <c r="U1812" s="135"/>
      <c r="V1812" s="135"/>
      <c r="W1812" s="137"/>
      <c r="X1812" s="135"/>
      <c r="Y1812" s="135"/>
      <c r="Z1812" s="135"/>
      <c r="AA1812" s="135"/>
      <c r="AB1812" s="135"/>
      <c r="AC1812" s="135"/>
    </row>
    <row r="1813">
      <c r="I1813" s="97"/>
      <c r="J1813" s="97"/>
      <c r="K1813" s="97"/>
      <c r="L1813" s="153"/>
      <c r="M1813" s="97"/>
      <c r="N1813" s="97"/>
      <c r="O1813" s="97"/>
      <c r="P1813" s="97"/>
      <c r="Q1813" s="97"/>
      <c r="R1813" s="135"/>
      <c r="S1813" s="135"/>
      <c r="T1813" s="135"/>
      <c r="U1813" s="135"/>
      <c r="V1813" s="135"/>
      <c r="W1813" s="137"/>
      <c r="X1813" s="135"/>
      <c r="Y1813" s="135"/>
      <c r="Z1813" s="135"/>
      <c r="AA1813" s="135"/>
      <c r="AB1813" s="135"/>
      <c r="AC1813" s="135"/>
    </row>
    <row r="1814">
      <c r="I1814" s="97"/>
      <c r="J1814" s="97"/>
      <c r="K1814" s="97"/>
      <c r="L1814" s="153"/>
      <c r="M1814" s="97"/>
      <c r="N1814" s="97"/>
      <c r="O1814" s="97"/>
      <c r="P1814" s="97"/>
      <c r="Q1814" s="97"/>
      <c r="R1814" s="135"/>
      <c r="S1814" s="135"/>
      <c r="T1814" s="135"/>
      <c r="U1814" s="135"/>
      <c r="V1814" s="135"/>
      <c r="W1814" s="137"/>
      <c r="X1814" s="135"/>
      <c r="Y1814" s="135"/>
      <c r="Z1814" s="135"/>
      <c r="AA1814" s="135"/>
      <c r="AB1814" s="135"/>
      <c r="AC1814" s="135"/>
    </row>
    <row r="1815">
      <c r="I1815" s="97"/>
      <c r="J1815" s="97"/>
      <c r="K1815" s="97"/>
      <c r="L1815" s="153"/>
      <c r="M1815" s="97"/>
      <c r="N1815" s="97"/>
      <c r="O1815" s="97"/>
      <c r="P1815" s="97"/>
      <c r="Q1815" s="97"/>
      <c r="R1815" s="135"/>
      <c r="S1815" s="135"/>
      <c r="T1815" s="135"/>
      <c r="U1815" s="135"/>
      <c r="V1815" s="135"/>
      <c r="W1815" s="137"/>
      <c r="X1815" s="135"/>
      <c r="Y1815" s="135"/>
      <c r="Z1815" s="135"/>
      <c r="AA1815" s="135"/>
      <c r="AB1815" s="135"/>
      <c r="AC1815" s="135"/>
    </row>
    <row r="1816">
      <c r="I1816" s="97"/>
      <c r="J1816" s="97"/>
      <c r="K1816" s="97"/>
      <c r="L1816" s="153"/>
      <c r="M1816" s="97"/>
      <c r="N1816" s="97"/>
      <c r="O1816" s="97"/>
      <c r="P1816" s="97"/>
      <c r="Q1816" s="97"/>
      <c r="R1816" s="135"/>
      <c r="S1816" s="135"/>
      <c r="T1816" s="135"/>
      <c r="U1816" s="135"/>
      <c r="V1816" s="135"/>
      <c r="W1816" s="137"/>
      <c r="X1816" s="135"/>
      <c r="Y1816" s="135"/>
      <c r="Z1816" s="135"/>
      <c r="AA1816" s="135"/>
      <c r="AB1816" s="135"/>
      <c r="AC1816" s="135"/>
    </row>
    <row r="1817">
      <c r="I1817" s="97"/>
      <c r="J1817" s="97"/>
      <c r="K1817" s="97"/>
      <c r="L1817" s="153"/>
      <c r="M1817" s="97"/>
      <c r="N1817" s="97"/>
      <c r="O1817" s="97"/>
      <c r="P1817" s="97"/>
      <c r="Q1817" s="97"/>
      <c r="R1817" s="135"/>
      <c r="S1817" s="135"/>
      <c r="T1817" s="135"/>
      <c r="U1817" s="135"/>
      <c r="V1817" s="135"/>
      <c r="W1817" s="137"/>
      <c r="X1817" s="135"/>
      <c r="Y1817" s="135"/>
      <c r="Z1817" s="135"/>
      <c r="AA1817" s="135"/>
      <c r="AB1817" s="135"/>
      <c r="AC1817" s="135"/>
    </row>
    <row r="1818">
      <c r="I1818" s="97"/>
      <c r="J1818" s="97"/>
      <c r="K1818" s="97"/>
      <c r="L1818" s="153"/>
      <c r="M1818" s="97"/>
      <c r="N1818" s="97"/>
      <c r="O1818" s="97"/>
      <c r="P1818" s="97"/>
      <c r="Q1818" s="97"/>
      <c r="R1818" s="135"/>
      <c r="S1818" s="135"/>
      <c r="T1818" s="135"/>
      <c r="U1818" s="135"/>
      <c r="V1818" s="135"/>
      <c r="W1818" s="137"/>
      <c r="X1818" s="135"/>
      <c r="Y1818" s="135"/>
      <c r="Z1818" s="135"/>
      <c r="AA1818" s="135"/>
      <c r="AB1818" s="135"/>
      <c r="AC1818" s="135"/>
    </row>
    <row r="1819">
      <c r="I1819" s="97"/>
      <c r="J1819" s="97"/>
      <c r="K1819" s="97"/>
      <c r="L1819" s="153"/>
      <c r="M1819" s="97"/>
      <c r="N1819" s="97"/>
      <c r="O1819" s="97"/>
      <c r="P1819" s="97"/>
      <c r="Q1819" s="97"/>
      <c r="R1819" s="135"/>
      <c r="S1819" s="135"/>
      <c r="T1819" s="135"/>
      <c r="U1819" s="135"/>
      <c r="V1819" s="135"/>
      <c r="W1819" s="137"/>
      <c r="X1819" s="135"/>
      <c r="Y1819" s="135"/>
      <c r="Z1819" s="135"/>
      <c r="AA1819" s="135"/>
      <c r="AB1819" s="135"/>
      <c r="AC1819" s="135"/>
    </row>
    <row r="1820">
      <c r="I1820" s="97"/>
      <c r="J1820" s="97"/>
      <c r="K1820" s="97"/>
      <c r="L1820" s="153"/>
      <c r="M1820" s="97"/>
      <c r="N1820" s="97"/>
      <c r="O1820" s="97"/>
      <c r="P1820" s="97"/>
      <c r="Q1820" s="97"/>
      <c r="R1820" s="135"/>
      <c r="S1820" s="135"/>
      <c r="T1820" s="135"/>
      <c r="U1820" s="135"/>
      <c r="V1820" s="135"/>
      <c r="W1820" s="137"/>
      <c r="X1820" s="135"/>
      <c r="Y1820" s="135"/>
      <c r="Z1820" s="135"/>
      <c r="AA1820" s="135"/>
      <c r="AB1820" s="135"/>
      <c r="AC1820" s="135"/>
    </row>
    <row r="1821">
      <c r="I1821" s="97"/>
      <c r="J1821" s="97"/>
      <c r="K1821" s="97"/>
      <c r="L1821" s="153"/>
      <c r="M1821" s="97"/>
      <c r="N1821" s="97"/>
      <c r="O1821" s="97"/>
      <c r="P1821" s="97"/>
      <c r="Q1821" s="97"/>
      <c r="R1821" s="135"/>
      <c r="S1821" s="135"/>
      <c r="T1821" s="135"/>
      <c r="U1821" s="135"/>
      <c r="V1821" s="135"/>
      <c r="W1821" s="137"/>
      <c r="X1821" s="135"/>
      <c r="Y1821" s="135"/>
      <c r="Z1821" s="135"/>
      <c r="AA1821" s="135"/>
      <c r="AB1821" s="135"/>
      <c r="AC1821" s="135"/>
    </row>
    <row r="1822">
      <c r="I1822" s="97"/>
      <c r="J1822" s="97"/>
      <c r="K1822" s="97"/>
      <c r="L1822" s="153"/>
      <c r="M1822" s="97"/>
      <c r="N1822" s="97"/>
      <c r="O1822" s="97"/>
      <c r="P1822" s="97"/>
      <c r="Q1822" s="97"/>
      <c r="R1822" s="135"/>
      <c r="S1822" s="135"/>
      <c r="T1822" s="135"/>
      <c r="U1822" s="135"/>
      <c r="V1822" s="135"/>
      <c r="W1822" s="137"/>
      <c r="X1822" s="135"/>
      <c r="Y1822" s="135"/>
      <c r="Z1822" s="135"/>
      <c r="AA1822" s="135"/>
      <c r="AB1822" s="135"/>
      <c r="AC1822" s="135"/>
    </row>
    <row r="1823">
      <c r="I1823" s="97"/>
      <c r="J1823" s="97"/>
      <c r="K1823" s="97"/>
      <c r="L1823" s="153"/>
      <c r="M1823" s="97"/>
      <c r="N1823" s="97"/>
      <c r="O1823" s="97"/>
      <c r="P1823" s="97"/>
      <c r="Q1823" s="97"/>
      <c r="R1823" s="135"/>
      <c r="S1823" s="135"/>
      <c r="T1823" s="135"/>
      <c r="U1823" s="135"/>
      <c r="V1823" s="135"/>
      <c r="W1823" s="137"/>
      <c r="X1823" s="135"/>
      <c r="Y1823" s="135"/>
      <c r="Z1823" s="135"/>
      <c r="AA1823" s="135"/>
      <c r="AB1823" s="135"/>
      <c r="AC1823" s="135"/>
    </row>
    <row r="1824">
      <c r="I1824" s="97"/>
      <c r="J1824" s="97"/>
      <c r="K1824" s="97"/>
      <c r="L1824" s="153"/>
      <c r="M1824" s="97"/>
      <c r="N1824" s="97"/>
      <c r="O1824" s="97"/>
      <c r="P1824" s="97"/>
      <c r="Q1824" s="97"/>
      <c r="R1824" s="135"/>
      <c r="S1824" s="135"/>
      <c r="T1824" s="135"/>
      <c r="U1824" s="135"/>
      <c r="V1824" s="135"/>
      <c r="W1824" s="137"/>
      <c r="X1824" s="135"/>
      <c r="Y1824" s="135"/>
      <c r="Z1824" s="135"/>
      <c r="AA1824" s="135"/>
      <c r="AB1824" s="135"/>
      <c r="AC1824" s="135"/>
    </row>
    <row r="1825">
      <c r="I1825" s="97"/>
      <c r="J1825" s="97"/>
      <c r="K1825" s="97"/>
      <c r="L1825" s="153"/>
      <c r="M1825" s="97"/>
      <c r="N1825" s="97"/>
      <c r="O1825" s="97"/>
      <c r="P1825" s="97"/>
      <c r="Q1825" s="97"/>
      <c r="R1825" s="135"/>
      <c r="S1825" s="135"/>
      <c r="T1825" s="135"/>
      <c r="U1825" s="135"/>
      <c r="V1825" s="135"/>
      <c r="W1825" s="137"/>
      <c r="X1825" s="135"/>
      <c r="Y1825" s="135"/>
      <c r="Z1825" s="135"/>
      <c r="AA1825" s="135"/>
      <c r="AB1825" s="135"/>
      <c r="AC1825" s="135"/>
    </row>
    <row r="1826">
      <c r="I1826" s="97"/>
      <c r="J1826" s="97"/>
      <c r="K1826" s="97"/>
      <c r="L1826" s="153"/>
      <c r="M1826" s="97"/>
      <c r="N1826" s="97"/>
      <c r="O1826" s="97"/>
      <c r="P1826" s="97"/>
      <c r="Q1826" s="97"/>
      <c r="R1826" s="135"/>
      <c r="S1826" s="135"/>
      <c r="T1826" s="135"/>
      <c r="U1826" s="135"/>
      <c r="V1826" s="135"/>
      <c r="W1826" s="137"/>
      <c r="X1826" s="135"/>
      <c r="Y1826" s="135"/>
      <c r="Z1826" s="135"/>
      <c r="AA1826" s="135"/>
      <c r="AB1826" s="135"/>
      <c r="AC1826" s="135"/>
    </row>
    <row r="1827">
      <c r="I1827" s="97"/>
      <c r="J1827" s="97"/>
      <c r="K1827" s="97"/>
      <c r="L1827" s="153"/>
      <c r="M1827" s="97"/>
      <c r="N1827" s="97"/>
      <c r="O1827" s="97"/>
      <c r="P1827" s="97"/>
      <c r="Q1827" s="97"/>
      <c r="R1827" s="135"/>
      <c r="S1827" s="135"/>
      <c r="T1827" s="135"/>
      <c r="U1827" s="135"/>
      <c r="V1827" s="135"/>
      <c r="W1827" s="137"/>
      <c r="X1827" s="135"/>
      <c r="Y1827" s="135"/>
      <c r="Z1827" s="135"/>
      <c r="AA1827" s="135"/>
      <c r="AB1827" s="135"/>
      <c r="AC1827" s="135"/>
    </row>
    <row r="1828">
      <c r="I1828" s="97"/>
      <c r="J1828" s="97"/>
      <c r="K1828" s="97"/>
      <c r="L1828" s="153"/>
      <c r="M1828" s="97"/>
      <c r="N1828" s="97"/>
      <c r="O1828" s="97"/>
      <c r="P1828" s="97"/>
      <c r="Q1828" s="97"/>
      <c r="R1828" s="135"/>
      <c r="S1828" s="135"/>
      <c r="T1828" s="135"/>
      <c r="U1828" s="135"/>
      <c r="V1828" s="135"/>
      <c r="W1828" s="137"/>
      <c r="X1828" s="135"/>
      <c r="Y1828" s="135"/>
      <c r="Z1828" s="135"/>
      <c r="AA1828" s="135"/>
      <c r="AB1828" s="135"/>
      <c r="AC1828" s="135"/>
    </row>
    <row r="1829">
      <c r="I1829" s="97"/>
      <c r="J1829" s="97"/>
      <c r="K1829" s="97"/>
      <c r="L1829" s="153"/>
      <c r="M1829" s="97"/>
      <c r="N1829" s="97"/>
      <c r="O1829" s="97"/>
      <c r="P1829" s="97"/>
      <c r="Q1829" s="97"/>
      <c r="R1829" s="135"/>
      <c r="S1829" s="135"/>
      <c r="T1829" s="135"/>
      <c r="U1829" s="135"/>
      <c r="V1829" s="135"/>
      <c r="W1829" s="137"/>
      <c r="X1829" s="135"/>
      <c r="Y1829" s="135"/>
      <c r="Z1829" s="135"/>
      <c r="AA1829" s="135"/>
      <c r="AB1829" s="135"/>
      <c r="AC1829" s="135"/>
    </row>
    <row r="1830">
      <c r="I1830" s="97"/>
      <c r="J1830" s="97"/>
      <c r="K1830" s="97"/>
      <c r="L1830" s="153"/>
      <c r="M1830" s="97"/>
      <c r="N1830" s="97"/>
      <c r="O1830" s="97"/>
      <c r="P1830" s="97"/>
      <c r="Q1830" s="97"/>
      <c r="R1830" s="135"/>
      <c r="S1830" s="135"/>
      <c r="T1830" s="135"/>
      <c r="U1830" s="135"/>
      <c r="V1830" s="135"/>
      <c r="W1830" s="137"/>
      <c r="X1830" s="135"/>
      <c r="Y1830" s="135"/>
      <c r="Z1830" s="135"/>
      <c r="AA1830" s="135"/>
      <c r="AB1830" s="135"/>
      <c r="AC1830" s="135"/>
    </row>
    <row r="1831">
      <c r="I1831" s="97"/>
      <c r="J1831" s="97"/>
      <c r="K1831" s="97"/>
      <c r="L1831" s="153"/>
      <c r="M1831" s="97"/>
      <c r="N1831" s="97"/>
      <c r="O1831" s="97"/>
      <c r="P1831" s="97"/>
      <c r="Q1831" s="97"/>
      <c r="R1831" s="135"/>
      <c r="S1831" s="135"/>
      <c r="T1831" s="135"/>
      <c r="U1831" s="135"/>
      <c r="V1831" s="135"/>
      <c r="W1831" s="137"/>
      <c r="X1831" s="135"/>
      <c r="Y1831" s="135"/>
      <c r="Z1831" s="135"/>
      <c r="AA1831" s="135"/>
      <c r="AB1831" s="135"/>
      <c r="AC1831" s="135"/>
    </row>
    <row r="1832">
      <c r="I1832" s="97"/>
      <c r="J1832" s="97"/>
      <c r="K1832" s="97"/>
      <c r="L1832" s="153"/>
      <c r="M1832" s="97"/>
      <c r="N1832" s="97"/>
      <c r="O1832" s="97"/>
      <c r="P1832" s="97"/>
      <c r="Q1832" s="97"/>
      <c r="R1832" s="135"/>
      <c r="S1832" s="135"/>
      <c r="T1832" s="135"/>
      <c r="U1832" s="135"/>
      <c r="V1832" s="135"/>
      <c r="W1832" s="137"/>
      <c r="X1832" s="135"/>
      <c r="Y1832" s="135"/>
      <c r="Z1832" s="135"/>
      <c r="AA1832" s="135"/>
      <c r="AB1832" s="135"/>
      <c r="AC1832" s="135"/>
    </row>
    <row r="1833">
      <c r="I1833" s="97"/>
      <c r="J1833" s="97"/>
      <c r="K1833" s="97"/>
      <c r="L1833" s="153"/>
      <c r="M1833" s="97"/>
      <c r="N1833" s="97"/>
      <c r="O1833" s="97"/>
      <c r="P1833" s="97"/>
      <c r="Q1833" s="97"/>
      <c r="R1833" s="135"/>
      <c r="S1833" s="135"/>
      <c r="T1833" s="135"/>
      <c r="U1833" s="135"/>
      <c r="V1833" s="135"/>
      <c r="W1833" s="137"/>
      <c r="X1833" s="135"/>
      <c r="Y1833" s="135"/>
      <c r="Z1833" s="135"/>
      <c r="AA1833" s="135"/>
      <c r="AB1833" s="135"/>
      <c r="AC1833" s="135"/>
    </row>
    <row r="1834">
      <c r="I1834" s="97"/>
      <c r="J1834" s="97"/>
      <c r="K1834" s="97"/>
      <c r="L1834" s="153"/>
      <c r="M1834" s="97"/>
      <c r="N1834" s="97"/>
      <c r="O1834" s="97"/>
      <c r="P1834" s="97"/>
      <c r="Q1834" s="97"/>
      <c r="R1834" s="135"/>
      <c r="S1834" s="135"/>
      <c r="T1834" s="135"/>
      <c r="U1834" s="135"/>
      <c r="V1834" s="135"/>
      <c r="W1834" s="137"/>
      <c r="X1834" s="135"/>
      <c r="Y1834" s="135"/>
      <c r="Z1834" s="135"/>
      <c r="AA1834" s="135"/>
      <c r="AB1834" s="135"/>
      <c r="AC1834" s="135"/>
    </row>
    <row r="1835">
      <c r="I1835" s="97"/>
      <c r="J1835" s="97"/>
      <c r="K1835" s="97"/>
      <c r="L1835" s="153"/>
      <c r="M1835" s="97"/>
      <c r="N1835" s="97"/>
      <c r="O1835" s="97"/>
      <c r="P1835" s="97"/>
      <c r="Q1835" s="97"/>
      <c r="R1835" s="135"/>
      <c r="S1835" s="135"/>
      <c r="T1835" s="135"/>
      <c r="U1835" s="135"/>
      <c r="V1835" s="135"/>
      <c r="W1835" s="137"/>
      <c r="X1835" s="135"/>
      <c r="Y1835" s="135"/>
      <c r="Z1835" s="135"/>
      <c r="AA1835" s="135"/>
      <c r="AB1835" s="135"/>
      <c r="AC1835" s="135"/>
    </row>
    <row r="1836">
      <c r="I1836" s="97"/>
      <c r="J1836" s="97"/>
      <c r="K1836" s="97"/>
      <c r="L1836" s="153"/>
      <c r="M1836" s="97"/>
      <c r="N1836" s="97"/>
      <c r="O1836" s="97"/>
      <c r="P1836" s="97"/>
      <c r="Q1836" s="97"/>
      <c r="R1836" s="135"/>
      <c r="S1836" s="135"/>
      <c r="T1836" s="135"/>
      <c r="U1836" s="135"/>
      <c r="V1836" s="135"/>
      <c r="W1836" s="137"/>
      <c r="X1836" s="135"/>
      <c r="Y1836" s="135"/>
      <c r="Z1836" s="135"/>
      <c r="AA1836" s="135"/>
      <c r="AB1836" s="135"/>
      <c r="AC1836" s="135"/>
    </row>
    <row r="1837">
      <c r="I1837" s="97"/>
      <c r="J1837" s="97"/>
      <c r="K1837" s="97"/>
      <c r="L1837" s="153"/>
      <c r="M1837" s="97"/>
      <c r="N1837" s="97"/>
      <c r="O1837" s="97"/>
      <c r="P1837" s="97"/>
      <c r="Q1837" s="97"/>
      <c r="R1837" s="135"/>
      <c r="S1837" s="135"/>
      <c r="T1837" s="135"/>
      <c r="U1837" s="135"/>
      <c r="V1837" s="135"/>
      <c r="W1837" s="137"/>
      <c r="X1837" s="135"/>
      <c r="Y1837" s="135"/>
      <c r="Z1837" s="135"/>
      <c r="AA1837" s="135"/>
      <c r="AB1837" s="135"/>
      <c r="AC1837" s="135"/>
    </row>
    <row r="1838">
      <c r="I1838" s="97"/>
      <c r="J1838" s="97"/>
      <c r="K1838" s="97"/>
      <c r="L1838" s="153"/>
      <c r="M1838" s="97"/>
      <c r="N1838" s="97"/>
      <c r="O1838" s="97"/>
      <c r="P1838" s="97"/>
      <c r="Q1838" s="97"/>
      <c r="R1838" s="135"/>
      <c r="S1838" s="135"/>
      <c r="T1838" s="135"/>
      <c r="U1838" s="135"/>
      <c r="V1838" s="135"/>
      <c r="W1838" s="137"/>
      <c r="X1838" s="135"/>
      <c r="Y1838" s="135"/>
      <c r="Z1838" s="135"/>
      <c r="AA1838" s="135"/>
      <c r="AB1838" s="135"/>
      <c r="AC1838" s="135"/>
    </row>
    <row r="1839">
      <c r="I1839" s="97"/>
      <c r="J1839" s="97"/>
      <c r="K1839" s="97"/>
      <c r="L1839" s="153"/>
      <c r="M1839" s="97"/>
      <c r="N1839" s="97"/>
      <c r="O1839" s="97"/>
      <c r="P1839" s="97"/>
      <c r="Q1839" s="97"/>
      <c r="R1839" s="135"/>
      <c r="S1839" s="135"/>
      <c r="T1839" s="135"/>
      <c r="U1839" s="135"/>
      <c r="V1839" s="135"/>
      <c r="W1839" s="137"/>
      <c r="X1839" s="135"/>
      <c r="Y1839" s="135"/>
      <c r="Z1839" s="135"/>
      <c r="AA1839" s="135"/>
      <c r="AB1839" s="135"/>
      <c r="AC1839" s="135"/>
    </row>
    <row r="1840">
      <c r="I1840" s="97"/>
      <c r="J1840" s="97"/>
      <c r="K1840" s="97"/>
      <c r="L1840" s="153"/>
      <c r="M1840" s="97"/>
      <c r="N1840" s="97"/>
      <c r="O1840" s="97"/>
      <c r="P1840" s="97"/>
      <c r="Q1840" s="97"/>
      <c r="R1840" s="135"/>
      <c r="S1840" s="135"/>
      <c r="T1840" s="135"/>
      <c r="U1840" s="135"/>
      <c r="V1840" s="135"/>
      <c r="W1840" s="137"/>
      <c r="X1840" s="135"/>
      <c r="Y1840" s="135"/>
      <c r="Z1840" s="135"/>
      <c r="AA1840" s="135"/>
      <c r="AB1840" s="135"/>
      <c r="AC1840" s="135"/>
    </row>
    <row r="1841">
      <c r="I1841" s="97"/>
      <c r="J1841" s="97"/>
      <c r="K1841" s="97"/>
      <c r="L1841" s="153"/>
      <c r="M1841" s="97"/>
      <c r="N1841" s="97"/>
      <c r="O1841" s="97"/>
      <c r="P1841" s="97"/>
      <c r="Q1841" s="97"/>
      <c r="R1841" s="135"/>
      <c r="S1841" s="135"/>
      <c r="T1841" s="135"/>
      <c r="U1841" s="135"/>
      <c r="V1841" s="135"/>
      <c r="W1841" s="137"/>
      <c r="X1841" s="135"/>
      <c r="Y1841" s="135"/>
      <c r="Z1841" s="135"/>
      <c r="AA1841" s="135"/>
      <c r="AB1841" s="135"/>
      <c r="AC1841" s="135"/>
    </row>
    <row r="1842">
      <c r="I1842" s="97"/>
      <c r="J1842" s="97"/>
      <c r="K1842" s="97"/>
      <c r="L1842" s="153"/>
      <c r="M1842" s="97"/>
      <c r="N1842" s="97"/>
      <c r="O1842" s="97"/>
      <c r="P1842" s="97"/>
      <c r="Q1842" s="97"/>
      <c r="R1842" s="135"/>
      <c r="S1842" s="135"/>
      <c r="T1842" s="135"/>
      <c r="U1842" s="135"/>
      <c r="V1842" s="135"/>
      <c r="W1842" s="137"/>
      <c r="X1842" s="135"/>
      <c r="Y1842" s="135"/>
      <c r="Z1842" s="135"/>
      <c r="AA1842" s="135"/>
      <c r="AB1842" s="135"/>
      <c r="AC1842" s="135"/>
    </row>
    <row r="1843">
      <c r="I1843" s="97"/>
      <c r="J1843" s="97"/>
      <c r="K1843" s="97"/>
      <c r="L1843" s="153"/>
      <c r="M1843" s="97"/>
      <c r="N1843" s="97"/>
      <c r="O1843" s="97"/>
      <c r="P1843" s="97"/>
      <c r="Q1843" s="97"/>
      <c r="R1843" s="135"/>
      <c r="S1843" s="135"/>
      <c r="T1843" s="135"/>
      <c r="U1843" s="135"/>
      <c r="V1843" s="135"/>
      <c r="W1843" s="137"/>
      <c r="X1843" s="135"/>
      <c r="Y1843" s="135"/>
      <c r="Z1843" s="135"/>
      <c r="AA1843" s="135"/>
      <c r="AB1843" s="135"/>
      <c r="AC1843" s="135"/>
    </row>
    <row r="1844">
      <c r="I1844" s="97"/>
      <c r="J1844" s="97"/>
      <c r="K1844" s="97"/>
      <c r="L1844" s="153"/>
      <c r="M1844" s="97"/>
      <c r="N1844" s="97"/>
      <c r="O1844" s="97"/>
      <c r="P1844" s="97"/>
      <c r="Q1844" s="97"/>
      <c r="R1844" s="135"/>
      <c r="S1844" s="135"/>
      <c r="T1844" s="135"/>
      <c r="U1844" s="135"/>
      <c r="V1844" s="135"/>
      <c r="W1844" s="137"/>
      <c r="X1844" s="135"/>
      <c r="Y1844" s="135"/>
      <c r="Z1844" s="135"/>
      <c r="AA1844" s="135"/>
      <c r="AB1844" s="135"/>
      <c r="AC1844" s="135"/>
    </row>
    <row r="1845">
      <c r="I1845" s="97"/>
      <c r="J1845" s="97"/>
      <c r="K1845" s="97"/>
      <c r="L1845" s="153"/>
      <c r="M1845" s="97"/>
      <c r="N1845" s="97"/>
      <c r="O1845" s="97"/>
      <c r="P1845" s="97"/>
      <c r="Q1845" s="97"/>
      <c r="R1845" s="135"/>
      <c r="S1845" s="135"/>
      <c r="T1845" s="135"/>
      <c r="U1845" s="135"/>
      <c r="V1845" s="135"/>
      <c r="W1845" s="137"/>
      <c r="X1845" s="135"/>
      <c r="Y1845" s="135"/>
      <c r="Z1845" s="135"/>
      <c r="AA1845" s="135"/>
      <c r="AB1845" s="135"/>
      <c r="AC1845" s="135"/>
    </row>
    <row r="1846">
      <c r="I1846" s="97"/>
      <c r="J1846" s="97"/>
      <c r="K1846" s="97"/>
      <c r="L1846" s="153"/>
      <c r="M1846" s="97"/>
      <c r="N1846" s="97"/>
      <c r="O1846" s="97"/>
      <c r="P1846" s="97"/>
      <c r="Q1846" s="97"/>
      <c r="R1846" s="135"/>
      <c r="S1846" s="135"/>
      <c r="T1846" s="135"/>
      <c r="U1846" s="135"/>
      <c r="V1846" s="135"/>
      <c r="W1846" s="137"/>
      <c r="X1846" s="135"/>
      <c r="Y1846" s="135"/>
      <c r="Z1846" s="135"/>
      <c r="AA1846" s="135"/>
      <c r="AB1846" s="135"/>
      <c r="AC1846" s="135"/>
    </row>
    <row r="1847">
      <c r="I1847" s="97"/>
      <c r="J1847" s="97"/>
      <c r="K1847" s="97"/>
      <c r="L1847" s="153"/>
      <c r="M1847" s="97"/>
      <c r="N1847" s="97"/>
      <c r="O1847" s="97"/>
      <c r="P1847" s="97"/>
      <c r="Q1847" s="97"/>
      <c r="R1847" s="135"/>
      <c r="S1847" s="135"/>
      <c r="T1847" s="135"/>
      <c r="U1847" s="135"/>
      <c r="V1847" s="135"/>
      <c r="W1847" s="137"/>
      <c r="X1847" s="135"/>
      <c r="Y1847" s="135"/>
      <c r="Z1847" s="135"/>
      <c r="AA1847" s="135"/>
      <c r="AB1847" s="135"/>
      <c r="AC1847" s="135"/>
    </row>
    <row r="1848">
      <c r="I1848" s="97"/>
      <c r="J1848" s="97"/>
      <c r="K1848" s="97"/>
      <c r="L1848" s="153"/>
      <c r="M1848" s="97"/>
      <c r="N1848" s="97"/>
      <c r="O1848" s="97"/>
      <c r="P1848" s="97"/>
      <c r="Q1848" s="97"/>
      <c r="R1848" s="135"/>
      <c r="S1848" s="135"/>
      <c r="T1848" s="135"/>
      <c r="U1848" s="135"/>
      <c r="V1848" s="135"/>
      <c r="W1848" s="137"/>
      <c r="X1848" s="135"/>
      <c r="Y1848" s="135"/>
      <c r="Z1848" s="135"/>
      <c r="AA1848" s="135"/>
      <c r="AB1848" s="135"/>
      <c r="AC1848" s="135"/>
    </row>
    <row r="1849">
      <c r="I1849" s="97"/>
      <c r="J1849" s="97"/>
      <c r="K1849" s="97"/>
      <c r="L1849" s="153"/>
      <c r="M1849" s="97"/>
      <c r="N1849" s="97"/>
      <c r="O1849" s="97"/>
      <c r="P1849" s="97"/>
      <c r="Q1849" s="97"/>
      <c r="R1849" s="135"/>
      <c r="S1849" s="135"/>
      <c r="T1849" s="135"/>
      <c r="U1849" s="135"/>
      <c r="V1849" s="135"/>
      <c r="W1849" s="137"/>
      <c r="X1849" s="135"/>
      <c r="Y1849" s="135"/>
      <c r="Z1849" s="135"/>
      <c r="AA1849" s="135"/>
      <c r="AB1849" s="135"/>
      <c r="AC1849" s="135"/>
    </row>
    <row r="1850">
      <c r="I1850" s="97"/>
      <c r="J1850" s="97"/>
      <c r="K1850" s="97"/>
      <c r="L1850" s="153"/>
      <c r="M1850" s="97"/>
      <c r="N1850" s="97"/>
      <c r="O1850" s="97"/>
      <c r="P1850" s="97"/>
      <c r="Q1850" s="97"/>
      <c r="R1850" s="135"/>
      <c r="S1850" s="135"/>
      <c r="T1850" s="135"/>
      <c r="U1850" s="135"/>
      <c r="V1850" s="135"/>
      <c r="W1850" s="137"/>
      <c r="X1850" s="135"/>
      <c r="Y1850" s="135"/>
      <c r="Z1850" s="135"/>
      <c r="AA1850" s="135"/>
      <c r="AB1850" s="135"/>
      <c r="AC1850" s="135"/>
    </row>
    <row r="1851">
      <c r="I1851" s="97"/>
      <c r="J1851" s="97"/>
      <c r="K1851" s="97"/>
      <c r="L1851" s="153"/>
      <c r="M1851" s="97"/>
      <c r="N1851" s="97"/>
      <c r="O1851" s="97"/>
      <c r="P1851" s="97"/>
      <c r="Q1851" s="97"/>
      <c r="R1851" s="135"/>
      <c r="S1851" s="135"/>
      <c r="T1851" s="135"/>
      <c r="U1851" s="135"/>
      <c r="V1851" s="135"/>
      <c r="W1851" s="137"/>
      <c r="X1851" s="135"/>
      <c r="Y1851" s="135"/>
      <c r="Z1851" s="135"/>
      <c r="AA1851" s="135"/>
      <c r="AB1851" s="135"/>
      <c r="AC1851" s="135"/>
    </row>
    <row r="1852">
      <c r="I1852" s="97"/>
      <c r="J1852" s="97"/>
      <c r="K1852" s="97"/>
      <c r="L1852" s="153"/>
      <c r="M1852" s="97"/>
      <c r="N1852" s="97"/>
      <c r="O1852" s="97"/>
      <c r="P1852" s="97"/>
      <c r="Q1852" s="97"/>
      <c r="R1852" s="135"/>
      <c r="S1852" s="135"/>
      <c r="T1852" s="135"/>
      <c r="U1852" s="135"/>
      <c r="V1852" s="135"/>
      <c r="W1852" s="137"/>
      <c r="X1852" s="135"/>
      <c r="Y1852" s="135"/>
      <c r="Z1852" s="135"/>
      <c r="AA1852" s="135"/>
      <c r="AB1852" s="135"/>
      <c r="AC1852" s="135"/>
    </row>
    <row r="1853">
      <c r="I1853" s="97"/>
      <c r="J1853" s="97"/>
      <c r="K1853" s="97"/>
      <c r="L1853" s="153"/>
      <c r="M1853" s="97"/>
      <c r="N1853" s="97"/>
      <c r="O1853" s="97"/>
      <c r="P1853" s="97"/>
      <c r="Q1853" s="97"/>
      <c r="R1853" s="135"/>
      <c r="S1853" s="135"/>
      <c r="T1853" s="135"/>
      <c r="U1853" s="135"/>
      <c r="V1853" s="135"/>
      <c r="W1853" s="137"/>
      <c r="X1853" s="135"/>
      <c r="Y1853" s="135"/>
      <c r="Z1853" s="135"/>
      <c r="AA1853" s="135"/>
      <c r="AB1853" s="135"/>
      <c r="AC1853" s="135"/>
    </row>
    <row r="1854">
      <c r="I1854" s="97"/>
      <c r="J1854" s="97"/>
      <c r="K1854" s="97"/>
      <c r="L1854" s="153"/>
      <c r="M1854" s="97"/>
      <c r="N1854" s="97"/>
      <c r="O1854" s="97"/>
      <c r="P1854" s="97"/>
      <c r="Q1854" s="97"/>
      <c r="R1854" s="135"/>
      <c r="S1854" s="135"/>
      <c r="T1854" s="135"/>
      <c r="U1854" s="135"/>
      <c r="V1854" s="135"/>
      <c r="W1854" s="137"/>
      <c r="X1854" s="135"/>
      <c r="Y1854" s="135"/>
      <c r="Z1854" s="135"/>
      <c r="AA1854" s="135"/>
      <c r="AB1854" s="135"/>
      <c r="AC1854" s="135"/>
    </row>
    <row r="1855">
      <c r="I1855" s="97"/>
      <c r="J1855" s="97"/>
      <c r="K1855" s="97"/>
      <c r="L1855" s="153"/>
      <c r="M1855" s="97"/>
      <c r="N1855" s="97"/>
      <c r="O1855" s="97"/>
      <c r="P1855" s="97"/>
      <c r="Q1855" s="97"/>
      <c r="R1855" s="135"/>
      <c r="S1855" s="135"/>
      <c r="T1855" s="135"/>
      <c r="U1855" s="135"/>
      <c r="V1855" s="135"/>
      <c r="W1855" s="137"/>
      <c r="X1855" s="135"/>
      <c r="Y1855" s="135"/>
      <c r="Z1855" s="135"/>
      <c r="AA1855" s="135"/>
      <c r="AB1855" s="135"/>
      <c r="AC1855" s="135"/>
    </row>
    <row r="1856">
      <c r="I1856" s="97"/>
      <c r="J1856" s="97"/>
      <c r="K1856" s="97"/>
      <c r="L1856" s="153"/>
      <c r="M1856" s="97"/>
      <c r="N1856" s="97"/>
      <c r="O1856" s="97"/>
      <c r="P1856" s="97"/>
      <c r="Q1856" s="97"/>
      <c r="R1856" s="135"/>
      <c r="S1856" s="135"/>
      <c r="T1856" s="135"/>
      <c r="U1856" s="135"/>
      <c r="V1856" s="135"/>
      <c r="W1856" s="137"/>
      <c r="X1856" s="135"/>
      <c r="Y1856" s="135"/>
      <c r="Z1856" s="135"/>
      <c r="AA1856" s="135"/>
      <c r="AB1856" s="135"/>
      <c r="AC1856" s="135"/>
    </row>
    <row r="1857">
      <c r="I1857" s="97"/>
      <c r="J1857" s="97"/>
      <c r="K1857" s="97"/>
      <c r="L1857" s="153"/>
      <c r="M1857" s="97"/>
      <c r="N1857" s="97"/>
      <c r="O1857" s="97"/>
      <c r="P1857" s="97"/>
      <c r="Q1857" s="97"/>
      <c r="R1857" s="135"/>
      <c r="S1857" s="135"/>
      <c r="T1857" s="135"/>
      <c r="U1857" s="135"/>
      <c r="V1857" s="135"/>
      <c r="W1857" s="137"/>
      <c r="X1857" s="135"/>
      <c r="Y1857" s="135"/>
      <c r="Z1857" s="135"/>
      <c r="AA1857" s="135"/>
      <c r="AB1857" s="135"/>
      <c r="AC1857" s="135"/>
    </row>
    <row r="1858">
      <c r="I1858" s="97"/>
      <c r="J1858" s="97"/>
      <c r="K1858" s="97"/>
      <c r="L1858" s="153"/>
      <c r="M1858" s="97"/>
      <c r="N1858" s="97"/>
      <c r="O1858" s="97"/>
      <c r="P1858" s="97"/>
      <c r="Q1858" s="97"/>
      <c r="R1858" s="135"/>
      <c r="S1858" s="135"/>
      <c r="T1858" s="135"/>
      <c r="U1858" s="135"/>
      <c r="V1858" s="135"/>
      <c r="W1858" s="137"/>
      <c r="X1858" s="135"/>
      <c r="Y1858" s="135"/>
      <c r="Z1858" s="135"/>
      <c r="AA1858" s="135"/>
      <c r="AB1858" s="135"/>
      <c r="AC1858" s="135"/>
    </row>
    <row r="1859">
      <c r="I1859" s="97"/>
      <c r="J1859" s="97"/>
      <c r="K1859" s="97"/>
      <c r="L1859" s="153"/>
      <c r="M1859" s="97"/>
      <c r="N1859" s="97"/>
      <c r="O1859" s="97"/>
      <c r="P1859" s="97"/>
      <c r="Q1859" s="97"/>
      <c r="R1859" s="135"/>
      <c r="S1859" s="135"/>
      <c r="T1859" s="135"/>
      <c r="U1859" s="135"/>
      <c r="V1859" s="135"/>
      <c r="W1859" s="137"/>
      <c r="X1859" s="135"/>
      <c r="Y1859" s="135"/>
      <c r="Z1859" s="135"/>
      <c r="AA1859" s="135"/>
      <c r="AB1859" s="135"/>
      <c r="AC1859" s="135"/>
    </row>
    <row r="1860">
      <c r="I1860" s="97"/>
      <c r="J1860" s="97"/>
      <c r="K1860" s="97"/>
      <c r="L1860" s="153"/>
      <c r="M1860" s="97"/>
      <c r="N1860" s="97"/>
      <c r="O1860" s="97"/>
      <c r="P1860" s="97"/>
      <c r="Q1860" s="97"/>
      <c r="R1860" s="135"/>
      <c r="S1860" s="135"/>
      <c r="T1860" s="135"/>
      <c r="U1860" s="135"/>
      <c r="V1860" s="135"/>
      <c r="W1860" s="137"/>
      <c r="X1860" s="135"/>
      <c r="Y1860" s="135"/>
      <c r="Z1860" s="135"/>
      <c r="AA1860" s="135"/>
      <c r="AB1860" s="135"/>
      <c r="AC1860" s="135"/>
    </row>
    <row r="1861">
      <c r="I1861" s="97"/>
      <c r="J1861" s="97"/>
      <c r="K1861" s="97"/>
      <c r="L1861" s="153"/>
      <c r="M1861" s="97"/>
      <c r="N1861" s="97"/>
      <c r="O1861" s="97"/>
      <c r="P1861" s="97"/>
      <c r="Q1861" s="97"/>
      <c r="R1861" s="135"/>
      <c r="S1861" s="135"/>
      <c r="T1861" s="135"/>
      <c r="U1861" s="135"/>
      <c r="V1861" s="135"/>
      <c r="W1861" s="137"/>
      <c r="X1861" s="135"/>
      <c r="Y1861" s="135"/>
      <c r="Z1861" s="135"/>
      <c r="AA1861" s="135"/>
      <c r="AB1861" s="135"/>
      <c r="AC1861" s="135"/>
    </row>
    <row r="1862">
      <c r="I1862" s="97"/>
      <c r="J1862" s="97"/>
      <c r="K1862" s="97"/>
      <c r="L1862" s="153"/>
      <c r="M1862" s="97"/>
      <c r="N1862" s="97"/>
      <c r="O1862" s="97"/>
      <c r="P1862" s="97"/>
      <c r="Q1862" s="97"/>
      <c r="R1862" s="135"/>
      <c r="S1862" s="135"/>
      <c r="T1862" s="135"/>
      <c r="U1862" s="135"/>
      <c r="V1862" s="135"/>
      <c r="W1862" s="137"/>
      <c r="X1862" s="135"/>
      <c r="Y1862" s="135"/>
      <c r="Z1862" s="135"/>
      <c r="AA1862" s="135"/>
      <c r="AB1862" s="135"/>
      <c r="AC1862" s="135"/>
    </row>
    <row r="1863">
      <c r="I1863" s="97"/>
      <c r="J1863" s="97"/>
      <c r="K1863" s="97"/>
      <c r="L1863" s="153"/>
      <c r="M1863" s="97"/>
      <c r="N1863" s="97"/>
      <c r="O1863" s="97"/>
      <c r="P1863" s="97"/>
      <c r="Q1863" s="97"/>
      <c r="R1863" s="135"/>
      <c r="S1863" s="135"/>
      <c r="T1863" s="135"/>
      <c r="U1863" s="135"/>
      <c r="V1863" s="135"/>
      <c r="W1863" s="137"/>
      <c r="X1863" s="135"/>
      <c r="Y1863" s="135"/>
      <c r="Z1863" s="135"/>
      <c r="AA1863" s="135"/>
      <c r="AB1863" s="135"/>
      <c r="AC1863" s="135"/>
    </row>
    <row r="1864">
      <c r="I1864" s="97"/>
      <c r="J1864" s="97"/>
      <c r="K1864" s="97"/>
      <c r="L1864" s="153"/>
      <c r="M1864" s="97"/>
      <c r="N1864" s="97"/>
      <c r="O1864" s="97"/>
      <c r="P1864" s="97"/>
      <c r="Q1864" s="97"/>
      <c r="R1864" s="135"/>
      <c r="S1864" s="135"/>
      <c r="T1864" s="135"/>
      <c r="U1864" s="135"/>
      <c r="V1864" s="135"/>
      <c r="W1864" s="137"/>
      <c r="X1864" s="135"/>
      <c r="Y1864" s="135"/>
      <c r="Z1864" s="135"/>
      <c r="AA1864" s="135"/>
      <c r="AB1864" s="135"/>
      <c r="AC1864" s="135"/>
    </row>
    <row r="1865">
      <c r="I1865" s="97"/>
      <c r="J1865" s="97"/>
      <c r="K1865" s="97"/>
      <c r="L1865" s="153"/>
      <c r="M1865" s="97"/>
      <c r="N1865" s="97"/>
      <c r="O1865" s="97"/>
      <c r="P1865" s="97"/>
      <c r="Q1865" s="97"/>
      <c r="R1865" s="135"/>
      <c r="S1865" s="135"/>
      <c r="T1865" s="135"/>
      <c r="U1865" s="135"/>
      <c r="V1865" s="135"/>
      <c r="W1865" s="137"/>
      <c r="X1865" s="135"/>
      <c r="Y1865" s="135"/>
      <c r="Z1865" s="135"/>
      <c r="AA1865" s="135"/>
      <c r="AB1865" s="135"/>
      <c r="AC1865" s="135"/>
    </row>
    <row r="1866">
      <c r="I1866" s="97"/>
      <c r="J1866" s="97"/>
      <c r="K1866" s="97"/>
      <c r="L1866" s="153"/>
      <c r="M1866" s="97"/>
      <c r="N1866" s="97"/>
      <c r="O1866" s="97"/>
      <c r="P1866" s="97"/>
      <c r="Q1866" s="97"/>
      <c r="R1866" s="135"/>
      <c r="S1866" s="135"/>
      <c r="T1866" s="135"/>
      <c r="U1866" s="135"/>
      <c r="V1866" s="135"/>
      <c r="W1866" s="137"/>
      <c r="X1866" s="135"/>
      <c r="Y1866" s="135"/>
      <c r="Z1866" s="135"/>
      <c r="AA1866" s="135"/>
      <c r="AB1866" s="135"/>
      <c r="AC1866" s="135"/>
    </row>
    <row r="1867">
      <c r="I1867" s="97"/>
      <c r="J1867" s="97"/>
      <c r="K1867" s="97"/>
      <c r="L1867" s="153"/>
      <c r="M1867" s="97"/>
      <c r="N1867" s="97"/>
      <c r="O1867" s="97"/>
      <c r="P1867" s="97"/>
      <c r="Q1867" s="97"/>
      <c r="R1867" s="135"/>
      <c r="S1867" s="135"/>
      <c r="T1867" s="135"/>
      <c r="U1867" s="135"/>
      <c r="V1867" s="135"/>
      <c r="W1867" s="137"/>
      <c r="X1867" s="135"/>
      <c r="Y1867" s="135"/>
      <c r="Z1867" s="135"/>
      <c r="AA1867" s="135"/>
      <c r="AB1867" s="135"/>
      <c r="AC1867" s="135"/>
    </row>
    <row r="1868">
      <c r="I1868" s="97"/>
      <c r="J1868" s="97"/>
      <c r="K1868" s="97"/>
      <c r="L1868" s="153"/>
      <c r="M1868" s="97"/>
      <c r="N1868" s="97"/>
      <c r="O1868" s="97"/>
      <c r="P1868" s="97"/>
      <c r="Q1868" s="97"/>
      <c r="R1868" s="135"/>
      <c r="S1868" s="135"/>
      <c r="T1868" s="135"/>
      <c r="U1868" s="135"/>
      <c r="V1868" s="135"/>
      <c r="W1868" s="137"/>
      <c r="X1868" s="135"/>
      <c r="Y1868" s="135"/>
      <c r="Z1868" s="135"/>
      <c r="AA1868" s="135"/>
      <c r="AB1868" s="135"/>
      <c r="AC1868" s="135"/>
    </row>
    <row r="1869">
      <c r="I1869" s="97"/>
      <c r="J1869" s="97"/>
      <c r="K1869" s="97"/>
      <c r="L1869" s="153"/>
      <c r="M1869" s="97"/>
      <c r="N1869" s="97"/>
      <c r="O1869" s="97"/>
      <c r="P1869" s="97"/>
      <c r="Q1869" s="97"/>
      <c r="R1869" s="135"/>
      <c r="S1869" s="135"/>
      <c r="T1869" s="135"/>
      <c r="U1869" s="135"/>
      <c r="V1869" s="135"/>
      <c r="W1869" s="137"/>
      <c r="X1869" s="135"/>
      <c r="Y1869" s="135"/>
      <c r="Z1869" s="135"/>
      <c r="AA1869" s="135"/>
      <c r="AB1869" s="135"/>
      <c r="AC1869" s="135"/>
    </row>
    <row r="1870">
      <c r="I1870" s="97"/>
      <c r="J1870" s="97"/>
      <c r="K1870" s="97"/>
      <c r="L1870" s="153"/>
      <c r="M1870" s="97"/>
      <c r="N1870" s="97"/>
      <c r="O1870" s="97"/>
      <c r="P1870" s="97"/>
      <c r="Q1870" s="97"/>
      <c r="R1870" s="135"/>
      <c r="S1870" s="135"/>
      <c r="T1870" s="135"/>
      <c r="U1870" s="135"/>
      <c r="V1870" s="135"/>
      <c r="W1870" s="137"/>
      <c r="X1870" s="135"/>
      <c r="Y1870" s="135"/>
      <c r="Z1870" s="135"/>
      <c r="AA1870" s="135"/>
      <c r="AB1870" s="135"/>
      <c r="AC1870" s="135"/>
    </row>
    <row r="1871">
      <c r="I1871" s="97"/>
      <c r="J1871" s="97"/>
      <c r="K1871" s="97"/>
      <c r="L1871" s="153"/>
      <c r="M1871" s="97"/>
      <c r="N1871" s="97"/>
      <c r="O1871" s="97"/>
      <c r="P1871" s="97"/>
      <c r="Q1871" s="97"/>
      <c r="R1871" s="135"/>
      <c r="S1871" s="135"/>
      <c r="T1871" s="135"/>
      <c r="U1871" s="135"/>
      <c r="V1871" s="135"/>
      <c r="W1871" s="137"/>
      <c r="X1871" s="135"/>
      <c r="Y1871" s="135"/>
      <c r="Z1871" s="135"/>
      <c r="AA1871" s="135"/>
      <c r="AB1871" s="135"/>
      <c r="AC1871" s="135"/>
    </row>
    <row r="1872">
      <c r="I1872" s="97"/>
      <c r="J1872" s="97"/>
      <c r="K1872" s="97"/>
      <c r="L1872" s="153"/>
      <c r="M1872" s="97"/>
      <c r="N1872" s="97"/>
      <c r="O1872" s="97"/>
      <c r="P1872" s="97"/>
      <c r="Q1872" s="97"/>
      <c r="R1872" s="135"/>
      <c r="S1872" s="135"/>
      <c r="T1872" s="135"/>
      <c r="U1872" s="135"/>
      <c r="V1872" s="135"/>
      <c r="W1872" s="137"/>
      <c r="X1872" s="135"/>
      <c r="Y1872" s="135"/>
      <c r="Z1872" s="135"/>
      <c r="AA1872" s="135"/>
      <c r="AB1872" s="135"/>
      <c r="AC1872" s="135"/>
    </row>
    <row r="1873">
      <c r="I1873" s="97"/>
      <c r="J1873" s="97"/>
      <c r="K1873" s="97"/>
      <c r="L1873" s="153"/>
      <c r="M1873" s="97"/>
      <c r="N1873" s="97"/>
      <c r="O1873" s="97"/>
      <c r="P1873" s="97"/>
      <c r="Q1873" s="97"/>
      <c r="R1873" s="135"/>
      <c r="S1873" s="135"/>
      <c r="T1873" s="135"/>
      <c r="U1873" s="135"/>
      <c r="V1873" s="135"/>
      <c r="W1873" s="137"/>
      <c r="X1873" s="135"/>
      <c r="Y1873" s="135"/>
      <c r="Z1873" s="135"/>
      <c r="AA1873" s="135"/>
      <c r="AB1873" s="135"/>
      <c r="AC1873" s="135"/>
    </row>
    <row r="1874">
      <c r="I1874" s="97"/>
      <c r="J1874" s="97"/>
      <c r="K1874" s="97"/>
      <c r="L1874" s="153"/>
      <c r="M1874" s="97"/>
      <c r="N1874" s="97"/>
      <c r="O1874" s="97"/>
      <c r="P1874" s="97"/>
      <c r="Q1874" s="97"/>
      <c r="R1874" s="135"/>
      <c r="S1874" s="135"/>
      <c r="T1874" s="135"/>
      <c r="U1874" s="135"/>
      <c r="V1874" s="135"/>
      <c r="W1874" s="137"/>
      <c r="X1874" s="135"/>
      <c r="Y1874" s="135"/>
      <c r="Z1874" s="135"/>
      <c r="AA1874" s="135"/>
      <c r="AB1874" s="135"/>
      <c r="AC1874" s="135"/>
    </row>
    <row r="1875">
      <c r="I1875" s="97"/>
      <c r="J1875" s="97"/>
      <c r="K1875" s="97"/>
      <c r="L1875" s="153"/>
      <c r="M1875" s="97"/>
      <c r="N1875" s="97"/>
      <c r="O1875" s="97"/>
      <c r="P1875" s="97"/>
      <c r="Q1875" s="97"/>
      <c r="R1875" s="135"/>
      <c r="S1875" s="135"/>
      <c r="T1875" s="135"/>
      <c r="U1875" s="135"/>
      <c r="V1875" s="135"/>
      <c r="W1875" s="137"/>
      <c r="X1875" s="135"/>
      <c r="Y1875" s="135"/>
      <c r="Z1875" s="135"/>
      <c r="AA1875" s="135"/>
      <c r="AB1875" s="135"/>
      <c r="AC1875" s="135"/>
    </row>
    <row r="1876">
      <c r="I1876" s="97"/>
      <c r="J1876" s="97"/>
      <c r="K1876" s="97"/>
      <c r="L1876" s="153"/>
      <c r="M1876" s="97"/>
      <c r="N1876" s="97"/>
      <c r="O1876" s="97"/>
      <c r="P1876" s="97"/>
      <c r="Q1876" s="97"/>
      <c r="R1876" s="135"/>
      <c r="S1876" s="135"/>
      <c r="T1876" s="135"/>
      <c r="U1876" s="135"/>
      <c r="V1876" s="135"/>
      <c r="W1876" s="137"/>
      <c r="X1876" s="135"/>
      <c r="Y1876" s="135"/>
      <c r="Z1876" s="135"/>
      <c r="AA1876" s="135"/>
      <c r="AB1876" s="135"/>
      <c r="AC1876" s="135"/>
    </row>
    <row r="1877">
      <c r="I1877" s="97"/>
      <c r="J1877" s="97"/>
      <c r="K1877" s="97"/>
      <c r="L1877" s="153"/>
      <c r="M1877" s="97"/>
      <c r="N1877" s="97"/>
      <c r="O1877" s="97"/>
      <c r="P1877" s="97"/>
      <c r="Q1877" s="97"/>
      <c r="R1877" s="135"/>
      <c r="S1877" s="135"/>
      <c r="T1877" s="135"/>
      <c r="U1877" s="135"/>
      <c r="V1877" s="135"/>
      <c r="W1877" s="137"/>
      <c r="X1877" s="135"/>
      <c r="Y1877" s="135"/>
      <c r="Z1877" s="135"/>
      <c r="AA1877" s="135"/>
      <c r="AB1877" s="135"/>
      <c r="AC1877" s="135"/>
    </row>
    <row r="1878">
      <c r="I1878" s="97"/>
      <c r="J1878" s="97"/>
      <c r="K1878" s="97"/>
      <c r="L1878" s="153"/>
      <c r="M1878" s="97"/>
      <c r="N1878" s="97"/>
      <c r="O1878" s="97"/>
      <c r="P1878" s="97"/>
      <c r="Q1878" s="97"/>
      <c r="R1878" s="135"/>
      <c r="S1878" s="135"/>
      <c r="T1878" s="135"/>
      <c r="U1878" s="135"/>
      <c r="V1878" s="135"/>
      <c r="W1878" s="137"/>
      <c r="X1878" s="135"/>
      <c r="Y1878" s="135"/>
      <c r="Z1878" s="135"/>
      <c r="AA1878" s="135"/>
      <c r="AB1878" s="135"/>
      <c r="AC1878" s="135"/>
    </row>
    <row r="1879">
      <c r="I1879" s="97"/>
      <c r="J1879" s="97"/>
      <c r="K1879" s="97"/>
      <c r="L1879" s="153"/>
      <c r="M1879" s="97"/>
      <c r="N1879" s="97"/>
      <c r="O1879" s="97"/>
      <c r="P1879" s="97"/>
      <c r="Q1879" s="97"/>
      <c r="R1879" s="135"/>
      <c r="S1879" s="135"/>
      <c r="T1879" s="135"/>
      <c r="U1879" s="135"/>
      <c r="V1879" s="135"/>
      <c r="W1879" s="137"/>
      <c r="X1879" s="135"/>
      <c r="Y1879" s="135"/>
      <c r="Z1879" s="135"/>
      <c r="AA1879" s="135"/>
      <c r="AB1879" s="135"/>
      <c r="AC1879" s="135"/>
    </row>
    <row r="1880">
      <c r="I1880" s="97"/>
      <c r="J1880" s="97"/>
      <c r="K1880" s="97"/>
      <c r="L1880" s="153"/>
      <c r="M1880" s="97"/>
      <c r="N1880" s="97"/>
      <c r="O1880" s="97"/>
      <c r="P1880" s="97"/>
      <c r="Q1880" s="97"/>
      <c r="R1880" s="135"/>
      <c r="S1880" s="135"/>
      <c r="T1880" s="135"/>
      <c r="U1880" s="135"/>
      <c r="V1880" s="135"/>
      <c r="W1880" s="137"/>
      <c r="X1880" s="135"/>
      <c r="Y1880" s="135"/>
      <c r="Z1880" s="135"/>
      <c r="AA1880" s="135"/>
      <c r="AB1880" s="135"/>
      <c r="AC1880" s="135"/>
    </row>
    <row r="1881">
      <c r="I1881" s="97"/>
      <c r="J1881" s="97"/>
      <c r="K1881" s="97"/>
      <c r="L1881" s="153"/>
      <c r="M1881" s="97"/>
      <c r="N1881" s="97"/>
      <c r="O1881" s="97"/>
      <c r="P1881" s="97"/>
      <c r="Q1881" s="97"/>
      <c r="R1881" s="135"/>
      <c r="S1881" s="135"/>
      <c r="T1881" s="135"/>
      <c r="U1881" s="135"/>
      <c r="V1881" s="135"/>
      <c r="W1881" s="137"/>
      <c r="X1881" s="135"/>
      <c r="Y1881" s="135"/>
      <c r="Z1881" s="135"/>
      <c r="AA1881" s="135"/>
      <c r="AB1881" s="135"/>
      <c r="AC1881" s="135"/>
    </row>
    <row r="1882">
      <c r="I1882" s="97"/>
      <c r="J1882" s="97"/>
      <c r="K1882" s="97"/>
      <c r="L1882" s="153"/>
      <c r="M1882" s="97"/>
      <c r="N1882" s="97"/>
      <c r="O1882" s="97"/>
      <c r="P1882" s="97"/>
      <c r="Q1882" s="97"/>
      <c r="R1882" s="135"/>
      <c r="S1882" s="135"/>
      <c r="T1882" s="135"/>
      <c r="U1882" s="135"/>
      <c r="V1882" s="135"/>
      <c r="W1882" s="137"/>
      <c r="X1882" s="135"/>
      <c r="Y1882" s="135"/>
      <c r="Z1882" s="135"/>
      <c r="AA1882" s="135"/>
      <c r="AB1882" s="135"/>
      <c r="AC1882" s="135"/>
    </row>
    <row r="1883">
      <c r="I1883" s="97"/>
      <c r="J1883" s="97"/>
      <c r="K1883" s="97"/>
      <c r="L1883" s="153"/>
      <c r="M1883" s="97"/>
      <c r="N1883" s="97"/>
      <c r="O1883" s="97"/>
      <c r="P1883" s="97"/>
      <c r="Q1883" s="97"/>
      <c r="R1883" s="135"/>
      <c r="S1883" s="135"/>
      <c r="T1883" s="135"/>
      <c r="U1883" s="135"/>
      <c r="V1883" s="135"/>
      <c r="W1883" s="137"/>
      <c r="X1883" s="135"/>
      <c r="Y1883" s="135"/>
      <c r="Z1883" s="135"/>
      <c r="AA1883" s="135"/>
      <c r="AB1883" s="135"/>
      <c r="AC1883" s="135"/>
    </row>
    <row r="1884">
      <c r="I1884" s="97"/>
      <c r="J1884" s="97"/>
      <c r="K1884" s="97"/>
      <c r="L1884" s="153"/>
      <c r="M1884" s="97"/>
      <c r="N1884" s="97"/>
      <c r="O1884" s="97"/>
      <c r="P1884" s="97"/>
      <c r="Q1884" s="97"/>
      <c r="R1884" s="135"/>
      <c r="S1884" s="135"/>
      <c r="T1884" s="135"/>
      <c r="U1884" s="135"/>
      <c r="V1884" s="135"/>
      <c r="W1884" s="137"/>
      <c r="X1884" s="135"/>
      <c r="Y1884" s="135"/>
      <c r="Z1884" s="135"/>
      <c r="AA1884" s="135"/>
      <c r="AB1884" s="135"/>
      <c r="AC1884" s="135"/>
    </row>
    <row r="1885">
      <c r="I1885" s="97"/>
      <c r="J1885" s="97"/>
      <c r="K1885" s="97"/>
      <c r="L1885" s="153"/>
      <c r="M1885" s="97"/>
      <c r="N1885" s="97"/>
      <c r="O1885" s="97"/>
      <c r="P1885" s="97"/>
      <c r="Q1885" s="97"/>
      <c r="R1885" s="135"/>
      <c r="S1885" s="135"/>
      <c r="T1885" s="135"/>
      <c r="U1885" s="135"/>
      <c r="V1885" s="135"/>
      <c r="W1885" s="137"/>
      <c r="X1885" s="135"/>
      <c r="Y1885" s="135"/>
      <c r="Z1885" s="135"/>
      <c r="AA1885" s="135"/>
      <c r="AB1885" s="135"/>
      <c r="AC1885" s="135"/>
    </row>
    <row r="1886">
      <c r="I1886" s="97"/>
      <c r="J1886" s="97"/>
      <c r="K1886" s="97"/>
      <c r="L1886" s="153"/>
      <c r="M1886" s="97"/>
      <c r="N1886" s="97"/>
      <c r="O1886" s="97"/>
      <c r="P1886" s="97"/>
      <c r="Q1886" s="97"/>
      <c r="R1886" s="135"/>
      <c r="S1886" s="135"/>
      <c r="T1886" s="135"/>
      <c r="U1886" s="135"/>
      <c r="V1886" s="135"/>
      <c r="W1886" s="137"/>
      <c r="X1886" s="135"/>
      <c r="Y1886" s="135"/>
      <c r="Z1886" s="135"/>
      <c r="AA1886" s="135"/>
      <c r="AB1886" s="135"/>
      <c r="AC1886" s="135"/>
    </row>
    <row r="1887">
      <c r="I1887" s="97"/>
      <c r="J1887" s="97"/>
      <c r="K1887" s="97"/>
      <c r="L1887" s="153"/>
      <c r="M1887" s="97"/>
      <c r="N1887" s="97"/>
      <c r="O1887" s="97"/>
      <c r="P1887" s="97"/>
      <c r="Q1887" s="97"/>
      <c r="R1887" s="135"/>
      <c r="S1887" s="135"/>
      <c r="T1887" s="135"/>
      <c r="U1887" s="135"/>
      <c r="V1887" s="135"/>
      <c r="W1887" s="137"/>
      <c r="X1887" s="135"/>
      <c r="Y1887" s="135"/>
      <c r="Z1887" s="135"/>
      <c r="AA1887" s="135"/>
      <c r="AB1887" s="135"/>
      <c r="AC1887" s="135"/>
    </row>
    <row r="1888">
      <c r="I1888" s="97"/>
      <c r="J1888" s="97"/>
      <c r="K1888" s="97"/>
      <c r="L1888" s="153"/>
      <c r="M1888" s="97"/>
      <c r="N1888" s="97"/>
      <c r="O1888" s="97"/>
      <c r="P1888" s="97"/>
      <c r="Q1888" s="97"/>
      <c r="R1888" s="135"/>
      <c r="S1888" s="135"/>
      <c r="T1888" s="135"/>
      <c r="U1888" s="135"/>
      <c r="V1888" s="135"/>
      <c r="W1888" s="137"/>
      <c r="X1888" s="135"/>
      <c r="Y1888" s="135"/>
      <c r="Z1888" s="135"/>
      <c r="AA1888" s="135"/>
      <c r="AB1888" s="135"/>
      <c r="AC1888" s="135"/>
    </row>
    <row r="1889">
      <c r="I1889" s="97"/>
      <c r="J1889" s="97"/>
      <c r="K1889" s="97"/>
      <c r="L1889" s="153"/>
      <c r="M1889" s="97"/>
      <c r="N1889" s="97"/>
      <c r="O1889" s="97"/>
      <c r="P1889" s="97"/>
      <c r="Q1889" s="97"/>
      <c r="R1889" s="135"/>
      <c r="S1889" s="135"/>
      <c r="T1889" s="135"/>
      <c r="U1889" s="135"/>
      <c r="V1889" s="135"/>
      <c r="W1889" s="137"/>
      <c r="X1889" s="135"/>
      <c r="Y1889" s="135"/>
      <c r="Z1889" s="135"/>
      <c r="AA1889" s="135"/>
      <c r="AB1889" s="135"/>
      <c r="AC1889" s="135"/>
    </row>
    <row r="1890">
      <c r="I1890" s="97"/>
      <c r="J1890" s="97"/>
      <c r="K1890" s="97"/>
      <c r="L1890" s="153"/>
      <c r="M1890" s="97"/>
      <c r="N1890" s="97"/>
      <c r="O1890" s="97"/>
      <c r="P1890" s="97"/>
      <c r="Q1890" s="97"/>
      <c r="R1890" s="135"/>
      <c r="S1890" s="135"/>
      <c r="T1890" s="135"/>
      <c r="U1890" s="135"/>
      <c r="V1890" s="135"/>
      <c r="W1890" s="137"/>
      <c r="X1890" s="135"/>
      <c r="Y1890" s="135"/>
      <c r="Z1890" s="135"/>
      <c r="AA1890" s="135"/>
      <c r="AB1890" s="135"/>
      <c r="AC1890" s="135"/>
    </row>
    <row r="1891">
      <c r="I1891" s="97"/>
      <c r="J1891" s="97"/>
      <c r="K1891" s="97"/>
      <c r="L1891" s="153"/>
      <c r="M1891" s="97"/>
      <c r="N1891" s="97"/>
      <c r="O1891" s="97"/>
      <c r="P1891" s="97"/>
      <c r="Q1891" s="97"/>
      <c r="R1891" s="135"/>
      <c r="S1891" s="135"/>
      <c r="T1891" s="135"/>
      <c r="U1891" s="135"/>
      <c r="V1891" s="135"/>
      <c r="W1891" s="137"/>
      <c r="X1891" s="135"/>
      <c r="Y1891" s="135"/>
      <c r="Z1891" s="135"/>
      <c r="AA1891" s="135"/>
      <c r="AB1891" s="135"/>
      <c r="AC1891" s="135"/>
    </row>
    <row r="1892">
      <c r="I1892" s="97"/>
      <c r="J1892" s="97"/>
      <c r="K1892" s="97"/>
      <c r="L1892" s="153"/>
      <c r="M1892" s="97"/>
      <c r="N1892" s="97"/>
      <c r="O1892" s="97"/>
      <c r="P1892" s="97"/>
      <c r="Q1892" s="97"/>
      <c r="R1892" s="135"/>
      <c r="S1892" s="135"/>
      <c r="T1892" s="135"/>
      <c r="U1892" s="135"/>
      <c r="V1892" s="135"/>
      <c r="W1892" s="137"/>
      <c r="X1892" s="135"/>
      <c r="Y1892" s="135"/>
      <c r="Z1892" s="135"/>
      <c r="AA1892" s="135"/>
      <c r="AB1892" s="135"/>
      <c r="AC1892" s="135"/>
    </row>
    <row r="1893">
      <c r="I1893" s="97"/>
      <c r="J1893" s="97"/>
      <c r="K1893" s="97"/>
      <c r="L1893" s="153"/>
      <c r="M1893" s="97"/>
      <c r="N1893" s="97"/>
      <c r="O1893" s="97"/>
      <c r="P1893" s="97"/>
      <c r="Q1893" s="97"/>
      <c r="R1893" s="135"/>
      <c r="S1893" s="135"/>
      <c r="T1893" s="135"/>
      <c r="U1893" s="135"/>
      <c r="V1893" s="135"/>
      <c r="W1893" s="137"/>
      <c r="X1893" s="135"/>
      <c r="Y1893" s="135"/>
      <c r="Z1893" s="135"/>
      <c r="AA1893" s="135"/>
      <c r="AB1893" s="135"/>
      <c r="AC1893" s="135"/>
    </row>
    <row r="1894">
      <c r="I1894" s="97"/>
      <c r="J1894" s="97"/>
      <c r="K1894" s="97"/>
      <c r="L1894" s="153"/>
      <c r="M1894" s="97"/>
      <c r="N1894" s="97"/>
      <c r="O1894" s="97"/>
      <c r="P1894" s="97"/>
      <c r="Q1894" s="97"/>
      <c r="R1894" s="135"/>
      <c r="S1894" s="135"/>
      <c r="T1894" s="135"/>
      <c r="U1894" s="135"/>
      <c r="V1894" s="135"/>
      <c r="W1894" s="137"/>
      <c r="X1894" s="135"/>
      <c r="Y1894" s="135"/>
      <c r="Z1894" s="135"/>
      <c r="AA1894" s="135"/>
      <c r="AB1894" s="135"/>
      <c r="AC1894" s="135"/>
    </row>
    <row r="1895">
      <c r="I1895" s="97"/>
      <c r="J1895" s="97"/>
      <c r="K1895" s="97"/>
      <c r="L1895" s="153"/>
      <c r="M1895" s="97"/>
      <c r="N1895" s="97"/>
      <c r="O1895" s="97"/>
      <c r="P1895" s="97"/>
      <c r="Q1895" s="97"/>
      <c r="R1895" s="135"/>
      <c r="S1895" s="135"/>
      <c r="T1895" s="135"/>
      <c r="U1895" s="135"/>
      <c r="V1895" s="135"/>
      <c r="W1895" s="137"/>
      <c r="X1895" s="135"/>
      <c r="Y1895" s="135"/>
      <c r="Z1895" s="135"/>
      <c r="AA1895" s="135"/>
      <c r="AB1895" s="135"/>
      <c r="AC1895" s="135"/>
    </row>
    <row r="1896">
      <c r="I1896" s="97"/>
      <c r="J1896" s="97"/>
      <c r="K1896" s="97"/>
      <c r="L1896" s="153"/>
      <c r="M1896" s="97"/>
      <c r="N1896" s="97"/>
      <c r="O1896" s="97"/>
      <c r="P1896" s="97"/>
      <c r="Q1896" s="97"/>
      <c r="R1896" s="135"/>
      <c r="S1896" s="135"/>
      <c r="T1896" s="135"/>
      <c r="U1896" s="135"/>
      <c r="V1896" s="135"/>
      <c r="W1896" s="137"/>
      <c r="X1896" s="135"/>
      <c r="Y1896" s="135"/>
      <c r="Z1896" s="135"/>
      <c r="AA1896" s="135"/>
      <c r="AB1896" s="135"/>
      <c r="AC1896" s="135"/>
    </row>
    <row r="1897">
      <c r="I1897" s="97"/>
      <c r="J1897" s="97"/>
      <c r="K1897" s="97"/>
      <c r="L1897" s="153"/>
      <c r="M1897" s="97"/>
      <c r="N1897" s="97"/>
      <c r="O1897" s="97"/>
      <c r="P1897" s="97"/>
      <c r="Q1897" s="97"/>
      <c r="R1897" s="135"/>
      <c r="S1897" s="135"/>
      <c r="T1897" s="135"/>
      <c r="U1897" s="135"/>
      <c r="V1897" s="135"/>
      <c r="W1897" s="137"/>
      <c r="X1897" s="135"/>
      <c r="Y1897" s="135"/>
      <c r="Z1897" s="135"/>
      <c r="AA1897" s="135"/>
      <c r="AB1897" s="135"/>
      <c r="AC1897" s="135"/>
    </row>
    <row r="1898">
      <c r="I1898" s="97"/>
      <c r="J1898" s="97"/>
      <c r="K1898" s="97"/>
      <c r="L1898" s="153"/>
      <c r="M1898" s="97"/>
      <c r="N1898" s="97"/>
      <c r="O1898" s="97"/>
      <c r="P1898" s="97"/>
      <c r="Q1898" s="97"/>
      <c r="R1898" s="135"/>
      <c r="S1898" s="135"/>
      <c r="T1898" s="135"/>
      <c r="U1898" s="135"/>
      <c r="V1898" s="135"/>
      <c r="W1898" s="137"/>
      <c r="X1898" s="135"/>
      <c r="Y1898" s="135"/>
      <c r="Z1898" s="135"/>
      <c r="AA1898" s="135"/>
      <c r="AB1898" s="135"/>
      <c r="AC1898" s="135"/>
    </row>
    <row r="1899">
      <c r="I1899" s="97"/>
      <c r="J1899" s="97"/>
      <c r="K1899" s="97"/>
      <c r="L1899" s="153"/>
      <c r="M1899" s="97"/>
      <c r="N1899" s="97"/>
      <c r="O1899" s="97"/>
      <c r="P1899" s="97"/>
      <c r="Q1899" s="97"/>
      <c r="R1899" s="135"/>
      <c r="S1899" s="135"/>
      <c r="T1899" s="135"/>
      <c r="U1899" s="135"/>
      <c r="V1899" s="135"/>
      <c r="W1899" s="137"/>
      <c r="X1899" s="135"/>
      <c r="Y1899" s="135"/>
      <c r="Z1899" s="135"/>
      <c r="AA1899" s="135"/>
      <c r="AB1899" s="135"/>
      <c r="AC1899" s="135"/>
    </row>
    <row r="1900">
      <c r="I1900" s="97"/>
      <c r="J1900" s="97"/>
      <c r="K1900" s="97"/>
      <c r="L1900" s="153"/>
      <c r="M1900" s="97"/>
      <c r="N1900" s="97"/>
      <c r="O1900" s="97"/>
      <c r="P1900" s="97"/>
      <c r="Q1900" s="97"/>
      <c r="R1900" s="135"/>
      <c r="S1900" s="135"/>
      <c r="T1900" s="135"/>
      <c r="U1900" s="135"/>
      <c r="V1900" s="135"/>
      <c r="W1900" s="137"/>
      <c r="X1900" s="135"/>
      <c r="Y1900" s="135"/>
      <c r="Z1900" s="135"/>
      <c r="AA1900" s="135"/>
      <c r="AB1900" s="135"/>
      <c r="AC1900" s="135"/>
    </row>
    <row r="1901">
      <c r="I1901" s="97"/>
      <c r="J1901" s="97"/>
      <c r="K1901" s="97"/>
      <c r="L1901" s="153"/>
      <c r="M1901" s="97"/>
      <c r="N1901" s="97"/>
      <c r="O1901" s="97"/>
      <c r="P1901" s="97"/>
      <c r="Q1901" s="97"/>
      <c r="R1901" s="135"/>
      <c r="S1901" s="135"/>
      <c r="T1901" s="135"/>
      <c r="U1901" s="135"/>
      <c r="V1901" s="135"/>
      <c r="W1901" s="137"/>
      <c r="X1901" s="135"/>
      <c r="Y1901" s="135"/>
      <c r="Z1901" s="135"/>
      <c r="AA1901" s="135"/>
      <c r="AB1901" s="135"/>
      <c r="AC1901" s="135"/>
    </row>
    <row r="1902">
      <c r="I1902" s="97"/>
      <c r="J1902" s="97"/>
      <c r="K1902" s="97"/>
      <c r="L1902" s="153"/>
      <c r="M1902" s="97"/>
      <c r="N1902" s="97"/>
      <c r="O1902" s="97"/>
      <c r="P1902" s="97"/>
      <c r="Q1902" s="97"/>
      <c r="R1902" s="135"/>
      <c r="S1902" s="135"/>
      <c r="T1902" s="135"/>
      <c r="U1902" s="135"/>
      <c r="V1902" s="135"/>
      <c r="W1902" s="137"/>
      <c r="X1902" s="135"/>
      <c r="Y1902" s="135"/>
      <c r="Z1902" s="135"/>
      <c r="AA1902" s="135"/>
      <c r="AB1902" s="135"/>
      <c r="AC1902" s="135"/>
    </row>
    <row r="1903">
      <c r="I1903" s="97"/>
      <c r="J1903" s="97"/>
      <c r="K1903" s="97"/>
      <c r="L1903" s="153"/>
      <c r="M1903" s="97"/>
      <c r="N1903" s="97"/>
      <c r="O1903" s="97"/>
      <c r="P1903" s="97"/>
      <c r="Q1903" s="97"/>
      <c r="R1903" s="135"/>
      <c r="S1903" s="135"/>
      <c r="T1903" s="135"/>
      <c r="U1903" s="135"/>
      <c r="V1903" s="135"/>
      <c r="W1903" s="137"/>
      <c r="X1903" s="135"/>
      <c r="Y1903" s="135"/>
      <c r="Z1903" s="135"/>
      <c r="AA1903" s="135"/>
      <c r="AB1903" s="135"/>
      <c r="AC1903" s="135"/>
    </row>
    <row r="1904">
      <c r="I1904" s="97"/>
      <c r="J1904" s="97"/>
      <c r="K1904" s="97"/>
      <c r="L1904" s="153"/>
      <c r="M1904" s="97"/>
      <c r="N1904" s="97"/>
      <c r="O1904" s="97"/>
      <c r="P1904" s="97"/>
      <c r="Q1904" s="97"/>
      <c r="R1904" s="135"/>
      <c r="S1904" s="135"/>
      <c r="T1904" s="135"/>
      <c r="U1904" s="135"/>
      <c r="V1904" s="135"/>
      <c r="W1904" s="137"/>
      <c r="X1904" s="135"/>
      <c r="Y1904" s="135"/>
      <c r="Z1904" s="135"/>
      <c r="AA1904" s="135"/>
      <c r="AB1904" s="135"/>
      <c r="AC1904" s="135"/>
    </row>
    <row r="1905">
      <c r="I1905" s="97"/>
      <c r="J1905" s="97"/>
      <c r="K1905" s="97"/>
      <c r="L1905" s="153"/>
      <c r="M1905" s="97"/>
      <c r="N1905" s="97"/>
      <c r="O1905" s="97"/>
      <c r="P1905" s="97"/>
      <c r="Q1905" s="97"/>
      <c r="R1905" s="135"/>
      <c r="S1905" s="135"/>
      <c r="T1905" s="135"/>
      <c r="U1905" s="135"/>
      <c r="V1905" s="135"/>
      <c r="W1905" s="137"/>
      <c r="X1905" s="135"/>
      <c r="Y1905" s="135"/>
      <c r="Z1905" s="135"/>
      <c r="AA1905" s="135"/>
      <c r="AB1905" s="135"/>
      <c r="AC1905" s="135"/>
    </row>
    <row r="1906">
      <c r="I1906" s="97"/>
      <c r="J1906" s="97"/>
      <c r="K1906" s="97"/>
      <c r="L1906" s="153"/>
      <c r="M1906" s="97"/>
      <c r="N1906" s="97"/>
      <c r="O1906" s="97"/>
      <c r="P1906" s="97"/>
      <c r="Q1906" s="97"/>
      <c r="R1906" s="135"/>
      <c r="S1906" s="135"/>
      <c r="T1906" s="135"/>
      <c r="U1906" s="135"/>
      <c r="V1906" s="135"/>
      <c r="W1906" s="137"/>
      <c r="X1906" s="135"/>
      <c r="Y1906" s="135"/>
      <c r="Z1906" s="135"/>
      <c r="AA1906" s="135"/>
      <c r="AB1906" s="135"/>
      <c r="AC1906" s="135"/>
    </row>
    <row r="1907">
      <c r="I1907" s="97"/>
      <c r="J1907" s="97"/>
      <c r="K1907" s="97"/>
      <c r="L1907" s="153"/>
      <c r="M1907" s="97"/>
      <c r="N1907" s="97"/>
      <c r="O1907" s="97"/>
      <c r="P1907" s="97"/>
      <c r="Q1907" s="97"/>
      <c r="R1907" s="135"/>
      <c r="S1907" s="135"/>
      <c r="T1907" s="135"/>
      <c r="U1907" s="135"/>
      <c r="V1907" s="135"/>
      <c r="W1907" s="137"/>
      <c r="X1907" s="135"/>
      <c r="Y1907" s="135"/>
      <c r="Z1907" s="135"/>
      <c r="AA1907" s="135"/>
      <c r="AB1907" s="135"/>
      <c r="AC1907" s="135"/>
    </row>
    <row r="1908">
      <c r="I1908" s="97"/>
      <c r="J1908" s="97"/>
      <c r="K1908" s="97"/>
      <c r="L1908" s="153"/>
      <c r="M1908" s="97"/>
      <c r="N1908" s="97"/>
      <c r="O1908" s="97"/>
      <c r="P1908" s="97"/>
      <c r="Q1908" s="97"/>
      <c r="R1908" s="135"/>
      <c r="S1908" s="135"/>
      <c r="T1908" s="135"/>
      <c r="U1908" s="135"/>
      <c r="V1908" s="135"/>
      <c r="W1908" s="137"/>
      <c r="X1908" s="135"/>
      <c r="Y1908" s="135"/>
      <c r="Z1908" s="135"/>
      <c r="AA1908" s="135"/>
      <c r="AB1908" s="135"/>
      <c r="AC1908" s="135"/>
    </row>
    <row r="1909">
      <c r="I1909" s="97"/>
      <c r="J1909" s="97"/>
      <c r="K1909" s="97"/>
      <c r="L1909" s="153"/>
      <c r="M1909" s="97"/>
      <c r="N1909" s="97"/>
      <c r="O1909" s="97"/>
      <c r="P1909" s="97"/>
      <c r="Q1909" s="97"/>
      <c r="R1909" s="135"/>
      <c r="S1909" s="135"/>
      <c r="T1909" s="135"/>
      <c r="U1909" s="135"/>
      <c r="V1909" s="135"/>
      <c r="W1909" s="137"/>
      <c r="X1909" s="135"/>
      <c r="Y1909" s="135"/>
      <c r="Z1909" s="135"/>
      <c r="AA1909" s="135"/>
      <c r="AB1909" s="135"/>
      <c r="AC1909" s="135"/>
    </row>
    <row r="1910">
      <c r="I1910" s="97"/>
      <c r="J1910" s="97"/>
      <c r="K1910" s="97"/>
      <c r="L1910" s="153"/>
      <c r="M1910" s="97"/>
      <c r="N1910" s="97"/>
      <c r="O1910" s="97"/>
      <c r="P1910" s="97"/>
      <c r="Q1910" s="97"/>
      <c r="R1910" s="135"/>
      <c r="S1910" s="135"/>
      <c r="T1910" s="135"/>
      <c r="U1910" s="135"/>
      <c r="V1910" s="135"/>
      <c r="W1910" s="137"/>
      <c r="X1910" s="135"/>
      <c r="Y1910" s="135"/>
      <c r="Z1910" s="135"/>
      <c r="AA1910" s="135"/>
      <c r="AB1910" s="135"/>
      <c r="AC1910" s="135"/>
    </row>
    <row r="1911">
      <c r="I1911" s="97"/>
      <c r="J1911" s="97"/>
      <c r="K1911" s="97"/>
      <c r="L1911" s="153"/>
      <c r="M1911" s="97"/>
      <c r="N1911" s="97"/>
      <c r="O1911" s="97"/>
      <c r="P1911" s="97"/>
      <c r="Q1911" s="97"/>
      <c r="R1911" s="135"/>
      <c r="S1911" s="135"/>
      <c r="T1911" s="135"/>
      <c r="U1911" s="135"/>
      <c r="V1911" s="135"/>
      <c r="W1911" s="137"/>
      <c r="X1911" s="135"/>
      <c r="Y1911" s="135"/>
      <c r="Z1911" s="135"/>
      <c r="AA1911" s="135"/>
      <c r="AB1911" s="135"/>
      <c r="AC1911" s="135"/>
    </row>
    <row r="1912">
      <c r="I1912" s="97"/>
      <c r="J1912" s="97"/>
      <c r="K1912" s="97"/>
      <c r="L1912" s="153"/>
      <c r="M1912" s="97"/>
      <c r="N1912" s="97"/>
      <c r="O1912" s="97"/>
      <c r="P1912" s="97"/>
      <c r="Q1912" s="97"/>
      <c r="R1912" s="135"/>
      <c r="S1912" s="135"/>
      <c r="T1912" s="135"/>
      <c r="U1912" s="135"/>
      <c r="V1912" s="135"/>
      <c r="W1912" s="137"/>
      <c r="X1912" s="135"/>
      <c r="Y1912" s="135"/>
      <c r="Z1912" s="135"/>
      <c r="AA1912" s="135"/>
      <c r="AB1912" s="135"/>
      <c r="AC1912" s="135"/>
    </row>
    <row r="1913">
      <c r="I1913" s="97"/>
      <c r="J1913" s="97"/>
      <c r="K1913" s="97"/>
      <c r="L1913" s="153"/>
      <c r="M1913" s="97"/>
      <c r="N1913" s="97"/>
      <c r="O1913" s="97"/>
      <c r="P1913" s="97"/>
      <c r="Q1913" s="97"/>
      <c r="R1913" s="135"/>
      <c r="S1913" s="135"/>
      <c r="T1913" s="135"/>
      <c r="U1913" s="135"/>
      <c r="V1913" s="135"/>
      <c r="W1913" s="137"/>
      <c r="X1913" s="135"/>
      <c r="Y1913" s="135"/>
      <c r="Z1913" s="135"/>
      <c r="AA1913" s="135"/>
      <c r="AB1913" s="135"/>
      <c r="AC1913" s="135"/>
    </row>
    <row r="1914">
      <c r="I1914" s="97"/>
      <c r="J1914" s="97"/>
      <c r="K1914" s="97"/>
      <c r="L1914" s="153"/>
      <c r="M1914" s="97"/>
      <c r="N1914" s="97"/>
      <c r="O1914" s="97"/>
      <c r="P1914" s="97"/>
      <c r="Q1914" s="97"/>
      <c r="R1914" s="135"/>
      <c r="S1914" s="135"/>
      <c r="T1914" s="135"/>
      <c r="U1914" s="135"/>
      <c r="V1914" s="135"/>
      <c r="W1914" s="137"/>
      <c r="X1914" s="135"/>
      <c r="Y1914" s="135"/>
      <c r="Z1914" s="135"/>
      <c r="AA1914" s="135"/>
      <c r="AB1914" s="135"/>
      <c r="AC1914" s="135"/>
    </row>
    <row r="1915">
      <c r="I1915" s="97"/>
      <c r="J1915" s="97"/>
      <c r="K1915" s="97"/>
      <c r="L1915" s="153"/>
      <c r="M1915" s="97"/>
      <c r="N1915" s="97"/>
      <c r="O1915" s="97"/>
      <c r="P1915" s="97"/>
      <c r="Q1915" s="97"/>
      <c r="R1915" s="135"/>
      <c r="S1915" s="135"/>
      <c r="T1915" s="135"/>
      <c r="U1915" s="135"/>
      <c r="V1915" s="135"/>
      <c r="W1915" s="137"/>
      <c r="X1915" s="135"/>
      <c r="Y1915" s="135"/>
      <c r="Z1915" s="135"/>
      <c r="AA1915" s="135"/>
      <c r="AB1915" s="135"/>
      <c r="AC1915" s="135"/>
    </row>
    <row r="1916">
      <c r="I1916" s="97"/>
      <c r="J1916" s="97"/>
      <c r="K1916" s="97"/>
      <c r="L1916" s="153"/>
      <c r="M1916" s="97"/>
      <c r="N1916" s="97"/>
      <c r="O1916" s="97"/>
      <c r="P1916" s="97"/>
      <c r="Q1916" s="97"/>
      <c r="R1916" s="135"/>
      <c r="S1916" s="135"/>
      <c r="T1916" s="135"/>
      <c r="U1916" s="135"/>
      <c r="V1916" s="135"/>
      <c r="W1916" s="137"/>
      <c r="X1916" s="135"/>
      <c r="Y1916" s="135"/>
      <c r="Z1916" s="135"/>
      <c r="AA1916" s="135"/>
      <c r="AB1916" s="135"/>
      <c r="AC1916" s="135"/>
    </row>
    <row r="1917">
      <c r="I1917" s="97"/>
      <c r="J1917" s="97"/>
      <c r="K1917" s="97"/>
      <c r="L1917" s="153"/>
      <c r="M1917" s="97"/>
      <c r="N1917" s="97"/>
      <c r="O1917" s="97"/>
      <c r="P1917" s="97"/>
      <c r="Q1917" s="97"/>
      <c r="R1917" s="135"/>
      <c r="S1917" s="135"/>
      <c r="T1917" s="135"/>
      <c r="U1917" s="135"/>
      <c r="V1917" s="135"/>
      <c r="W1917" s="137"/>
      <c r="X1917" s="135"/>
      <c r="Y1917" s="135"/>
      <c r="Z1917" s="135"/>
      <c r="AA1917" s="135"/>
      <c r="AB1917" s="135"/>
      <c r="AC1917" s="135"/>
    </row>
    <row r="1918">
      <c r="I1918" s="97"/>
      <c r="J1918" s="97"/>
      <c r="K1918" s="97"/>
      <c r="L1918" s="153"/>
      <c r="M1918" s="97"/>
      <c r="N1918" s="97"/>
      <c r="O1918" s="97"/>
      <c r="P1918" s="97"/>
      <c r="Q1918" s="97"/>
      <c r="R1918" s="135"/>
      <c r="S1918" s="135"/>
      <c r="T1918" s="135"/>
      <c r="U1918" s="135"/>
      <c r="V1918" s="135"/>
      <c r="W1918" s="137"/>
      <c r="X1918" s="135"/>
      <c r="Y1918" s="135"/>
      <c r="Z1918" s="135"/>
      <c r="AA1918" s="135"/>
      <c r="AB1918" s="135"/>
      <c r="AC1918" s="135"/>
    </row>
    <row r="1919">
      <c r="I1919" s="97"/>
      <c r="J1919" s="97"/>
      <c r="K1919" s="97"/>
      <c r="L1919" s="153"/>
      <c r="M1919" s="97"/>
      <c r="N1919" s="97"/>
      <c r="O1919" s="97"/>
      <c r="P1919" s="97"/>
      <c r="Q1919" s="97"/>
      <c r="R1919" s="135"/>
      <c r="S1919" s="135"/>
      <c r="T1919" s="135"/>
      <c r="U1919" s="135"/>
      <c r="V1919" s="135"/>
      <c r="W1919" s="137"/>
      <c r="X1919" s="135"/>
      <c r="Y1919" s="135"/>
      <c r="Z1919" s="135"/>
      <c r="AA1919" s="135"/>
      <c r="AB1919" s="135"/>
      <c r="AC1919" s="135"/>
    </row>
    <row r="1920">
      <c r="I1920" s="97"/>
      <c r="J1920" s="97"/>
      <c r="K1920" s="97"/>
      <c r="L1920" s="153"/>
      <c r="M1920" s="97"/>
      <c r="N1920" s="97"/>
      <c r="O1920" s="97"/>
      <c r="P1920" s="97"/>
      <c r="Q1920" s="97"/>
      <c r="R1920" s="135"/>
      <c r="S1920" s="135"/>
      <c r="T1920" s="135"/>
      <c r="U1920" s="135"/>
      <c r="V1920" s="135"/>
      <c r="W1920" s="137"/>
      <c r="X1920" s="135"/>
      <c r="Y1920" s="135"/>
      <c r="Z1920" s="135"/>
      <c r="AA1920" s="135"/>
      <c r="AB1920" s="135"/>
      <c r="AC1920" s="135"/>
    </row>
    <row r="1921">
      <c r="I1921" s="97"/>
      <c r="J1921" s="97"/>
      <c r="K1921" s="97"/>
      <c r="L1921" s="153"/>
      <c r="M1921" s="97"/>
      <c r="N1921" s="97"/>
      <c r="O1921" s="97"/>
      <c r="P1921" s="97"/>
      <c r="Q1921" s="97"/>
      <c r="R1921" s="135"/>
      <c r="S1921" s="135"/>
      <c r="T1921" s="135"/>
      <c r="U1921" s="135"/>
      <c r="V1921" s="135"/>
      <c r="W1921" s="137"/>
      <c r="X1921" s="135"/>
      <c r="Y1921" s="135"/>
      <c r="Z1921" s="135"/>
      <c r="AA1921" s="135"/>
      <c r="AB1921" s="135"/>
      <c r="AC1921" s="135"/>
    </row>
    <row r="1922">
      <c r="I1922" s="97"/>
      <c r="J1922" s="97"/>
      <c r="K1922" s="97"/>
      <c r="L1922" s="153"/>
      <c r="M1922" s="97"/>
      <c r="N1922" s="97"/>
      <c r="O1922" s="97"/>
      <c r="P1922" s="97"/>
      <c r="Q1922" s="97"/>
      <c r="R1922" s="135"/>
      <c r="S1922" s="135"/>
      <c r="T1922" s="135"/>
      <c r="U1922" s="135"/>
      <c r="V1922" s="135"/>
      <c r="W1922" s="137"/>
      <c r="X1922" s="135"/>
      <c r="Y1922" s="135"/>
      <c r="Z1922" s="135"/>
      <c r="AA1922" s="135"/>
      <c r="AB1922" s="135"/>
      <c r="AC1922" s="135"/>
    </row>
    <row r="1923">
      <c r="I1923" s="97"/>
      <c r="J1923" s="97"/>
      <c r="K1923" s="97"/>
      <c r="L1923" s="153"/>
      <c r="M1923" s="97"/>
      <c r="N1923" s="97"/>
      <c r="O1923" s="97"/>
      <c r="P1923" s="97"/>
      <c r="Q1923" s="97"/>
      <c r="R1923" s="135"/>
      <c r="S1923" s="135"/>
      <c r="T1923" s="135"/>
      <c r="U1923" s="135"/>
      <c r="V1923" s="135"/>
      <c r="W1923" s="137"/>
      <c r="X1923" s="135"/>
      <c r="Y1923" s="135"/>
      <c r="Z1923" s="135"/>
      <c r="AA1923" s="135"/>
      <c r="AB1923" s="135"/>
      <c r="AC1923" s="135"/>
    </row>
    <row r="1924">
      <c r="I1924" s="97"/>
      <c r="J1924" s="97"/>
      <c r="K1924" s="97"/>
      <c r="L1924" s="153"/>
      <c r="M1924" s="97"/>
      <c r="N1924" s="97"/>
      <c r="O1924" s="97"/>
      <c r="P1924" s="97"/>
      <c r="Q1924" s="97"/>
      <c r="R1924" s="135"/>
      <c r="S1924" s="135"/>
      <c r="T1924" s="135"/>
      <c r="U1924" s="135"/>
      <c r="V1924" s="135"/>
      <c r="W1924" s="137"/>
      <c r="X1924" s="135"/>
      <c r="Y1924" s="135"/>
      <c r="Z1924" s="135"/>
      <c r="AA1924" s="135"/>
      <c r="AB1924" s="135"/>
      <c r="AC1924" s="135"/>
    </row>
    <row r="1925">
      <c r="I1925" s="97"/>
      <c r="J1925" s="97"/>
      <c r="K1925" s="97"/>
      <c r="L1925" s="153"/>
      <c r="M1925" s="97"/>
      <c r="N1925" s="97"/>
      <c r="O1925" s="97"/>
      <c r="P1925" s="97"/>
      <c r="Q1925" s="97"/>
      <c r="R1925" s="135"/>
      <c r="S1925" s="135"/>
      <c r="T1925" s="135"/>
      <c r="U1925" s="135"/>
      <c r="V1925" s="135"/>
      <c r="W1925" s="137"/>
      <c r="X1925" s="135"/>
      <c r="Y1925" s="135"/>
      <c r="Z1925" s="135"/>
      <c r="AA1925" s="135"/>
      <c r="AB1925" s="135"/>
      <c r="AC1925" s="135"/>
    </row>
    <row r="1926">
      <c r="I1926" s="97"/>
      <c r="J1926" s="97"/>
      <c r="K1926" s="97"/>
      <c r="L1926" s="153"/>
      <c r="M1926" s="97"/>
      <c r="N1926" s="97"/>
      <c r="O1926" s="97"/>
      <c r="P1926" s="97"/>
      <c r="Q1926" s="97"/>
      <c r="R1926" s="135"/>
      <c r="S1926" s="135"/>
      <c r="T1926" s="135"/>
      <c r="U1926" s="135"/>
      <c r="V1926" s="135"/>
      <c r="W1926" s="137"/>
      <c r="X1926" s="135"/>
      <c r="Y1926" s="135"/>
      <c r="Z1926" s="135"/>
      <c r="AA1926" s="135"/>
      <c r="AB1926" s="135"/>
      <c r="AC1926" s="135"/>
    </row>
    <row r="1927">
      <c r="I1927" s="97"/>
      <c r="J1927" s="97"/>
      <c r="K1927" s="97"/>
      <c r="L1927" s="153"/>
      <c r="M1927" s="97"/>
      <c r="N1927" s="97"/>
      <c r="O1927" s="97"/>
      <c r="P1927" s="97"/>
      <c r="Q1927" s="97"/>
      <c r="R1927" s="135"/>
      <c r="S1927" s="135"/>
      <c r="T1927" s="135"/>
      <c r="U1927" s="135"/>
      <c r="V1927" s="135"/>
      <c r="W1927" s="137"/>
      <c r="X1927" s="135"/>
      <c r="Y1927" s="135"/>
      <c r="Z1927" s="135"/>
      <c r="AA1927" s="135"/>
      <c r="AB1927" s="135"/>
      <c r="AC1927" s="135"/>
    </row>
    <row r="1928">
      <c r="I1928" s="97"/>
      <c r="J1928" s="97"/>
      <c r="K1928" s="97"/>
      <c r="L1928" s="153"/>
      <c r="M1928" s="97"/>
      <c r="N1928" s="97"/>
      <c r="O1928" s="97"/>
      <c r="P1928" s="97"/>
      <c r="Q1928" s="97"/>
      <c r="R1928" s="135"/>
      <c r="S1928" s="135"/>
      <c r="T1928" s="135"/>
      <c r="U1928" s="135"/>
      <c r="V1928" s="135"/>
      <c r="W1928" s="137"/>
      <c r="X1928" s="135"/>
      <c r="Y1928" s="135"/>
      <c r="Z1928" s="135"/>
      <c r="AA1928" s="135"/>
      <c r="AB1928" s="135"/>
      <c r="AC1928" s="135"/>
    </row>
    <row r="1929">
      <c r="I1929" s="97"/>
      <c r="J1929" s="97"/>
      <c r="K1929" s="97"/>
      <c r="L1929" s="153"/>
      <c r="M1929" s="97"/>
      <c r="N1929" s="97"/>
      <c r="O1929" s="97"/>
      <c r="P1929" s="97"/>
      <c r="Q1929" s="97"/>
      <c r="R1929" s="135"/>
      <c r="S1929" s="135"/>
      <c r="T1929" s="135"/>
      <c r="U1929" s="135"/>
      <c r="V1929" s="135"/>
      <c r="W1929" s="137"/>
      <c r="X1929" s="135"/>
      <c r="Y1929" s="135"/>
      <c r="Z1929" s="135"/>
      <c r="AA1929" s="135"/>
      <c r="AB1929" s="135"/>
      <c r="AC1929" s="135"/>
    </row>
    <row r="1930">
      <c r="I1930" s="97"/>
      <c r="J1930" s="97"/>
      <c r="K1930" s="97"/>
      <c r="L1930" s="153"/>
      <c r="M1930" s="97"/>
      <c r="N1930" s="97"/>
      <c r="O1930" s="97"/>
      <c r="P1930" s="97"/>
      <c r="Q1930" s="97"/>
      <c r="R1930" s="135"/>
      <c r="S1930" s="135"/>
      <c r="T1930" s="135"/>
      <c r="U1930" s="135"/>
      <c r="V1930" s="135"/>
      <c r="W1930" s="137"/>
      <c r="X1930" s="135"/>
      <c r="Y1930" s="135"/>
      <c r="Z1930" s="135"/>
      <c r="AA1930" s="135"/>
      <c r="AB1930" s="135"/>
      <c r="AC1930" s="135"/>
    </row>
    <row r="1931">
      <c r="I1931" s="97"/>
      <c r="J1931" s="97"/>
      <c r="K1931" s="97"/>
      <c r="L1931" s="153"/>
      <c r="M1931" s="97"/>
      <c r="N1931" s="97"/>
      <c r="O1931" s="97"/>
      <c r="P1931" s="97"/>
      <c r="Q1931" s="97"/>
      <c r="R1931" s="135"/>
      <c r="S1931" s="135"/>
      <c r="T1931" s="135"/>
      <c r="U1931" s="135"/>
      <c r="V1931" s="135"/>
      <c r="W1931" s="137"/>
      <c r="X1931" s="135"/>
      <c r="Y1931" s="135"/>
      <c r="Z1931" s="135"/>
      <c r="AA1931" s="135"/>
      <c r="AB1931" s="135"/>
      <c r="AC1931" s="135"/>
    </row>
    <row r="1932">
      <c r="I1932" s="97"/>
      <c r="J1932" s="97"/>
      <c r="K1932" s="97"/>
      <c r="L1932" s="153"/>
      <c r="M1932" s="97"/>
      <c r="N1932" s="97"/>
      <c r="O1932" s="97"/>
      <c r="P1932" s="97"/>
      <c r="Q1932" s="97"/>
      <c r="R1932" s="135"/>
      <c r="S1932" s="135"/>
      <c r="T1932" s="135"/>
      <c r="U1932" s="135"/>
      <c r="V1932" s="135"/>
      <c r="W1932" s="137"/>
      <c r="X1932" s="135"/>
      <c r="Y1932" s="135"/>
      <c r="Z1932" s="135"/>
      <c r="AA1932" s="135"/>
      <c r="AB1932" s="135"/>
      <c r="AC1932" s="135"/>
    </row>
    <row r="1933">
      <c r="I1933" s="97"/>
      <c r="J1933" s="97"/>
      <c r="K1933" s="97"/>
      <c r="L1933" s="153"/>
      <c r="M1933" s="97"/>
      <c r="N1933" s="97"/>
      <c r="O1933" s="97"/>
      <c r="P1933" s="97"/>
      <c r="Q1933" s="97"/>
      <c r="R1933" s="135"/>
      <c r="S1933" s="135"/>
      <c r="T1933" s="135"/>
      <c r="U1933" s="135"/>
      <c r="V1933" s="135"/>
      <c r="W1933" s="137"/>
      <c r="X1933" s="135"/>
      <c r="Y1933" s="135"/>
      <c r="Z1933" s="135"/>
      <c r="AA1933" s="135"/>
      <c r="AB1933" s="135"/>
      <c r="AC1933" s="135"/>
    </row>
    <row r="1934">
      <c r="I1934" s="97"/>
      <c r="J1934" s="97"/>
      <c r="K1934" s="97"/>
      <c r="L1934" s="153"/>
      <c r="M1934" s="97"/>
      <c r="N1934" s="97"/>
      <c r="O1934" s="97"/>
      <c r="P1934" s="97"/>
      <c r="Q1934" s="97"/>
      <c r="R1934" s="135"/>
      <c r="S1934" s="135"/>
      <c r="T1934" s="135"/>
      <c r="U1934" s="135"/>
      <c r="V1934" s="135"/>
      <c r="W1934" s="137"/>
      <c r="X1934" s="135"/>
      <c r="Y1934" s="135"/>
      <c r="Z1934" s="135"/>
      <c r="AA1934" s="135"/>
      <c r="AB1934" s="135"/>
      <c r="AC1934" s="135"/>
    </row>
    <row r="1935">
      <c r="I1935" s="97"/>
      <c r="J1935" s="97"/>
      <c r="K1935" s="97"/>
      <c r="L1935" s="153"/>
      <c r="M1935" s="97"/>
      <c r="N1935" s="97"/>
      <c r="O1935" s="97"/>
      <c r="P1935" s="97"/>
      <c r="Q1935" s="97"/>
      <c r="R1935" s="135"/>
      <c r="S1935" s="135"/>
      <c r="T1935" s="135"/>
      <c r="U1935" s="135"/>
      <c r="V1935" s="135"/>
      <c r="W1935" s="137"/>
      <c r="X1935" s="135"/>
      <c r="Y1935" s="135"/>
      <c r="Z1935" s="135"/>
      <c r="AA1935" s="135"/>
      <c r="AB1935" s="135"/>
      <c r="AC1935" s="135"/>
    </row>
    <row r="1936">
      <c r="I1936" s="97"/>
      <c r="J1936" s="97"/>
      <c r="K1936" s="97"/>
      <c r="L1936" s="153"/>
      <c r="M1936" s="97"/>
      <c r="N1936" s="97"/>
      <c r="O1936" s="97"/>
      <c r="P1936" s="97"/>
      <c r="Q1936" s="97"/>
      <c r="R1936" s="135"/>
      <c r="S1936" s="135"/>
      <c r="T1936" s="135"/>
      <c r="U1936" s="135"/>
      <c r="V1936" s="135"/>
      <c r="W1936" s="137"/>
      <c r="X1936" s="135"/>
      <c r="Y1936" s="135"/>
      <c r="Z1936" s="135"/>
      <c r="AA1936" s="135"/>
      <c r="AB1936" s="135"/>
      <c r="AC1936" s="135"/>
    </row>
    <row r="1937">
      <c r="I1937" s="97"/>
      <c r="J1937" s="97"/>
      <c r="K1937" s="97"/>
      <c r="L1937" s="153"/>
      <c r="M1937" s="97"/>
      <c r="N1937" s="97"/>
      <c r="O1937" s="97"/>
      <c r="P1937" s="97"/>
      <c r="Q1937" s="97"/>
      <c r="R1937" s="135"/>
      <c r="S1937" s="135"/>
      <c r="T1937" s="135"/>
      <c r="U1937" s="135"/>
      <c r="V1937" s="135"/>
      <c r="W1937" s="137"/>
      <c r="X1937" s="135"/>
      <c r="Y1937" s="135"/>
      <c r="Z1937" s="135"/>
      <c r="AA1937" s="135"/>
      <c r="AB1937" s="135"/>
      <c r="AC1937" s="135"/>
    </row>
    <row r="1938">
      <c r="I1938" s="97"/>
      <c r="J1938" s="97"/>
      <c r="K1938" s="97"/>
      <c r="L1938" s="153"/>
      <c r="M1938" s="97"/>
      <c r="N1938" s="97"/>
      <c r="O1938" s="97"/>
      <c r="P1938" s="97"/>
      <c r="Q1938" s="97"/>
      <c r="R1938" s="135"/>
      <c r="S1938" s="135"/>
      <c r="T1938" s="135"/>
      <c r="U1938" s="135"/>
      <c r="V1938" s="135"/>
      <c r="W1938" s="137"/>
      <c r="X1938" s="135"/>
      <c r="Y1938" s="135"/>
      <c r="Z1938" s="135"/>
      <c r="AA1938" s="135"/>
      <c r="AB1938" s="135"/>
      <c r="AC1938" s="135"/>
    </row>
    <row r="1939">
      <c r="I1939" s="97"/>
      <c r="J1939" s="97"/>
      <c r="K1939" s="97"/>
      <c r="L1939" s="153"/>
      <c r="M1939" s="97"/>
      <c r="N1939" s="97"/>
      <c r="O1939" s="97"/>
      <c r="P1939" s="97"/>
      <c r="Q1939" s="97"/>
      <c r="R1939" s="135"/>
      <c r="S1939" s="135"/>
      <c r="T1939" s="135"/>
      <c r="U1939" s="135"/>
      <c r="V1939" s="135"/>
      <c r="W1939" s="137"/>
      <c r="X1939" s="135"/>
      <c r="Y1939" s="135"/>
      <c r="Z1939" s="135"/>
      <c r="AA1939" s="135"/>
      <c r="AB1939" s="135"/>
      <c r="AC1939" s="135"/>
    </row>
    <row r="1940">
      <c r="I1940" s="97"/>
      <c r="J1940" s="97"/>
      <c r="K1940" s="97"/>
      <c r="L1940" s="153"/>
      <c r="M1940" s="97"/>
      <c r="N1940" s="97"/>
      <c r="O1940" s="97"/>
      <c r="P1940" s="97"/>
      <c r="Q1940" s="97"/>
      <c r="R1940" s="135"/>
      <c r="S1940" s="135"/>
      <c r="T1940" s="135"/>
      <c r="U1940" s="135"/>
      <c r="V1940" s="135"/>
      <c r="W1940" s="137"/>
      <c r="X1940" s="135"/>
      <c r="Y1940" s="135"/>
      <c r="Z1940" s="135"/>
      <c r="AA1940" s="135"/>
      <c r="AB1940" s="135"/>
      <c r="AC1940" s="135"/>
    </row>
    <row r="1941">
      <c r="I1941" s="97"/>
      <c r="J1941" s="97"/>
      <c r="K1941" s="97"/>
      <c r="L1941" s="153"/>
      <c r="M1941" s="97"/>
      <c r="N1941" s="97"/>
      <c r="O1941" s="97"/>
      <c r="P1941" s="97"/>
      <c r="Q1941" s="97"/>
      <c r="R1941" s="135"/>
      <c r="S1941" s="135"/>
      <c r="T1941" s="135"/>
      <c r="U1941" s="135"/>
      <c r="V1941" s="135"/>
      <c r="W1941" s="137"/>
      <c r="X1941" s="135"/>
      <c r="Y1941" s="135"/>
      <c r="Z1941" s="135"/>
      <c r="AA1941" s="135"/>
      <c r="AB1941" s="135"/>
      <c r="AC1941" s="135"/>
    </row>
    <row r="1942">
      <c r="I1942" s="97"/>
      <c r="J1942" s="97"/>
      <c r="K1942" s="97"/>
      <c r="L1942" s="153"/>
      <c r="M1942" s="97"/>
      <c r="N1942" s="97"/>
      <c r="O1942" s="97"/>
      <c r="P1942" s="97"/>
      <c r="Q1942" s="97"/>
      <c r="R1942" s="135"/>
      <c r="S1942" s="135"/>
      <c r="T1942" s="135"/>
      <c r="U1942" s="135"/>
      <c r="V1942" s="135"/>
      <c r="W1942" s="137"/>
      <c r="X1942" s="135"/>
      <c r="Y1942" s="135"/>
      <c r="Z1942" s="135"/>
      <c r="AA1942" s="135"/>
      <c r="AB1942" s="135"/>
      <c r="AC1942" s="135"/>
    </row>
    <row r="1943">
      <c r="I1943" s="97"/>
      <c r="J1943" s="97"/>
      <c r="K1943" s="97"/>
      <c r="L1943" s="153"/>
      <c r="M1943" s="97"/>
      <c r="N1943" s="97"/>
      <c r="O1943" s="97"/>
      <c r="P1943" s="97"/>
      <c r="Q1943" s="97"/>
      <c r="R1943" s="135"/>
      <c r="S1943" s="135"/>
      <c r="T1943" s="135"/>
      <c r="U1943" s="135"/>
      <c r="V1943" s="135"/>
      <c r="W1943" s="137"/>
      <c r="X1943" s="135"/>
      <c r="Y1943" s="135"/>
      <c r="Z1943" s="135"/>
      <c r="AA1943" s="135"/>
      <c r="AB1943" s="135"/>
      <c r="AC1943" s="135"/>
    </row>
    <row r="1944">
      <c r="I1944" s="97"/>
      <c r="J1944" s="97"/>
      <c r="K1944" s="97"/>
      <c r="L1944" s="153"/>
      <c r="M1944" s="97"/>
      <c r="N1944" s="97"/>
      <c r="O1944" s="97"/>
      <c r="P1944" s="97"/>
      <c r="Q1944" s="97"/>
      <c r="R1944" s="135"/>
      <c r="S1944" s="135"/>
      <c r="T1944" s="135"/>
      <c r="U1944" s="135"/>
      <c r="V1944" s="135"/>
      <c r="W1944" s="137"/>
      <c r="X1944" s="135"/>
      <c r="Y1944" s="135"/>
      <c r="Z1944" s="135"/>
      <c r="AA1944" s="135"/>
      <c r="AB1944" s="135"/>
      <c r="AC1944" s="135"/>
    </row>
    <row r="1945">
      <c r="I1945" s="97"/>
      <c r="J1945" s="97"/>
      <c r="K1945" s="97"/>
      <c r="L1945" s="153"/>
      <c r="M1945" s="97"/>
      <c r="N1945" s="97"/>
      <c r="O1945" s="97"/>
      <c r="P1945" s="97"/>
      <c r="Q1945" s="97"/>
      <c r="R1945" s="135"/>
      <c r="S1945" s="135"/>
      <c r="T1945" s="135"/>
      <c r="U1945" s="135"/>
      <c r="V1945" s="135"/>
      <c r="W1945" s="137"/>
      <c r="X1945" s="135"/>
      <c r="Y1945" s="135"/>
      <c r="Z1945" s="135"/>
      <c r="AA1945" s="135"/>
      <c r="AB1945" s="135"/>
      <c r="AC1945" s="135"/>
    </row>
    <row r="1946">
      <c r="I1946" s="97"/>
      <c r="J1946" s="97"/>
      <c r="K1946" s="97"/>
      <c r="L1946" s="153"/>
      <c r="M1946" s="97"/>
      <c r="N1946" s="97"/>
      <c r="O1946" s="97"/>
      <c r="P1946" s="97"/>
      <c r="Q1946" s="97"/>
      <c r="R1946" s="135"/>
      <c r="S1946" s="135"/>
      <c r="T1946" s="135"/>
      <c r="U1946" s="135"/>
      <c r="V1946" s="135"/>
      <c r="W1946" s="137"/>
      <c r="X1946" s="135"/>
      <c r="Y1946" s="135"/>
      <c r="Z1946" s="135"/>
      <c r="AA1946" s="135"/>
      <c r="AB1946" s="135"/>
      <c r="AC1946" s="135"/>
    </row>
    <row r="1947">
      <c r="I1947" s="97"/>
      <c r="J1947" s="97"/>
      <c r="K1947" s="97"/>
      <c r="L1947" s="153"/>
      <c r="M1947" s="97"/>
      <c r="N1947" s="97"/>
      <c r="O1947" s="97"/>
      <c r="P1947" s="97"/>
      <c r="Q1947" s="97"/>
      <c r="R1947" s="135"/>
      <c r="S1947" s="135"/>
      <c r="T1947" s="135"/>
      <c r="U1947" s="135"/>
      <c r="V1947" s="135"/>
      <c r="W1947" s="137"/>
      <c r="X1947" s="135"/>
      <c r="Y1947" s="135"/>
      <c r="Z1947" s="135"/>
      <c r="AA1947" s="135"/>
      <c r="AB1947" s="135"/>
      <c r="AC1947" s="135"/>
    </row>
    <row r="1948">
      <c r="I1948" s="97"/>
      <c r="J1948" s="97"/>
      <c r="K1948" s="97"/>
      <c r="L1948" s="153"/>
      <c r="M1948" s="97"/>
      <c r="N1948" s="97"/>
      <c r="O1948" s="97"/>
      <c r="P1948" s="97"/>
      <c r="Q1948" s="97"/>
      <c r="R1948" s="135"/>
      <c r="S1948" s="135"/>
      <c r="T1948" s="135"/>
      <c r="U1948" s="135"/>
      <c r="V1948" s="135"/>
      <c r="W1948" s="137"/>
      <c r="X1948" s="135"/>
      <c r="Y1948" s="135"/>
      <c r="Z1948" s="135"/>
      <c r="AA1948" s="135"/>
      <c r="AB1948" s="135"/>
      <c r="AC1948" s="135"/>
    </row>
    <row r="1949">
      <c r="I1949" s="97"/>
      <c r="J1949" s="97"/>
      <c r="K1949" s="97"/>
      <c r="L1949" s="153"/>
      <c r="M1949" s="97"/>
      <c r="N1949" s="97"/>
      <c r="O1949" s="97"/>
      <c r="P1949" s="97"/>
      <c r="Q1949" s="97"/>
      <c r="R1949" s="135"/>
      <c r="S1949" s="135"/>
      <c r="T1949" s="135"/>
      <c r="U1949" s="135"/>
      <c r="V1949" s="135"/>
      <c r="W1949" s="137"/>
      <c r="X1949" s="135"/>
      <c r="Y1949" s="135"/>
      <c r="Z1949" s="135"/>
      <c r="AA1949" s="135"/>
      <c r="AB1949" s="135"/>
      <c r="AC1949" s="135"/>
    </row>
    <row r="1950">
      <c r="I1950" s="97"/>
      <c r="J1950" s="97"/>
      <c r="K1950" s="97"/>
      <c r="L1950" s="153"/>
      <c r="M1950" s="97"/>
      <c r="N1950" s="97"/>
      <c r="O1950" s="97"/>
      <c r="P1950" s="97"/>
      <c r="Q1950" s="97"/>
      <c r="R1950" s="135"/>
      <c r="S1950" s="135"/>
      <c r="T1950" s="135"/>
      <c r="U1950" s="135"/>
      <c r="V1950" s="135"/>
      <c r="W1950" s="137"/>
      <c r="X1950" s="135"/>
      <c r="Y1950" s="135"/>
      <c r="Z1950" s="135"/>
      <c r="AA1950" s="135"/>
      <c r="AB1950" s="135"/>
      <c r="AC1950" s="135"/>
    </row>
    <row r="1951">
      <c r="I1951" s="97"/>
      <c r="J1951" s="97"/>
      <c r="K1951" s="97"/>
      <c r="L1951" s="153"/>
      <c r="M1951" s="97"/>
      <c r="N1951" s="97"/>
      <c r="O1951" s="97"/>
      <c r="P1951" s="97"/>
      <c r="Q1951" s="97"/>
      <c r="R1951" s="135"/>
      <c r="S1951" s="135"/>
      <c r="T1951" s="135"/>
      <c r="U1951" s="135"/>
      <c r="V1951" s="135"/>
      <c r="W1951" s="137"/>
      <c r="X1951" s="135"/>
      <c r="Y1951" s="135"/>
      <c r="Z1951" s="135"/>
      <c r="AA1951" s="135"/>
      <c r="AB1951" s="135"/>
      <c r="AC1951" s="135"/>
    </row>
    <row r="1952">
      <c r="I1952" s="97"/>
      <c r="J1952" s="97"/>
      <c r="K1952" s="97"/>
      <c r="L1952" s="153"/>
      <c r="M1952" s="97"/>
      <c r="N1952" s="97"/>
      <c r="O1952" s="97"/>
      <c r="P1952" s="97"/>
      <c r="Q1952" s="97"/>
      <c r="R1952" s="135"/>
      <c r="S1952" s="135"/>
      <c r="T1952" s="135"/>
      <c r="U1952" s="135"/>
      <c r="V1952" s="135"/>
      <c r="W1952" s="137"/>
      <c r="X1952" s="135"/>
      <c r="Y1952" s="135"/>
      <c r="Z1952" s="135"/>
      <c r="AA1952" s="135"/>
      <c r="AB1952" s="135"/>
      <c r="AC1952" s="135"/>
    </row>
    <row r="1953">
      <c r="I1953" s="97"/>
      <c r="J1953" s="97"/>
      <c r="K1953" s="97"/>
      <c r="L1953" s="153"/>
      <c r="M1953" s="97"/>
      <c r="N1953" s="97"/>
      <c r="O1953" s="97"/>
      <c r="P1953" s="97"/>
      <c r="Q1953" s="97"/>
      <c r="R1953" s="135"/>
      <c r="S1953" s="135"/>
      <c r="T1953" s="135"/>
      <c r="U1953" s="135"/>
      <c r="V1953" s="135"/>
      <c r="W1953" s="137"/>
      <c r="X1953" s="135"/>
      <c r="Y1953" s="135"/>
      <c r="Z1953" s="135"/>
      <c r="AA1953" s="135"/>
      <c r="AB1953" s="135"/>
      <c r="AC1953" s="135"/>
    </row>
    <row r="1954">
      <c r="I1954" s="97"/>
      <c r="J1954" s="97"/>
      <c r="K1954" s="97"/>
      <c r="L1954" s="153"/>
      <c r="M1954" s="97"/>
      <c r="N1954" s="97"/>
      <c r="O1954" s="97"/>
      <c r="P1954" s="97"/>
      <c r="Q1954" s="97"/>
      <c r="R1954" s="135"/>
      <c r="S1954" s="135"/>
      <c r="T1954" s="135"/>
      <c r="U1954" s="135"/>
      <c r="V1954" s="135"/>
      <c r="W1954" s="137"/>
      <c r="X1954" s="135"/>
      <c r="Y1954" s="135"/>
      <c r="Z1954" s="135"/>
      <c r="AA1954" s="135"/>
      <c r="AB1954" s="135"/>
      <c r="AC1954" s="135"/>
    </row>
    <row r="1955">
      <c r="I1955" s="97"/>
      <c r="J1955" s="97"/>
      <c r="K1955" s="97"/>
      <c r="L1955" s="153"/>
      <c r="M1955" s="97"/>
      <c r="N1955" s="97"/>
      <c r="O1955" s="97"/>
      <c r="P1955" s="97"/>
      <c r="Q1955" s="97"/>
      <c r="R1955" s="135"/>
      <c r="S1955" s="135"/>
      <c r="T1955" s="135"/>
      <c r="U1955" s="135"/>
      <c r="V1955" s="135"/>
      <c r="W1955" s="137"/>
      <c r="X1955" s="135"/>
      <c r="Y1955" s="135"/>
      <c r="Z1955" s="135"/>
      <c r="AA1955" s="135"/>
      <c r="AB1955" s="135"/>
      <c r="AC1955" s="135"/>
    </row>
    <row r="1956">
      <c r="I1956" s="97"/>
      <c r="J1956" s="97"/>
      <c r="K1956" s="97"/>
      <c r="L1956" s="153"/>
      <c r="M1956" s="97"/>
      <c r="N1956" s="97"/>
      <c r="O1956" s="97"/>
      <c r="P1956" s="97"/>
      <c r="Q1956" s="97"/>
      <c r="R1956" s="135"/>
      <c r="S1956" s="135"/>
      <c r="T1956" s="135"/>
      <c r="U1956" s="135"/>
      <c r="V1956" s="135"/>
      <c r="W1956" s="137"/>
      <c r="X1956" s="135"/>
      <c r="Y1956" s="135"/>
      <c r="Z1956" s="135"/>
      <c r="AA1956" s="135"/>
      <c r="AB1956" s="135"/>
      <c r="AC1956" s="135"/>
    </row>
    <row r="1957">
      <c r="I1957" s="97"/>
      <c r="J1957" s="97"/>
      <c r="K1957" s="97"/>
      <c r="L1957" s="153"/>
      <c r="M1957" s="97"/>
      <c r="N1957" s="97"/>
      <c r="O1957" s="97"/>
      <c r="P1957" s="97"/>
      <c r="Q1957" s="97"/>
      <c r="R1957" s="135"/>
      <c r="S1957" s="135"/>
      <c r="T1957" s="135"/>
      <c r="U1957" s="135"/>
      <c r="V1957" s="135"/>
      <c r="W1957" s="137"/>
      <c r="X1957" s="135"/>
      <c r="Y1957" s="135"/>
      <c r="Z1957" s="135"/>
      <c r="AA1957" s="135"/>
      <c r="AB1957" s="135"/>
      <c r="AC1957" s="135"/>
    </row>
    <row r="1958">
      <c r="I1958" s="97"/>
      <c r="J1958" s="97"/>
      <c r="K1958" s="97"/>
      <c r="L1958" s="153"/>
      <c r="M1958" s="97"/>
      <c r="N1958" s="97"/>
      <c r="O1958" s="97"/>
      <c r="P1958" s="97"/>
      <c r="Q1958" s="97"/>
      <c r="R1958" s="135"/>
      <c r="S1958" s="135"/>
      <c r="T1958" s="135"/>
      <c r="U1958" s="135"/>
      <c r="V1958" s="135"/>
      <c r="W1958" s="137"/>
      <c r="X1958" s="135"/>
      <c r="Y1958" s="135"/>
      <c r="Z1958" s="135"/>
      <c r="AA1958" s="135"/>
      <c r="AB1958" s="135"/>
      <c r="AC1958" s="135"/>
    </row>
    <row r="1959">
      <c r="I1959" s="97"/>
      <c r="J1959" s="97"/>
      <c r="K1959" s="97"/>
      <c r="L1959" s="153"/>
      <c r="M1959" s="97"/>
      <c r="N1959" s="97"/>
      <c r="O1959" s="97"/>
      <c r="P1959" s="97"/>
      <c r="Q1959" s="97"/>
      <c r="R1959" s="135"/>
      <c r="S1959" s="135"/>
      <c r="T1959" s="135"/>
      <c r="U1959" s="135"/>
      <c r="V1959" s="135"/>
      <c r="W1959" s="137"/>
      <c r="X1959" s="135"/>
      <c r="Y1959" s="135"/>
      <c r="Z1959" s="135"/>
      <c r="AA1959" s="135"/>
      <c r="AB1959" s="135"/>
      <c r="AC1959" s="135"/>
    </row>
    <row r="1960">
      <c r="I1960" s="97"/>
      <c r="J1960" s="97"/>
      <c r="K1960" s="97"/>
      <c r="L1960" s="153"/>
      <c r="M1960" s="97"/>
      <c r="N1960" s="97"/>
      <c r="O1960" s="97"/>
      <c r="P1960" s="97"/>
      <c r="Q1960" s="97"/>
      <c r="R1960" s="135"/>
      <c r="S1960" s="135"/>
      <c r="T1960" s="135"/>
      <c r="U1960" s="135"/>
      <c r="V1960" s="135"/>
      <c r="W1960" s="137"/>
      <c r="X1960" s="135"/>
      <c r="Y1960" s="135"/>
      <c r="Z1960" s="135"/>
      <c r="AA1960" s="135"/>
      <c r="AB1960" s="135"/>
      <c r="AC1960" s="135"/>
    </row>
    <row r="1961">
      <c r="I1961" s="97"/>
      <c r="J1961" s="97"/>
      <c r="K1961" s="97"/>
      <c r="L1961" s="153"/>
      <c r="M1961" s="97"/>
      <c r="N1961" s="97"/>
      <c r="O1961" s="97"/>
      <c r="P1961" s="97"/>
      <c r="Q1961" s="97"/>
      <c r="R1961" s="135"/>
      <c r="S1961" s="135"/>
      <c r="T1961" s="135"/>
      <c r="U1961" s="135"/>
      <c r="V1961" s="135"/>
      <c r="W1961" s="137"/>
      <c r="X1961" s="135"/>
      <c r="Y1961" s="135"/>
      <c r="Z1961" s="135"/>
      <c r="AA1961" s="135"/>
      <c r="AB1961" s="135"/>
      <c r="AC1961" s="135"/>
    </row>
    <row r="1962">
      <c r="I1962" s="97"/>
      <c r="J1962" s="97"/>
      <c r="K1962" s="97"/>
      <c r="L1962" s="153"/>
      <c r="M1962" s="97"/>
      <c r="N1962" s="97"/>
      <c r="O1962" s="97"/>
      <c r="P1962" s="97"/>
      <c r="Q1962" s="97"/>
      <c r="R1962" s="135"/>
      <c r="S1962" s="135"/>
      <c r="T1962" s="135"/>
      <c r="U1962" s="135"/>
      <c r="V1962" s="135"/>
      <c r="W1962" s="137"/>
      <c r="X1962" s="135"/>
      <c r="Y1962" s="135"/>
      <c r="Z1962" s="135"/>
      <c r="AA1962" s="135"/>
      <c r="AB1962" s="135"/>
      <c r="AC1962" s="135"/>
    </row>
    <row r="1963">
      <c r="I1963" s="97"/>
      <c r="J1963" s="97"/>
      <c r="K1963" s="97"/>
      <c r="L1963" s="153"/>
      <c r="M1963" s="97"/>
      <c r="N1963" s="97"/>
      <c r="O1963" s="97"/>
      <c r="P1963" s="97"/>
      <c r="Q1963" s="97"/>
      <c r="R1963" s="135"/>
      <c r="S1963" s="135"/>
      <c r="T1963" s="135"/>
      <c r="U1963" s="135"/>
      <c r="V1963" s="135"/>
      <c r="W1963" s="137"/>
      <c r="X1963" s="135"/>
      <c r="Y1963" s="135"/>
      <c r="Z1963" s="135"/>
      <c r="AA1963" s="135"/>
      <c r="AB1963" s="135"/>
      <c r="AC1963" s="135"/>
    </row>
    <row r="1964">
      <c r="I1964" s="97"/>
      <c r="J1964" s="97"/>
      <c r="K1964" s="97"/>
      <c r="L1964" s="153"/>
      <c r="M1964" s="97"/>
      <c r="N1964" s="97"/>
      <c r="O1964" s="97"/>
      <c r="P1964" s="97"/>
      <c r="Q1964" s="97"/>
      <c r="R1964" s="135"/>
      <c r="S1964" s="135"/>
      <c r="T1964" s="135"/>
      <c r="U1964" s="135"/>
      <c r="V1964" s="135"/>
      <c r="W1964" s="137"/>
      <c r="X1964" s="135"/>
      <c r="Y1964" s="135"/>
      <c r="Z1964" s="135"/>
      <c r="AA1964" s="135"/>
      <c r="AB1964" s="135"/>
      <c r="AC1964" s="135"/>
    </row>
    <row r="1965">
      <c r="I1965" s="97"/>
      <c r="J1965" s="97"/>
      <c r="K1965" s="97"/>
      <c r="L1965" s="153"/>
      <c r="M1965" s="97"/>
      <c r="N1965" s="97"/>
      <c r="O1965" s="97"/>
      <c r="P1965" s="97"/>
      <c r="Q1965" s="97"/>
      <c r="R1965" s="135"/>
      <c r="S1965" s="135"/>
      <c r="T1965" s="135"/>
      <c r="U1965" s="135"/>
      <c r="V1965" s="135"/>
      <c r="W1965" s="137"/>
      <c r="X1965" s="135"/>
      <c r="Y1965" s="135"/>
      <c r="Z1965" s="135"/>
      <c r="AA1965" s="135"/>
      <c r="AB1965" s="135"/>
      <c r="AC1965" s="135"/>
    </row>
    <row r="1966">
      <c r="I1966" s="97"/>
      <c r="J1966" s="97"/>
      <c r="K1966" s="97"/>
      <c r="L1966" s="153"/>
      <c r="M1966" s="97"/>
      <c r="N1966" s="97"/>
      <c r="O1966" s="97"/>
      <c r="P1966" s="97"/>
      <c r="Q1966" s="97"/>
      <c r="R1966" s="135"/>
      <c r="S1966" s="135"/>
      <c r="T1966" s="135"/>
      <c r="U1966" s="135"/>
      <c r="V1966" s="135"/>
      <c r="W1966" s="137"/>
      <c r="X1966" s="135"/>
      <c r="Y1966" s="135"/>
      <c r="Z1966" s="135"/>
      <c r="AA1966" s="135"/>
      <c r="AB1966" s="135"/>
      <c r="AC1966" s="135"/>
    </row>
    <row r="1967">
      <c r="I1967" s="97"/>
      <c r="J1967" s="97"/>
      <c r="K1967" s="97"/>
      <c r="L1967" s="153"/>
      <c r="M1967" s="97"/>
      <c r="N1967" s="97"/>
      <c r="O1967" s="97"/>
      <c r="P1967" s="97"/>
      <c r="Q1967" s="97"/>
      <c r="R1967" s="135"/>
      <c r="S1967" s="135"/>
      <c r="T1967" s="135"/>
      <c r="U1967" s="135"/>
      <c r="V1967" s="135"/>
      <c r="W1967" s="137"/>
      <c r="X1967" s="135"/>
      <c r="Y1967" s="135"/>
      <c r="Z1967" s="135"/>
      <c r="AA1967" s="135"/>
      <c r="AB1967" s="135"/>
      <c r="AC1967" s="135"/>
    </row>
    <row r="1968">
      <c r="I1968" s="97"/>
      <c r="J1968" s="97"/>
      <c r="K1968" s="97"/>
      <c r="L1968" s="153"/>
      <c r="M1968" s="97"/>
      <c r="N1968" s="97"/>
      <c r="O1968" s="97"/>
      <c r="P1968" s="97"/>
      <c r="Q1968" s="97"/>
      <c r="R1968" s="135"/>
      <c r="S1968" s="135"/>
      <c r="T1968" s="135"/>
      <c r="U1968" s="135"/>
      <c r="V1968" s="135"/>
      <c r="W1968" s="137"/>
      <c r="X1968" s="135"/>
      <c r="Y1968" s="135"/>
      <c r="Z1968" s="135"/>
      <c r="AA1968" s="135"/>
      <c r="AB1968" s="135"/>
      <c r="AC1968" s="135"/>
    </row>
    <row r="1969">
      <c r="I1969" s="97"/>
      <c r="J1969" s="97"/>
      <c r="K1969" s="97"/>
      <c r="L1969" s="153"/>
      <c r="M1969" s="97"/>
      <c r="N1969" s="97"/>
      <c r="O1969" s="97"/>
      <c r="P1969" s="97"/>
      <c r="Q1969" s="97"/>
      <c r="R1969" s="135"/>
      <c r="S1969" s="135"/>
      <c r="T1969" s="135"/>
      <c r="U1969" s="135"/>
      <c r="V1969" s="135"/>
      <c r="W1969" s="137"/>
      <c r="X1969" s="135"/>
      <c r="Y1969" s="135"/>
      <c r="Z1969" s="135"/>
      <c r="AA1969" s="135"/>
      <c r="AB1969" s="135"/>
      <c r="AC1969" s="135"/>
    </row>
    <row r="1970">
      <c r="I1970" s="97"/>
      <c r="J1970" s="97"/>
      <c r="K1970" s="97"/>
      <c r="L1970" s="153"/>
      <c r="M1970" s="97"/>
      <c r="N1970" s="97"/>
      <c r="O1970" s="97"/>
      <c r="P1970" s="97"/>
      <c r="Q1970" s="97"/>
      <c r="R1970" s="135"/>
      <c r="S1970" s="135"/>
      <c r="T1970" s="135"/>
      <c r="U1970" s="135"/>
      <c r="V1970" s="135"/>
      <c r="W1970" s="137"/>
      <c r="X1970" s="135"/>
      <c r="Y1970" s="135"/>
      <c r="Z1970" s="135"/>
      <c r="AA1970" s="135"/>
      <c r="AB1970" s="135"/>
      <c r="AC1970" s="135"/>
    </row>
    <row r="1971">
      <c r="I1971" s="97"/>
      <c r="J1971" s="97"/>
      <c r="K1971" s="97"/>
      <c r="L1971" s="153"/>
      <c r="M1971" s="97"/>
      <c r="N1971" s="97"/>
      <c r="O1971" s="97"/>
      <c r="P1971" s="97"/>
      <c r="Q1971" s="97"/>
      <c r="R1971" s="135"/>
      <c r="S1971" s="135"/>
      <c r="T1971" s="135"/>
      <c r="U1971" s="135"/>
      <c r="V1971" s="135"/>
      <c r="W1971" s="137"/>
      <c r="X1971" s="135"/>
      <c r="Y1971" s="135"/>
      <c r="Z1971" s="135"/>
      <c r="AA1971" s="135"/>
      <c r="AB1971" s="135"/>
      <c r="AC1971" s="135"/>
    </row>
    <row r="1972">
      <c r="I1972" s="97"/>
      <c r="J1972" s="97"/>
      <c r="K1972" s="97"/>
      <c r="L1972" s="153"/>
      <c r="M1972" s="97"/>
      <c r="N1972" s="97"/>
      <c r="O1972" s="97"/>
      <c r="P1972" s="97"/>
      <c r="Q1972" s="97"/>
      <c r="R1972" s="135"/>
      <c r="S1972" s="135"/>
      <c r="T1972" s="135"/>
      <c r="U1972" s="135"/>
      <c r="V1972" s="135"/>
      <c r="W1972" s="137"/>
      <c r="X1972" s="135"/>
      <c r="Y1972" s="135"/>
      <c r="Z1972" s="135"/>
      <c r="AA1972" s="135"/>
      <c r="AB1972" s="135"/>
      <c r="AC1972" s="135"/>
    </row>
    <row r="1973">
      <c r="I1973" s="97"/>
      <c r="J1973" s="97"/>
      <c r="K1973" s="97"/>
      <c r="L1973" s="153"/>
      <c r="M1973" s="97"/>
      <c r="N1973" s="97"/>
      <c r="O1973" s="97"/>
      <c r="P1973" s="97"/>
      <c r="Q1973" s="97"/>
      <c r="R1973" s="135"/>
      <c r="S1973" s="135"/>
      <c r="T1973" s="135"/>
      <c r="U1973" s="135"/>
      <c r="V1973" s="135"/>
      <c r="W1973" s="137"/>
      <c r="X1973" s="135"/>
      <c r="Y1973" s="135"/>
      <c r="Z1973" s="135"/>
      <c r="AA1973" s="135"/>
      <c r="AB1973" s="135"/>
      <c r="AC1973" s="135"/>
    </row>
    <row r="1974">
      <c r="I1974" s="97"/>
      <c r="J1974" s="97"/>
      <c r="K1974" s="97"/>
      <c r="L1974" s="153"/>
      <c r="M1974" s="97"/>
      <c r="N1974" s="97"/>
      <c r="O1974" s="97"/>
      <c r="P1974" s="97"/>
      <c r="Q1974" s="97"/>
      <c r="R1974" s="135"/>
      <c r="S1974" s="135"/>
      <c r="T1974" s="135"/>
      <c r="U1974" s="135"/>
      <c r="V1974" s="135"/>
      <c r="W1974" s="137"/>
      <c r="X1974" s="135"/>
      <c r="Y1974" s="135"/>
      <c r="Z1974" s="135"/>
      <c r="AA1974" s="135"/>
      <c r="AB1974" s="135"/>
      <c r="AC1974" s="135"/>
    </row>
    <row r="1975">
      <c r="I1975" s="97"/>
      <c r="J1975" s="97"/>
      <c r="K1975" s="97"/>
      <c r="L1975" s="153"/>
      <c r="M1975" s="97"/>
      <c r="N1975" s="97"/>
      <c r="O1975" s="97"/>
      <c r="P1975" s="97"/>
      <c r="Q1975" s="97"/>
      <c r="R1975" s="135"/>
      <c r="S1975" s="135"/>
      <c r="T1975" s="135"/>
      <c r="U1975" s="135"/>
      <c r="V1975" s="135"/>
      <c r="W1975" s="137"/>
      <c r="X1975" s="135"/>
      <c r="Y1975" s="135"/>
      <c r="Z1975" s="135"/>
      <c r="AA1975" s="135"/>
      <c r="AB1975" s="135"/>
      <c r="AC1975" s="135"/>
    </row>
    <row r="1976">
      <c r="I1976" s="97"/>
      <c r="J1976" s="97"/>
      <c r="K1976" s="97"/>
      <c r="L1976" s="153"/>
      <c r="M1976" s="97"/>
      <c r="N1976" s="97"/>
      <c r="O1976" s="97"/>
      <c r="P1976" s="97"/>
      <c r="Q1976" s="97"/>
      <c r="R1976" s="135"/>
      <c r="S1976" s="135"/>
      <c r="T1976" s="135"/>
      <c r="U1976" s="135"/>
      <c r="V1976" s="135"/>
      <c r="W1976" s="137"/>
      <c r="X1976" s="135"/>
      <c r="Y1976" s="135"/>
      <c r="Z1976" s="135"/>
      <c r="AA1976" s="135"/>
      <c r="AB1976" s="135"/>
      <c r="AC1976" s="135"/>
    </row>
    <row r="1977">
      <c r="I1977" s="97"/>
      <c r="J1977" s="97"/>
      <c r="K1977" s="97"/>
      <c r="L1977" s="153"/>
      <c r="M1977" s="97"/>
      <c r="N1977" s="97"/>
      <c r="O1977" s="97"/>
      <c r="P1977" s="97"/>
      <c r="Q1977" s="97"/>
      <c r="R1977" s="135"/>
      <c r="S1977" s="135"/>
      <c r="T1977" s="135"/>
      <c r="U1977" s="135"/>
      <c r="V1977" s="135"/>
      <c r="W1977" s="137"/>
      <c r="X1977" s="135"/>
      <c r="Y1977" s="135"/>
      <c r="Z1977" s="135"/>
      <c r="AA1977" s="135"/>
      <c r="AB1977" s="135"/>
      <c r="AC1977" s="135"/>
    </row>
    <row r="1978">
      <c r="I1978" s="97"/>
      <c r="J1978" s="97"/>
      <c r="K1978" s="97"/>
      <c r="L1978" s="153"/>
      <c r="M1978" s="97"/>
      <c r="N1978" s="97"/>
      <c r="O1978" s="97"/>
      <c r="P1978" s="97"/>
      <c r="Q1978" s="97"/>
      <c r="R1978" s="135"/>
      <c r="S1978" s="135"/>
      <c r="T1978" s="135"/>
      <c r="U1978" s="135"/>
      <c r="V1978" s="135"/>
      <c r="W1978" s="137"/>
      <c r="X1978" s="135"/>
      <c r="Y1978" s="135"/>
      <c r="Z1978" s="135"/>
      <c r="AA1978" s="135"/>
      <c r="AB1978" s="135"/>
      <c r="AC1978" s="135"/>
    </row>
    <row r="1979">
      <c r="I1979" s="97"/>
      <c r="J1979" s="97"/>
      <c r="K1979" s="97"/>
      <c r="L1979" s="153"/>
      <c r="M1979" s="97"/>
      <c r="N1979" s="97"/>
      <c r="O1979" s="97"/>
      <c r="P1979" s="97"/>
      <c r="Q1979" s="97"/>
      <c r="R1979" s="135"/>
      <c r="S1979" s="135"/>
      <c r="T1979" s="135"/>
      <c r="U1979" s="135"/>
      <c r="V1979" s="135"/>
      <c r="W1979" s="137"/>
      <c r="X1979" s="135"/>
      <c r="Y1979" s="135"/>
      <c r="Z1979" s="135"/>
      <c r="AA1979" s="135"/>
      <c r="AB1979" s="135"/>
      <c r="AC1979" s="135"/>
    </row>
    <row r="1980">
      <c r="I1980" s="97"/>
      <c r="J1980" s="97"/>
      <c r="K1980" s="97"/>
      <c r="L1980" s="153"/>
      <c r="M1980" s="97"/>
      <c r="N1980" s="97"/>
      <c r="O1980" s="97"/>
      <c r="P1980" s="97"/>
      <c r="Q1980" s="97"/>
      <c r="R1980" s="135"/>
      <c r="S1980" s="135"/>
      <c r="T1980" s="135"/>
      <c r="U1980" s="135"/>
      <c r="V1980" s="135"/>
      <c r="W1980" s="137"/>
      <c r="X1980" s="135"/>
      <c r="Y1980" s="135"/>
      <c r="Z1980" s="135"/>
      <c r="AA1980" s="135"/>
      <c r="AB1980" s="135"/>
      <c r="AC1980" s="135"/>
    </row>
    <row r="1981">
      <c r="I1981" s="97"/>
      <c r="J1981" s="97"/>
      <c r="K1981" s="97"/>
      <c r="L1981" s="153"/>
      <c r="M1981" s="97"/>
      <c r="N1981" s="97"/>
      <c r="O1981" s="97"/>
      <c r="P1981" s="97"/>
      <c r="Q1981" s="97"/>
      <c r="R1981" s="135"/>
      <c r="S1981" s="135"/>
      <c r="T1981" s="135"/>
      <c r="U1981" s="135"/>
      <c r="V1981" s="135"/>
      <c r="W1981" s="137"/>
      <c r="X1981" s="135"/>
      <c r="Y1981" s="135"/>
      <c r="Z1981" s="135"/>
      <c r="AA1981" s="135"/>
      <c r="AB1981" s="135"/>
      <c r="AC1981" s="135"/>
    </row>
    <row r="1982">
      <c r="I1982" s="97"/>
      <c r="J1982" s="97"/>
      <c r="K1982" s="97"/>
      <c r="L1982" s="153"/>
      <c r="M1982" s="97"/>
      <c r="N1982" s="97"/>
      <c r="O1982" s="97"/>
      <c r="P1982" s="97"/>
      <c r="Q1982" s="97"/>
      <c r="R1982" s="135"/>
      <c r="S1982" s="135"/>
      <c r="T1982" s="135"/>
      <c r="U1982" s="135"/>
      <c r="V1982" s="135"/>
      <c r="W1982" s="137"/>
      <c r="X1982" s="135"/>
      <c r="Y1982" s="135"/>
      <c r="Z1982" s="135"/>
      <c r="AA1982" s="135"/>
      <c r="AB1982" s="135"/>
      <c r="AC1982" s="135"/>
    </row>
    <row r="1983">
      <c r="I1983" s="97"/>
      <c r="J1983" s="97"/>
      <c r="K1983" s="97"/>
      <c r="L1983" s="153"/>
      <c r="M1983" s="97"/>
      <c r="N1983" s="97"/>
      <c r="O1983" s="97"/>
      <c r="P1983" s="97"/>
      <c r="Q1983" s="97"/>
      <c r="R1983" s="135"/>
      <c r="S1983" s="135"/>
      <c r="T1983" s="135"/>
      <c r="U1983" s="135"/>
      <c r="V1983" s="135"/>
      <c r="W1983" s="137"/>
      <c r="X1983" s="135"/>
      <c r="Y1983" s="135"/>
      <c r="Z1983" s="135"/>
      <c r="AA1983" s="135"/>
      <c r="AB1983" s="135"/>
      <c r="AC1983" s="135"/>
    </row>
    <row r="1984">
      <c r="I1984" s="97"/>
      <c r="J1984" s="97"/>
      <c r="K1984" s="97"/>
      <c r="L1984" s="153"/>
      <c r="M1984" s="97"/>
      <c r="N1984" s="97"/>
      <c r="O1984" s="97"/>
      <c r="P1984" s="97"/>
      <c r="Q1984" s="97"/>
      <c r="R1984" s="135"/>
      <c r="S1984" s="135"/>
      <c r="T1984" s="135"/>
      <c r="U1984" s="135"/>
      <c r="V1984" s="135"/>
      <c r="W1984" s="137"/>
      <c r="X1984" s="135"/>
      <c r="Y1984" s="135"/>
      <c r="Z1984" s="135"/>
      <c r="AA1984" s="135"/>
      <c r="AB1984" s="135"/>
      <c r="AC1984" s="135"/>
    </row>
    <row r="1985">
      <c r="I1985" s="97"/>
      <c r="J1985" s="97"/>
      <c r="K1985" s="97"/>
      <c r="L1985" s="153"/>
      <c r="M1985" s="97"/>
      <c r="N1985" s="97"/>
      <c r="O1985" s="97"/>
      <c r="P1985" s="97"/>
      <c r="Q1985" s="97"/>
      <c r="R1985" s="135"/>
      <c r="S1985" s="135"/>
      <c r="T1985" s="135"/>
      <c r="U1985" s="135"/>
      <c r="V1985" s="135"/>
      <c r="W1985" s="137"/>
      <c r="X1985" s="135"/>
      <c r="Y1985" s="135"/>
      <c r="Z1985" s="135"/>
      <c r="AA1985" s="135"/>
      <c r="AB1985" s="135"/>
      <c r="AC1985" s="135"/>
    </row>
    <row r="1986">
      <c r="I1986" s="97"/>
      <c r="J1986" s="97"/>
      <c r="K1986" s="97"/>
      <c r="L1986" s="153"/>
      <c r="M1986" s="97"/>
      <c r="N1986" s="97"/>
      <c r="O1986" s="97"/>
      <c r="P1986" s="97"/>
      <c r="Q1986" s="97"/>
      <c r="R1986" s="135"/>
      <c r="S1986" s="135"/>
      <c r="T1986" s="135"/>
      <c r="U1986" s="135"/>
      <c r="V1986" s="135"/>
      <c r="W1986" s="137"/>
      <c r="X1986" s="135"/>
      <c r="Y1986" s="135"/>
      <c r="Z1986" s="135"/>
      <c r="AA1986" s="135"/>
      <c r="AB1986" s="135"/>
      <c r="AC1986" s="135"/>
    </row>
    <row r="1987">
      <c r="I1987" s="97"/>
      <c r="J1987" s="97"/>
      <c r="K1987" s="97"/>
      <c r="L1987" s="153"/>
      <c r="M1987" s="97"/>
      <c r="N1987" s="97"/>
      <c r="O1987" s="97"/>
      <c r="P1987" s="97"/>
      <c r="Q1987" s="97"/>
      <c r="R1987" s="135"/>
      <c r="S1987" s="135"/>
      <c r="T1987" s="135"/>
      <c r="U1987" s="135"/>
      <c r="V1987" s="135"/>
      <c r="W1987" s="137"/>
      <c r="X1987" s="135"/>
      <c r="Y1987" s="135"/>
      <c r="Z1987" s="135"/>
      <c r="AA1987" s="135"/>
      <c r="AB1987" s="135"/>
      <c r="AC1987" s="135"/>
    </row>
    <row r="1988">
      <c r="I1988" s="97"/>
      <c r="J1988" s="97"/>
      <c r="K1988" s="97"/>
      <c r="L1988" s="153"/>
      <c r="M1988" s="97"/>
      <c r="N1988" s="97"/>
      <c r="O1988" s="97"/>
      <c r="P1988" s="97"/>
      <c r="Q1988" s="97"/>
      <c r="R1988" s="135"/>
      <c r="S1988" s="135"/>
      <c r="T1988" s="135"/>
      <c r="U1988" s="135"/>
      <c r="V1988" s="135"/>
      <c r="W1988" s="137"/>
      <c r="X1988" s="135"/>
      <c r="Y1988" s="135"/>
      <c r="Z1988" s="135"/>
      <c r="AA1988" s="135"/>
      <c r="AB1988" s="135"/>
      <c r="AC1988" s="135"/>
    </row>
    <row r="1989">
      <c r="I1989" s="97"/>
      <c r="J1989" s="97"/>
      <c r="K1989" s="97"/>
      <c r="L1989" s="153"/>
      <c r="M1989" s="97"/>
      <c r="N1989" s="97"/>
      <c r="O1989" s="97"/>
      <c r="P1989" s="97"/>
      <c r="Q1989" s="97"/>
      <c r="R1989" s="135"/>
      <c r="S1989" s="135"/>
      <c r="T1989" s="135"/>
      <c r="U1989" s="135"/>
      <c r="V1989" s="135"/>
      <c r="W1989" s="137"/>
      <c r="X1989" s="135"/>
      <c r="Y1989" s="135"/>
      <c r="Z1989" s="135"/>
      <c r="AA1989" s="135"/>
      <c r="AB1989" s="135"/>
      <c r="AC1989" s="135"/>
    </row>
    <row r="1990">
      <c r="I1990" s="97"/>
      <c r="J1990" s="97"/>
      <c r="K1990" s="97"/>
      <c r="L1990" s="153"/>
      <c r="M1990" s="97"/>
      <c r="N1990" s="97"/>
      <c r="O1990" s="97"/>
      <c r="P1990" s="97"/>
      <c r="Q1990" s="97"/>
      <c r="R1990" s="135"/>
      <c r="S1990" s="135"/>
      <c r="T1990" s="135"/>
      <c r="U1990" s="135"/>
      <c r="V1990" s="135"/>
      <c r="W1990" s="137"/>
      <c r="X1990" s="135"/>
      <c r="Y1990" s="135"/>
      <c r="Z1990" s="135"/>
      <c r="AA1990" s="135"/>
      <c r="AB1990" s="135"/>
      <c r="AC1990" s="135"/>
    </row>
    <row r="1991">
      <c r="I1991" s="97"/>
      <c r="J1991" s="97"/>
      <c r="K1991" s="97"/>
      <c r="L1991" s="153"/>
      <c r="M1991" s="97"/>
      <c r="N1991" s="97"/>
      <c r="O1991" s="97"/>
      <c r="P1991" s="97"/>
      <c r="Q1991" s="97"/>
      <c r="R1991" s="135"/>
      <c r="S1991" s="135"/>
      <c r="T1991" s="135"/>
      <c r="U1991" s="135"/>
      <c r="V1991" s="135"/>
      <c r="W1991" s="137"/>
      <c r="X1991" s="135"/>
      <c r="Y1991" s="135"/>
      <c r="Z1991" s="135"/>
      <c r="AA1991" s="135"/>
      <c r="AB1991" s="135"/>
      <c r="AC1991" s="135"/>
    </row>
    <row r="1992">
      <c r="I1992" s="97"/>
      <c r="J1992" s="97"/>
      <c r="K1992" s="97"/>
      <c r="L1992" s="153"/>
      <c r="M1992" s="97"/>
      <c r="N1992" s="97"/>
      <c r="O1992" s="97"/>
      <c r="P1992" s="97"/>
      <c r="Q1992" s="97"/>
      <c r="R1992" s="135"/>
      <c r="S1992" s="135"/>
      <c r="T1992" s="135"/>
      <c r="U1992" s="135"/>
      <c r="V1992" s="135"/>
      <c r="W1992" s="137"/>
      <c r="X1992" s="135"/>
      <c r="Y1992" s="135"/>
      <c r="Z1992" s="135"/>
      <c r="AA1992" s="135"/>
      <c r="AB1992" s="135"/>
      <c r="AC1992" s="135"/>
    </row>
    <row r="1993">
      <c r="I1993" s="97"/>
      <c r="J1993" s="97"/>
      <c r="K1993" s="97"/>
      <c r="L1993" s="153"/>
      <c r="M1993" s="97"/>
      <c r="N1993" s="97"/>
      <c r="O1993" s="97"/>
      <c r="P1993" s="97"/>
      <c r="Q1993" s="97"/>
      <c r="R1993" s="135"/>
      <c r="S1993" s="135"/>
      <c r="T1993" s="135"/>
      <c r="U1993" s="135"/>
      <c r="V1993" s="135"/>
      <c r="W1993" s="137"/>
      <c r="X1993" s="135"/>
      <c r="Y1993" s="135"/>
      <c r="Z1993" s="135"/>
      <c r="AA1993" s="135"/>
      <c r="AB1993" s="135"/>
      <c r="AC1993" s="135"/>
    </row>
    <row r="1994">
      <c r="I1994" s="97"/>
      <c r="J1994" s="97"/>
      <c r="K1994" s="97"/>
      <c r="L1994" s="153"/>
      <c r="M1994" s="97"/>
      <c r="N1994" s="97"/>
      <c r="O1994" s="97"/>
      <c r="P1994" s="97"/>
      <c r="Q1994" s="97"/>
      <c r="R1994" s="135"/>
      <c r="S1994" s="135"/>
      <c r="T1994" s="135"/>
      <c r="U1994" s="135"/>
      <c r="V1994" s="135"/>
      <c r="W1994" s="137"/>
      <c r="X1994" s="135"/>
      <c r="Y1994" s="135"/>
      <c r="Z1994" s="135"/>
      <c r="AA1994" s="135"/>
      <c r="AB1994" s="135"/>
      <c r="AC1994" s="135"/>
    </row>
    <row r="1995">
      <c r="I1995" s="97"/>
      <c r="J1995" s="97"/>
      <c r="K1995" s="97"/>
      <c r="L1995" s="153"/>
      <c r="M1995" s="97"/>
      <c r="N1995" s="97"/>
      <c r="O1995" s="97"/>
      <c r="P1995" s="97"/>
      <c r="Q1995" s="97"/>
      <c r="R1995" s="135"/>
      <c r="S1995" s="135"/>
      <c r="T1995" s="135"/>
      <c r="U1995" s="135"/>
      <c r="V1995" s="135"/>
      <c r="W1995" s="137"/>
      <c r="X1995" s="135"/>
      <c r="Y1995" s="135"/>
      <c r="Z1995" s="135"/>
      <c r="AA1995" s="135"/>
      <c r="AB1995" s="135"/>
      <c r="AC1995" s="135"/>
    </row>
    <row r="1996">
      <c r="I1996" s="97"/>
      <c r="J1996" s="97"/>
      <c r="K1996" s="97"/>
      <c r="L1996" s="153"/>
      <c r="M1996" s="97"/>
      <c r="N1996" s="97"/>
      <c r="O1996" s="97"/>
      <c r="P1996" s="97"/>
      <c r="Q1996" s="97"/>
      <c r="R1996" s="135"/>
      <c r="S1996" s="135"/>
      <c r="T1996" s="135"/>
      <c r="U1996" s="135"/>
      <c r="V1996" s="135"/>
      <c r="W1996" s="137"/>
      <c r="X1996" s="135"/>
      <c r="Y1996" s="135"/>
      <c r="Z1996" s="135"/>
      <c r="AA1996" s="135"/>
      <c r="AB1996" s="135"/>
      <c r="AC1996" s="135"/>
    </row>
    <row r="1997">
      <c r="I1997" s="97"/>
      <c r="J1997" s="97"/>
      <c r="K1997" s="97"/>
      <c r="L1997" s="153"/>
      <c r="M1997" s="97"/>
      <c r="N1997" s="97"/>
      <c r="O1997" s="97"/>
      <c r="P1997" s="97"/>
      <c r="Q1997" s="97"/>
      <c r="R1997" s="135"/>
      <c r="S1997" s="135"/>
      <c r="T1997" s="135"/>
      <c r="U1997" s="135"/>
      <c r="V1997" s="135"/>
      <c r="W1997" s="137"/>
      <c r="X1997" s="135"/>
      <c r="Y1997" s="135"/>
      <c r="Z1997" s="135"/>
      <c r="AA1997" s="135"/>
      <c r="AB1997" s="135"/>
      <c r="AC1997" s="135"/>
    </row>
    <row r="1998">
      <c r="I1998" s="97"/>
      <c r="J1998" s="97"/>
      <c r="K1998" s="97"/>
      <c r="L1998" s="153"/>
      <c r="M1998" s="97"/>
      <c r="N1998" s="97"/>
      <c r="O1998" s="97"/>
      <c r="P1998" s="97"/>
      <c r="Q1998" s="97"/>
      <c r="R1998" s="135"/>
      <c r="S1998" s="135"/>
      <c r="T1998" s="135"/>
      <c r="U1998" s="135"/>
      <c r="V1998" s="135"/>
      <c r="W1998" s="137"/>
      <c r="X1998" s="135"/>
      <c r="Y1998" s="135"/>
      <c r="Z1998" s="135"/>
      <c r="AA1998" s="135"/>
      <c r="AB1998" s="135"/>
      <c r="AC1998" s="135"/>
    </row>
    <row r="1999">
      <c r="I1999" s="97"/>
      <c r="J1999" s="97"/>
      <c r="K1999" s="97"/>
      <c r="L1999" s="153"/>
      <c r="M1999" s="97"/>
      <c r="N1999" s="97"/>
      <c r="O1999" s="97"/>
      <c r="P1999" s="97"/>
      <c r="Q1999" s="97"/>
      <c r="R1999" s="135"/>
      <c r="S1999" s="135"/>
      <c r="T1999" s="135"/>
      <c r="U1999" s="135"/>
      <c r="V1999" s="135"/>
      <c r="W1999" s="137"/>
      <c r="X1999" s="135"/>
      <c r="Y1999" s="135"/>
      <c r="Z1999" s="135"/>
      <c r="AA1999" s="135"/>
      <c r="AB1999" s="135"/>
      <c r="AC1999" s="135"/>
    </row>
    <row r="2000">
      <c r="I2000" s="97"/>
      <c r="J2000" s="97"/>
      <c r="K2000" s="97"/>
      <c r="L2000" s="153"/>
      <c r="M2000" s="97"/>
      <c r="N2000" s="97"/>
      <c r="O2000" s="97"/>
      <c r="P2000" s="97"/>
      <c r="Q2000" s="97"/>
      <c r="R2000" s="135"/>
      <c r="S2000" s="135"/>
      <c r="T2000" s="135"/>
      <c r="U2000" s="135"/>
      <c r="V2000" s="135"/>
      <c r="W2000" s="137"/>
      <c r="X2000" s="135"/>
      <c r="Y2000" s="135"/>
      <c r="Z2000" s="135"/>
      <c r="AA2000" s="135"/>
      <c r="AB2000" s="135"/>
      <c r="AC2000" s="135"/>
    </row>
    <row r="2001">
      <c r="I2001" s="97"/>
      <c r="J2001" s="97"/>
      <c r="K2001" s="97"/>
      <c r="L2001" s="153"/>
      <c r="M2001" s="97"/>
      <c r="N2001" s="97"/>
      <c r="O2001" s="97"/>
      <c r="P2001" s="97"/>
      <c r="Q2001" s="97"/>
      <c r="R2001" s="135"/>
      <c r="S2001" s="135"/>
      <c r="T2001" s="135"/>
      <c r="U2001" s="135"/>
      <c r="V2001" s="135"/>
      <c r="W2001" s="137"/>
      <c r="X2001" s="135"/>
      <c r="Y2001" s="135"/>
      <c r="Z2001" s="135"/>
      <c r="AA2001" s="135"/>
      <c r="AB2001" s="135"/>
      <c r="AC2001" s="135"/>
    </row>
    <row r="2002">
      <c r="I2002" s="97"/>
      <c r="J2002" s="97"/>
      <c r="K2002" s="97"/>
      <c r="L2002" s="153"/>
      <c r="M2002" s="97"/>
      <c r="N2002" s="97"/>
      <c r="O2002" s="97"/>
      <c r="P2002" s="97"/>
      <c r="Q2002" s="97"/>
      <c r="R2002" s="135"/>
      <c r="S2002" s="135"/>
      <c r="T2002" s="135"/>
      <c r="U2002" s="135"/>
      <c r="V2002" s="135"/>
      <c r="W2002" s="137"/>
      <c r="X2002" s="135"/>
      <c r="Y2002" s="135"/>
      <c r="Z2002" s="135"/>
      <c r="AA2002" s="135"/>
      <c r="AB2002" s="135"/>
      <c r="AC2002" s="135"/>
    </row>
    <row r="2003">
      <c r="I2003" s="97"/>
      <c r="J2003" s="97"/>
      <c r="K2003" s="97"/>
      <c r="L2003" s="153"/>
      <c r="M2003" s="97"/>
      <c r="N2003" s="97"/>
      <c r="O2003" s="97"/>
      <c r="P2003" s="97"/>
      <c r="Q2003" s="97"/>
      <c r="R2003" s="135"/>
      <c r="S2003" s="135"/>
      <c r="T2003" s="135"/>
      <c r="U2003" s="135"/>
      <c r="V2003" s="135"/>
      <c r="W2003" s="137"/>
      <c r="X2003" s="135"/>
      <c r="Y2003" s="135"/>
      <c r="Z2003" s="135"/>
      <c r="AA2003" s="135"/>
      <c r="AB2003" s="135"/>
      <c r="AC2003" s="135"/>
    </row>
    <row r="2004">
      <c r="I2004" s="97"/>
      <c r="J2004" s="97"/>
      <c r="K2004" s="97"/>
      <c r="L2004" s="153"/>
      <c r="M2004" s="97"/>
      <c r="N2004" s="97"/>
      <c r="O2004" s="97"/>
      <c r="P2004" s="97"/>
      <c r="Q2004" s="97"/>
      <c r="R2004" s="135"/>
      <c r="S2004" s="135"/>
      <c r="T2004" s="135"/>
      <c r="U2004" s="135"/>
      <c r="V2004" s="135"/>
      <c r="W2004" s="137"/>
      <c r="X2004" s="135"/>
      <c r="Y2004" s="135"/>
      <c r="Z2004" s="135"/>
      <c r="AA2004" s="135"/>
      <c r="AB2004" s="135"/>
      <c r="AC2004" s="135"/>
    </row>
    <row r="2005">
      <c r="I2005" s="97"/>
      <c r="J2005" s="97"/>
      <c r="K2005" s="97"/>
      <c r="L2005" s="153"/>
      <c r="M2005" s="97"/>
      <c r="N2005" s="97"/>
      <c r="O2005" s="97"/>
      <c r="P2005" s="97"/>
      <c r="Q2005" s="97"/>
      <c r="R2005" s="135"/>
      <c r="S2005" s="135"/>
      <c r="T2005" s="135"/>
      <c r="U2005" s="135"/>
      <c r="V2005" s="135"/>
      <c r="W2005" s="137"/>
      <c r="X2005" s="135"/>
      <c r="Y2005" s="135"/>
      <c r="Z2005" s="135"/>
      <c r="AA2005" s="135"/>
      <c r="AB2005" s="135"/>
      <c r="AC2005" s="135"/>
    </row>
    <row r="2006">
      <c r="I2006" s="97"/>
      <c r="J2006" s="97"/>
      <c r="K2006" s="97"/>
      <c r="L2006" s="153"/>
      <c r="M2006" s="97"/>
      <c r="N2006" s="97"/>
      <c r="O2006" s="97"/>
      <c r="P2006" s="97"/>
      <c r="Q2006" s="97"/>
      <c r="R2006" s="135"/>
      <c r="S2006" s="135"/>
      <c r="T2006" s="135"/>
      <c r="U2006" s="135"/>
      <c r="V2006" s="135"/>
      <c r="W2006" s="137"/>
      <c r="X2006" s="135"/>
      <c r="Y2006" s="135"/>
      <c r="Z2006" s="135"/>
      <c r="AA2006" s="135"/>
      <c r="AB2006" s="135"/>
      <c r="AC2006" s="135"/>
    </row>
    <row r="2007">
      <c r="I2007" s="97"/>
      <c r="J2007" s="97"/>
      <c r="K2007" s="97"/>
      <c r="L2007" s="153"/>
      <c r="M2007" s="97"/>
      <c r="N2007" s="97"/>
      <c r="O2007" s="97"/>
      <c r="P2007" s="97"/>
      <c r="Q2007" s="97"/>
      <c r="R2007" s="135"/>
      <c r="S2007" s="135"/>
      <c r="T2007" s="135"/>
      <c r="U2007" s="135"/>
      <c r="V2007" s="135"/>
      <c r="W2007" s="137"/>
      <c r="X2007" s="135"/>
      <c r="Y2007" s="135"/>
      <c r="Z2007" s="135"/>
      <c r="AA2007" s="135"/>
      <c r="AB2007" s="135"/>
      <c r="AC2007" s="135"/>
    </row>
    <row r="2008">
      <c r="I2008" s="97"/>
      <c r="J2008" s="97"/>
      <c r="K2008" s="97"/>
      <c r="L2008" s="153"/>
      <c r="M2008" s="97"/>
      <c r="N2008" s="97"/>
      <c r="O2008" s="97"/>
      <c r="P2008" s="97"/>
      <c r="Q2008" s="97"/>
      <c r="R2008" s="135"/>
      <c r="S2008" s="135"/>
      <c r="T2008" s="135"/>
      <c r="U2008" s="135"/>
      <c r="V2008" s="135"/>
      <c r="W2008" s="137"/>
      <c r="X2008" s="135"/>
      <c r="Y2008" s="135"/>
      <c r="Z2008" s="135"/>
      <c r="AA2008" s="135"/>
      <c r="AB2008" s="135"/>
      <c r="AC2008" s="135"/>
    </row>
    <row r="2009">
      <c r="I2009" s="97"/>
      <c r="J2009" s="97"/>
      <c r="K2009" s="97"/>
      <c r="L2009" s="153"/>
      <c r="M2009" s="97"/>
      <c r="N2009" s="97"/>
      <c r="O2009" s="97"/>
      <c r="P2009" s="97"/>
      <c r="Q2009" s="97"/>
      <c r="R2009" s="135"/>
      <c r="S2009" s="135"/>
      <c r="T2009" s="135"/>
      <c r="U2009" s="135"/>
      <c r="V2009" s="135"/>
      <c r="W2009" s="137"/>
      <c r="X2009" s="135"/>
      <c r="Y2009" s="135"/>
      <c r="Z2009" s="135"/>
      <c r="AA2009" s="135"/>
      <c r="AB2009" s="135"/>
      <c r="AC2009" s="135"/>
    </row>
    <row r="2010">
      <c r="I2010" s="97"/>
      <c r="J2010" s="97"/>
      <c r="K2010" s="97"/>
      <c r="L2010" s="153"/>
      <c r="M2010" s="97"/>
      <c r="N2010" s="97"/>
      <c r="O2010" s="97"/>
      <c r="P2010" s="97"/>
      <c r="Q2010" s="97"/>
      <c r="R2010" s="135"/>
      <c r="S2010" s="135"/>
      <c r="T2010" s="135"/>
      <c r="U2010" s="135"/>
      <c r="V2010" s="135"/>
      <c r="W2010" s="137"/>
      <c r="X2010" s="135"/>
      <c r="Y2010" s="135"/>
      <c r="Z2010" s="135"/>
      <c r="AA2010" s="135"/>
      <c r="AB2010" s="135"/>
      <c r="AC2010" s="135"/>
    </row>
    <row r="2011">
      <c r="I2011" s="97"/>
      <c r="J2011" s="97"/>
      <c r="K2011" s="97"/>
      <c r="L2011" s="153"/>
      <c r="M2011" s="97"/>
      <c r="N2011" s="97"/>
      <c r="O2011" s="97"/>
      <c r="P2011" s="97"/>
      <c r="Q2011" s="97"/>
      <c r="R2011" s="135"/>
      <c r="S2011" s="135"/>
      <c r="T2011" s="135"/>
      <c r="U2011" s="135"/>
      <c r="V2011" s="135"/>
      <c r="W2011" s="137"/>
      <c r="X2011" s="135"/>
      <c r="Y2011" s="135"/>
      <c r="Z2011" s="135"/>
      <c r="AA2011" s="135"/>
      <c r="AB2011" s="135"/>
      <c r="AC2011" s="135"/>
    </row>
    <row r="2012">
      <c r="I2012" s="97"/>
      <c r="J2012" s="97"/>
      <c r="K2012" s="97"/>
      <c r="L2012" s="153"/>
      <c r="M2012" s="97"/>
      <c r="N2012" s="97"/>
      <c r="O2012" s="97"/>
      <c r="P2012" s="97"/>
      <c r="Q2012" s="97"/>
      <c r="R2012" s="135"/>
      <c r="S2012" s="135"/>
      <c r="T2012" s="135"/>
      <c r="U2012" s="135"/>
      <c r="V2012" s="135"/>
      <c r="W2012" s="137"/>
      <c r="X2012" s="135"/>
      <c r="Y2012" s="135"/>
      <c r="Z2012" s="135"/>
      <c r="AA2012" s="135"/>
      <c r="AB2012" s="135"/>
      <c r="AC2012" s="135"/>
    </row>
    <row r="2013">
      <c r="I2013" s="97"/>
      <c r="J2013" s="97"/>
      <c r="K2013" s="97"/>
      <c r="L2013" s="153"/>
      <c r="M2013" s="97"/>
      <c r="N2013" s="97"/>
      <c r="O2013" s="97"/>
      <c r="P2013" s="97"/>
      <c r="Q2013" s="97"/>
      <c r="R2013" s="135"/>
      <c r="S2013" s="135"/>
      <c r="T2013" s="135"/>
      <c r="U2013" s="135"/>
      <c r="V2013" s="135"/>
      <c r="W2013" s="137"/>
      <c r="X2013" s="135"/>
      <c r="Y2013" s="135"/>
      <c r="Z2013" s="135"/>
      <c r="AA2013" s="135"/>
      <c r="AB2013" s="135"/>
      <c r="AC2013" s="135"/>
    </row>
    <row r="2014">
      <c r="I2014" s="97"/>
      <c r="J2014" s="97"/>
      <c r="K2014" s="97"/>
      <c r="L2014" s="153"/>
      <c r="M2014" s="97"/>
      <c r="N2014" s="97"/>
      <c r="O2014" s="97"/>
      <c r="P2014" s="97"/>
      <c r="Q2014" s="97"/>
      <c r="R2014" s="135"/>
      <c r="S2014" s="135"/>
      <c r="T2014" s="135"/>
      <c r="U2014" s="135"/>
      <c r="V2014" s="135"/>
      <c r="W2014" s="137"/>
      <c r="X2014" s="135"/>
      <c r="Y2014" s="135"/>
      <c r="Z2014" s="135"/>
      <c r="AA2014" s="135"/>
      <c r="AB2014" s="135"/>
      <c r="AC2014" s="135"/>
    </row>
    <row r="2015">
      <c r="I2015" s="97"/>
      <c r="J2015" s="97"/>
      <c r="K2015" s="97"/>
      <c r="L2015" s="153"/>
      <c r="M2015" s="97"/>
      <c r="N2015" s="97"/>
      <c r="O2015" s="97"/>
      <c r="P2015" s="97"/>
      <c r="Q2015" s="97"/>
      <c r="R2015" s="135"/>
      <c r="S2015" s="135"/>
      <c r="T2015" s="135"/>
      <c r="U2015" s="135"/>
      <c r="V2015" s="135"/>
      <c r="W2015" s="137"/>
      <c r="X2015" s="135"/>
      <c r="Y2015" s="135"/>
      <c r="Z2015" s="135"/>
      <c r="AA2015" s="135"/>
      <c r="AB2015" s="135"/>
      <c r="AC2015" s="135"/>
    </row>
    <row r="2016">
      <c r="I2016" s="97"/>
      <c r="J2016" s="97"/>
      <c r="K2016" s="97"/>
      <c r="L2016" s="153"/>
      <c r="M2016" s="97"/>
      <c r="N2016" s="97"/>
      <c r="O2016" s="97"/>
      <c r="P2016" s="97"/>
      <c r="Q2016" s="97"/>
      <c r="R2016" s="135"/>
      <c r="S2016" s="135"/>
      <c r="T2016" s="135"/>
      <c r="U2016" s="135"/>
      <c r="V2016" s="135"/>
      <c r="W2016" s="137"/>
      <c r="X2016" s="135"/>
      <c r="Y2016" s="135"/>
      <c r="Z2016" s="135"/>
      <c r="AA2016" s="135"/>
      <c r="AB2016" s="135"/>
      <c r="AC2016" s="135"/>
    </row>
    <row r="2017">
      <c r="I2017" s="97"/>
      <c r="J2017" s="97"/>
      <c r="K2017" s="97"/>
      <c r="L2017" s="153"/>
      <c r="M2017" s="97"/>
      <c r="N2017" s="97"/>
      <c r="O2017" s="97"/>
      <c r="P2017" s="97"/>
      <c r="Q2017" s="97"/>
      <c r="R2017" s="135"/>
      <c r="S2017" s="135"/>
      <c r="T2017" s="135"/>
      <c r="U2017" s="135"/>
      <c r="V2017" s="135"/>
      <c r="W2017" s="137"/>
      <c r="X2017" s="135"/>
      <c r="Y2017" s="135"/>
      <c r="Z2017" s="135"/>
      <c r="AA2017" s="135"/>
      <c r="AB2017" s="135"/>
      <c r="AC2017" s="135"/>
    </row>
    <row r="2018">
      <c r="I2018" s="97"/>
      <c r="J2018" s="97"/>
      <c r="K2018" s="97"/>
      <c r="L2018" s="153"/>
      <c r="M2018" s="97"/>
      <c r="N2018" s="97"/>
      <c r="O2018" s="97"/>
      <c r="P2018" s="97"/>
      <c r="Q2018" s="97"/>
      <c r="R2018" s="135"/>
      <c r="S2018" s="135"/>
      <c r="T2018" s="135"/>
      <c r="U2018" s="135"/>
      <c r="V2018" s="135"/>
      <c r="W2018" s="137"/>
      <c r="X2018" s="135"/>
      <c r="Y2018" s="135"/>
      <c r="Z2018" s="135"/>
      <c r="AA2018" s="135"/>
      <c r="AB2018" s="135"/>
      <c r="AC2018" s="135"/>
    </row>
  </sheetData>
  <mergeCells count="42">
    <mergeCell ref="I97:O97"/>
    <mergeCell ref="R97:W97"/>
    <mergeCell ref="H68:H69"/>
    <mergeCell ref="I68:M68"/>
    <mergeCell ref="O68:U68"/>
    <mergeCell ref="H82:H83"/>
    <mergeCell ref="I82:M82"/>
    <mergeCell ref="R82:V82"/>
    <mergeCell ref="H97:H98"/>
    <mergeCell ref="I112:O112"/>
    <mergeCell ref="R112:W112"/>
    <mergeCell ref="I144:O144"/>
    <mergeCell ref="R144:W144"/>
    <mergeCell ref="I174:O174"/>
    <mergeCell ref="J190:O190"/>
    <mergeCell ref="I206:O206"/>
    <mergeCell ref="J222:O222"/>
    <mergeCell ref="I238:O238"/>
    <mergeCell ref="J254:O254"/>
    <mergeCell ref="I270:O270"/>
    <mergeCell ref="J287:O287"/>
    <mergeCell ref="I303:O303"/>
    <mergeCell ref="J319:O319"/>
    <mergeCell ref="I337:O337"/>
    <mergeCell ref="J353:O353"/>
    <mergeCell ref="J385:O385"/>
    <mergeCell ref="I417:Q417"/>
    <mergeCell ref="I450:Q450"/>
    <mergeCell ref="J502:O502"/>
    <mergeCell ref="J534:O534"/>
    <mergeCell ref="I845:N845"/>
    <mergeCell ref="I877:N877"/>
    <mergeCell ref="I908:N908"/>
    <mergeCell ref="I939:N939"/>
    <mergeCell ref="I970:N970"/>
    <mergeCell ref="J566:O566"/>
    <mergeCell ref="J600:O600"/>
    <mergeCell ref="J685:O685"/>
    <mergeCell ref="J717:O717"/>
    <mergeCell ref="I749:N749"/>
    <mergeCell ref="I780:N780"/>
    <mergeCell ref="I812:N812"/>
  </mergeCells>
  <conditionalFormatting sqref="K204">
    <cfRule type="expression" dxfId="6" priority="1">
      <formula>$E188="NGHỈ BÁN"</formula>
    </cfRule>
  </conditionalFormatting>
  <conditionalFormatting sqref="K176:K188">
    <cfRule type="expression" dxfId="6" priority="2">
      <formula>$E176="NGHỈ BÁN"</formula>
    </cfRule>
  </conditionalFormatting>
  <conditionalFormatting sqref="J84:J95 J99:J110 AC99:AC110 AD100:AD110 J114:J125 AC114:AC125 AD115:AD125 AC130:AC141 AD131:AD141 J146:J158 AC146:AC157 AD147:AD157 V176:V187 W177:W187 V192:V203 W193:W203 V208:V219 W209:W219 V224:V235 W225:W235 V240:V251 W241:W251 V256:V267 W257:W267 V272:V283 W273:W283 V289:V300 W290:W300 V305:V316 W306:W316 V321:V332 W322:W332 V339:V350 W340:W350 V355:V366 W356:W366 V370:V381 W371:W381 V387:V398 W388:W398 V402:V414 W403:W414 V419:V430 W420:W430 V435:V446 W436:W446 V452:V464 W453:W464 V468:V479 W469:W479 V487:V498 W488:W498 V504:V516 W505:W516 V520:V532 W521:W532 V536:V548 W537:W548 V552:V564 W553:W564 V567:V579 W568:W579 V584:W614 V616:V629 W616:W628 V634:W646 V650:W662 V669:W681 V684:W699 V701:W713 V717:W731 V733:W745 V749:W763 U750:U763 X750:X763 V765:W777 V780:W794 U781:U794 X781:X794 V797:W809 V812:W826 U813:U826 X813:X826 V830:W842 V845:W859 U846:U859 X846:X859 V861:V862 W861:W874 V877:W891 U878:U891 X878:X891 V893 W893:W905 V908:W922 U909:U922 X909:X922 V924 W924:W936 V939:W953 U940:U953 X940:X953 V955 W955:W967 V970:W984 U971:U984 X971:X984 V988:W1000 U1004:X1017 V1019:W1031 U1035:X1048 V1050:W1062 U1066:U1079 V1066:W1094 X1066:X1079 U1096:X1111 V1114:W1126 U1128:X1143 V1147:W1159 U1163:U1176 V1163:W1189 X1163:X1176 V1193:V1205 W1193:W1204 X1205 U1355:X2018">
    <cfRule type="expression" dxfId="6" priority="3">
      <formula>$E84="NGHỈ BÁN"</formula>
    </cfRule>
  </conditionalFormatting>
  <conditionalFormatting sqref="M2:M13">
    <cfRule type="expression" dxfId="7" priority="4">
      <formula>$L2&lt;5</formula>
    </cfRule>
  </conditionalFormatting>
  <conditionalFormatting sqref="M2:M13">
    <cfRule type="expression" dxfId="8" priority="5">
      <formula>$L2&lt;20</formula>
    </cfRule>
  </conditionalFormatting>
  <dataValidations>
    <dataValidation type="custom" allowBlank="1" showDropDown="1" sqref="Y99:Y110 AA99:AA110 AC99:AC110 Y114:Y125 AA114:AA125 AC114:AC125 Y130:Y141 AA130:AA141 AC130:AC141 Y146:Y157 AA146:AA157 AC146:AC157 S176:T187 V176:V187 S192:T203 V192:V203 S208:T219 V208:V219 S224:T235 V224:V235 S240:T251 V240:V251 S256:T267 V256:V267 S272:T283 V272:V283 S289:T300 V289:V300 S305:T316 V305:V316 S321:T332 V321:V332 S339:T350 V339:V350 S355:T366 V355:V366 S370:T381 V370:V381 S387:T398 V387:V398 S402:T413 V402:V413 S419:T430 V419:V430">
      <formula1>AND(ISNUMBER(S99),(NOT(OR(NOT(ISERROR(DATEVALUE(S99))), AND(ISNUMBER(S99), LEFT(CELL("format", S99))="D")))))</formula1>
    </dataValidation>
  </dataValidations>
  <drawing r:id="rId1"/>
  <tableParts count="122">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5" max="5" width="21.25"/>
    <col customWidth="1" min="6" max="6" width="24.63"/>
    <col customWidth="1" min="7" max="7" width="7.88"/>
    <col customWidth="1" min="8" max="8" width="9.38"/>
    <col customWidth="1" min="9" max="9" width="15.25"/>
    <col customWidth="1" min="10" max="10" width="9.38"/>
  </cols>
  <sheetData>
    <row r="1">
      <c r="A1" s="59" t="s">
        <v>35</v>
      </c>
      <c r="B1" s="59" t="s">
        <v>289</v>
      </c>
      <c r="C1" s="59" t="s">
        <v>290</v>
      </c>
      <c r="D1" s="59" t="s">
        <v>291</v>
      </c>
      <c r="E1" s="59" t="s">
        <v>292</v>
      </c>
      <c r="F1" s="59" t="s">
        <v>206</v>
      </c>
      <c r="G1" s="59" t="s">
        <v>244</v>
      </c>
      <c r="H1" s="59" t="s">
        <v>293</v>
      </c>
      <c r="I1" s="59" t="s">
        <v>245</v>
      </c>
      <c r="J1" s="59" t="s">
        <v>294</v>
      </c>
      <c r="K1" s="59" t="s">
        <v>295</v>
      </c>
      <c r="L1" s="59" t="s">
        <v>296</v>
      </c>
      <c r="M1" s="97"/>
      <c r="N1" s="97"/>
      <c r="O1" s="97"/>
      <c r="P1" s="97"/>
      <c r="Q1" s="97"/>
      <c r="R1" s="97"/>
      <c r="S1" s="97"/>
      <c r="T1" s="97"/>
      <c r="U1" s="97"/>
      <c r="V1" s="97"/>
      <c r="W1" s="97"/>
      <c r="X1" s="97"/>
      <c r="Y1" s="97"/>
      <c r="Z1" s="97"/>
      <c r="AA1" s="97"/>
      <c r="AB1" s="97"/>
      <c r="AC1" s="97"/>
    </row>
    <row r="2">
      <c r="A2" s="4">
        <v>1.0</v>
      </c>
      <c r="B2" s="10">
        <v>46118.0</v>
      </c>
      <c r="C2" s="17" t="s">
        <v>113</v>
      </c>
      <c r="D2" s="17" t="s">
        <v>89</v>
      </c>
      <c r="E2" s="17" t="s">
        <v>82</v>
      </c>
      <c r="F2" s="13" t="s">
        <v>4</v>
      </c>
      <c r="H2" s="115">
        <v>7.0</v>
      </c>
      <c r="I2" s="4">
        <v>0.0</v>
      </c>
      <c r="K2" s="13">
        <f t="array" ref="K2:K1072">IF(E2:E1072="NGHỈ BÁN", 0, IF(F2:F1072="",, G2:G1072 + H2:H1072 - I2:I1072 - J2:J1072))</f>
        <v>7</v>
      </c>
      <c r="L2" s="13">
        <f t="array" ref="L2:L1072">IF(E2:E1072="NGHỈ BÁN", 0, IF(K2:K1072="",, IF(ISNUMBER(SEARCH("Cá hồi", F2:F1072)), K2:K1072*22000, K2:K1072*20000)))</f>
        <v>140000</v>
      </c>
    </row>
    <row r="3">
      <c r="A3" s="4">
        <v>2.0</v>
      </c>
      <c r="B3" s="10">
        <v>46118.0</v>
      </c>
      <c r="C3" s="17" t="s">
        <v>113</v>
      </c>
      <c r="D3" s="17" t="s">
        <v>89</v>
      </c>
      <c r="E3" s="17" t="s">
        <v>82</v>
      </c>
      <c r="F3" s="13" t="s">
        <v>5</v>
      </c>
      <c r="H3" s="4">
        <v>3.0</v>
      </c>
      <c r="I3" s="4">
        <v>0.0</v>
      </c>
      <c r="K3" s="13">
        <v>3.0</v>
      </c>
      <c r="L3" s="13">
        <v>60000.0</v>
      </c>
    </row>
    <row r="4">
      <c r="A4" s="4">
        <v>3.0</v>
      </c>
      <c r="B4" s="10">
        <v>46118.0</v>
      </c>
      <c r="C4" s="17" t="s">
        <v>113</v>
      </c>
      <c r="D4" s="17" t="s">
        <v>89</v>
      </c>
      <c r="E4" s="17" t="s">
        <v>82</v>
      </c>
      <c r="F4" s="13" t="s">
        <v>6</v>
      </c>
      <c r="H4" s="115">
        <v>3.0</v>
      </c>
      <c r="I4" s="4">
        <v>0.0</v>
      </c>
      <c r="K4" s="13">
        <v>3.0</v>
      </c>
      <c r="L4" s="13">
        <v>60000.0</v>
      </c>
    </row>
    <row r="5">
      <c r="A5" s="4">
        <v>4.0</v>
      </c>
      <c r="B5" s="10">
        <v>46118.0</v>
      </c>
      <c r="C5" s="17" t="s">
        <v>113</v>
      </c>
      <c r="D5" s="17" t="s">
        <v>89</v>
      </c>
      <c r="E5" s="17" t="s">
        <v>82</v>
      </c>
      <c r="F5" s="13" t="s">
        <v>7</v>
      </c>
      <c r="H5" s="4">
        <v>3.0</v>
      </c>
      <c r="I5" s="4">
        <v>0.0</v>
      </c>
      <c r="K5" s="13">
        <v>3.0</v>
      </c>
      <c r="L5" s="13">
        <v>60000.0</v>
      </c>
    </row>
    <row r="6">
      <c r="A6" s="4">
        <v>5.0</v>
      </c>
      <c r="B6" s="10">
        <v>46118.0</v>
      </c>
      <c r="C6" s="17" t="s">
        <v>113</v>
      </c>
      <c r="D6" s="17" t="s">
        <v>89</v>
      </c>
      <c r="E6" s="17" t="s">
        <v>82</v>
      </c>
      <c r="F6" s="13" t="s">
        <v>8</v>
      </c>
      <c r="H6" s="115">
        <v>5.0</v>
      </c>
      <c r="I6" s="4">
        <v>0.0</v>
      </c>
      <c r="K6" s="13">
        <v>5.0</v>
      </c>
      <c r="L6" s="13">
        <v>100000.0</v>
      </c>
    </row>
    <row r="7">
      <c r="A7" s="4">
        <v>6.0</v>
      </c>
      <c r="B7" s="10">
        <v>46118.0</v>
      </c>
      <c r="C7" s="17" t="s">
        <v>113</v>
      </c>
      <c r="D7" s="17" t="s">
        <v>89</v>
      </c>
      <c r="E7" s="17" t="s">
        <v>82</v>
      </c>
      <c r="F7" s="13" t="s">
        <v>9</v>
      </c>
      <c r="H7" s="4">
        <v>5.0</v>
      </c>
      <c r="I7" s="4">
        <v>0.0</v>
      </c>
      <c r="K7" s="13">
        <v>5.0</v>
      </c>
      <c r="L7" s="13">
        <v>100000.0</v>
      </c>
    </row>
    <row r="8">
      <c r="A8" s="4">
        <v>7.0</v>
      </c>
      <c r="B8" s="10">
        <v>46118.0</v>
      </c>
      <c r="C8" s="17" t="s">
        <v>113</v>
      </c>
      <c r="D8" s="17" t="s">
        <v>89</v>
      </c>
      <c r="E8" s="17" t="s">
        <v>82</v>
      </c>
      <c r="F8" s="13" t="s">
        <v>10</v>
      </c>
      <c r="H8" s="115">
        <v>2.0</v>
      </c>
      <c r="I8" s="4">
        <v>0.0</v>
      </c>
      <c r="K8" s="13">
        <v>2.0</v>
      </c>
      <c r="L8" s="13">
        <v>40000.0</v>
      </c>
    </row>
    <row r="9">
      <c r="A9" s="4">
        <v>8.0</v>
      </c>
      <c r="B9" s="10">
        <v>46118.0</v>
      </c>
      <c r="C9" s="17" t="s">
        <v>113</v>
      </c>
      <c r="D9" s="17" t="s">
        <v>89</v>
      </c>
      <c r="E9" s="17" t="s">
        <v>82</v>
      </c>
      <c r="F9" s="13" t="s">
        <v>11</v>
      </c>
      <c r="H9" s="4">
        <v>3.0</v>
      </c>
      <c r="I9" s="4">
        <v>0.0</v>
      </c>
      <c r="K9" s="13">
        <v>3.0</v>
      </c>
      <c r="L9" s="13">
        <v>60000.0</v>
      </c>
    </row>
    <row r="10">
      <c r="A10" s="4">
        <v>9.0</v>
      </c>
      <c r="B10" s="10">
        <v>46118.0</v>
      </c>
      <c r="C10" s="17" t="s">
        <v>113</v>
      </c>
      <c r="D10" s="17" t="s">
        <v>89</v>
      </c>
      <c r="E10" s="17" t="s">
        <v>82</v>
      </c>
      <c r="F10" s="13" t="s">
        <v>12</v>
      </c>
      <c r="H10" s="115">
        <v>7.0</v>
      </c>
      <c r="I10" s="4">
        <v>0.0</v>
      </c>
      <c r="K10" s="13">
        <v>7.0</v>
      </c>
      <c r="L10" s="13">
        <v>140000.0</v>
      </c>
    </row>
    <row r="11">
      <c r="A11" s="4">
        <v>10.0</v>
      </c>
      <c r="B11" s="10">
        <v>46118.0</v>
      </c>
      <c r="C11" s="17" t="s">
        <v>113</v>
      </c>
      <c r="D11" s="17" t="s">
        <v>89</v>
      </c>
      <c r="E11" s="17" t="s">
        <v>82</v>
      </c>
      <c r="F11" s="13" t="s">
        <v>13</v>
      </c>
      <c r="H11" s="4">
        <v>3.0</v>
      </c>
      <c r="I11" s="4">
        <v>0.0</v>
      </c>
      <c r="K11" s="13">
        <v>3.0</v>
      </c>
      <c r="L11" s="13">
        <v>60000.0</v>
      </c>
    </row>
    <row r="12">
      <c r="A12" s="4">
        <v>11.0</v>
      </c>
      <c r="B12" s="10">
        <v>46118.0</v>
      </c>
      <c r="C12" s="17" t="s">
        <v>113</v>
      </c>
      <c r="D12" s="17" t="s">
        <v>89</v>
      </c>
      <c r="E12" s="17" t="s">
        <v>82</v>
      </c>
      <c r="F12" s="4" t="s">
        <v>297</v>
      </c>
      <c r="H12" s="115">
        <v>3.0</v>
      </c>
      <c r="I12" s="4">
        <v>0.0</v>
      </c>
      <c r="K12" s="13">
        <v>3.0</v>
      </c>
      <c r="L12" s="13">
        <v>66000.0</v>
      </c>
    </row>
    <row r="13">
      <c r="A13" s="4">
        <v>12.0</v>
      </c>
      <c r="B13" s="10">
        <v>46118.0</v>
      </c>
      <c r="C13" s="17" t="s">
        <v>113</v>
      </c>
      <c r="D13" s="17" t="s">
        <v>89</v>
      </c>
      <c r="E13" s="17" t="s">
        <v>82</v>
      </c>
      <c r="F13" s="13" t="s">
        <v>15</v>
      </c>
      <c r="H13" s="4">
        <v>30.0</v>
      </c>
      <c r="I13" s="4">
        <v>0.0</v>
      </c>
      <c r="K13" s="13">
        <v>30.0</v>
      </c>
      <c r="L13" s="13">
        <v>600000.0</v>
      </c>
    </row>
    <row r="14">
      <c r="A14" s="4">
        <v>13.0</v>
      </c>
      <c r="B14" s="10">
        <v>46118.0</v>
      </c>
      <c r="C14" s="17" t="s">
        <v>114</v>
      </c>
      <c r="D14" s="17" t="s">
        <v>89</v>
      </c>
      <c r="E14" s="17" t="s">
        <v>60</v>
      </c>
      <c r="F14" s="13" t="s">
        <v>4</v>
      </c>
      <c r="G14" s="13">
        <f t="shared" ref="G14:G25" si="1">I2</f>
        <v>0</v>
      </c>
      <c r="K14" s="13">
        <v>0.0</v>
      </c>
      <c r="L14" s="13">
        <v>0.0</v>
      </c>
    </row>
    <row r="15">
      <c r="A15" s="4">
        <v>14.0</v>
      </c>
      <c r="B15" s="10">
        <v>46118.0</v>
      </c>
      <c r="C15" s="17" t="s">
        <v>114</v>
      </c>
      <c r="D15" s="17" t="s">
        <v>89</v>
      </c>
      <c r="E15" s="17" t="s">
        <v>60</v>
      </c>
      <c r="F15" s="13" t="s">
        <v>5</v>
      </c>
      <c r="G15" s="13">
        <f t="shared" si="1"/>
        <v>0</v>
      </c>
      <c r="K15" s="13">
        <v>0.0</v>
      </c>
      <c r="L15" s="13">
        <v>0.0</v>
      </c>
    </row>
    <row r="16">
      <c r="A16" s="4">
        <v>15.0</v>
      </c>
      <c r="B16" s="10">
        <v>46118.0</v>
      </c>
      <c r="C16" s="17" t="s">
        <v>114</v>
      </c>
      <c r="D16" s="17" t="s">
        <v>89</v>
      </c>
      <c r="E16" s="17" t="s">
        <v>60</v>
      </c>
      <c r="F16" s="13" t="s">
        <v>6</v>
      </c>
      <c r="G16" s="13">
        <f t="shared" si="1"/>
        <v>0</v>
      </c>
      <c r="K16" s="13">
        <v>0.0</v>
      </c>
      <c r="L16" s="13">
        <v>0.0</v>
      </c>
    </row>
    <row r="17">
      <c r="A17" s="4">
        <v>16.0</v>
      </c>
      <c r="B17" s="10">
        <v>46118.0</v>
      </c>
      <c r="C17" s="17" t="s">
        <v>114</v>
      </c>
      <c r="D17" s="17" t="s">
        <v>89</v>
      </c>
      <c r="E17" s="17" t="s">
        <v>60</v>
      </c>
      <c r="F17" s="13" t="s">
        <v>7</v>
      </c>
      <c r="G17" s="13">
        <f t="shared" si="1"/>
        <v>0</v>
      </c>
      <c r="K17" s="13">
        <v>0.0</v>
      </c>
      <c r="L17" s="13">
        <v>0.0</v>
      </c>
    </row>
    <row r="18">
      <c r="A18" s="4">
        <v>17.0</v>
      </c>
      <c r="B18" s="10">
        <v>46118.0</v>
      </c>
      <c r="C18" s="17" t="s">
        <v>114</v>
      </c>
      <c r="D18" s="17" t="s">
        <v>89</v>
      </c>
      <c r="E18" s="17" t="s">
        <v>60</v>
      </c>
      <c r="F18" s="13" t="s">
        <v>8</v>
      </c>
      <c r="G18" s="13">
        <f t="shared" si="1"/>
        <v>0</v>
      </c>
      <c r="K18" s="13">
        <v>0.0</v>
      </c>
      <c r="L18" s="13">
        <v>0.0</v>
      </c>
    </row>
    <row r="19">
      <c r="A19" s="4">
        <v>18.0</v>
      </c>
      <c r="B19" s="10">
        <v>46118.0</v>
      </c>
      <c r="C19" s="17" t="s">
        <v>114</v>
      </c>
      <c r="D19" s="17" t="s">
        <v>89</v>
      </c>
      <c r="E19" s="17" t="s">
        <v>60</v>
      </c>
      <c r="F19" s="13" t="s">
        <v>9</v>
      </c>
      <c r="G19" s="13">
        <f t="shared" si="1"/>
        <v>0</v>
      </c>
      <c r="K19" s="13">
        <v>0.0</v>
      </c>
      <c r="L19" s="13">
        <v>0.0</v>
      </c>
    </row>
    <row r="20">
      <c r="A20" s="4">
        <v>19.0</v>
      </c>
      <c r="B20" s="10">
        <v>46118.0</v>
      </c>
      <c r="C20" s="17" t="s">
        <v>114</v>
      </c>
      <c r="D20" s="17" t="s">
        <v>89</v>
      </c>
      <c r="E20" s="17" t="s">
        <v>60</v>
      </c>
      <c r="F20" s="13" t="s">
        <v>10</v>
      </c>
      <c r="G20" s="13">
        <f t="shared" si="1"/>
        <v>0</v>
      </c>
      <c r="K20" s="13">
        <v>0.0</v>
      </c>
      <c r="L20" s="13">
        <v>0.0</v>
      </c>
    </row>
    <row r="21">
      <c r="A21" s="4">
        <v>20.0</v>
      </c>
      <c r="B21" s="10">
        <v>46118.0</v>
      </c>
      <c r="C21" s="17" t="s">
        <v>114</v>
      </c>
      <c r="D21" s="17" t="s">
        <v>89</v>
      </c>
      <c r="E21" s="17" t="s">
        <v>60</v>
      </c>
      <c r="F21" s="13" t="s">
        <v>11</v>
      </c>
      <c r="G21" s="13">
        <f t="shared" si="1"/>
        <v>0</v>
      </c>
      <c r="K21" s="13">
        <v>0.0</v>
      </c>
      <c r="L21" s="13">
        <v>0.0</v>
      </c>
    </row>
    <row r="22">
      <c r="A22" s="4">
        <v>21.0</v>
      </c>
      <c r="B22" s="10">
        <v>46118.0</v>
      </c>
      <c r="C22" s="17" t="s">
        <v>114</v>
      </c>
      <c r="D22" s="17" t="s">
        <v>89</v>
      </c>
      <c r="E22" s="17" t="s">
        <v>60</v>
      </c>
      <c r="F22" s="13" t="s">
        <v>12</v>
      </c>
      <c r="G22" s="13">
        <f t="shared" si="1"/>
        <v>0</v>
      </c>
      <c r="K22" s="13">
        <v>0.0</v>
      </c>
      <c r="L22" s="13">
        <v>0.0</v>
      </c>
    </row>
    <row r="23">
      <c r="A23" s="4">
        <v>22.0</v>
      </c>
      <c r="B23" s="10">
        <v>46118.0</v>
      </c>
      <c r="C23" s="17" t="s">
        <v>114</v>
      </c>
      <c r="D23" s="17" t="s">
        <v>89</v>
      </c>
      <c r="E23" s="17" t="s">
        <v>60</v>
      </c>
      <c r="F23" s="13" t="s">
        <v>13</v>
      </c>
      <c r="G23" s="13">
        <f t="shared" si="1"/>
        <v>0</v>
      </c>
      <c r="K23" s="13">
        <v>0.0</v>
      </c>
      <c r="L23" s="13">
        <v>0.0</v>
      </c>
    </row>
    <row r="24">
      <c r="A24" s="4">
        <v>23.0</v>
      </c>
      <c r="B24" s="10">
        <v>46118.0</v>
      </c>
      <c r="C24" s="17" t="s">
        <v>114</v>
      </c>
      <c r="D24" s="17" t="s">
        <v>89</v>
      </c>
      <c r="E24" s="17" t="s">
        <v>60</v>
      </c>
      <c r="F24" s="13" t="s">
        <v>14</v>
      </c>
      <c r="G24" s="13">
        <f t="shared" si="1"/>
        <v>0</v>
      </c>
      <c r="K24" s="13">
        <v>0.0</v>
      </c>
      <c r="L24" s="13">
        <v>0.0</v>
      </c>
    </row>
    <row r="25">
      <c r="A25" s="4">
        <v>24.0</v>
      </c>
      <c r="B25" s="10">
        <v>46118.0</v>
      </c>
      <c r="C25" s="17" t="s">
        <v>114</v>
      </c>
      <c r="D25" s="17" t="s">
        <v>89</v>
      </c>
      <c r="E25" s="17" t="s">
        <v>60</v>
      </c>
      <c r="F25" s="13" t="s">
        <v>15</v>
      </c>
      <c r="G25" s="13">
        <f t="shared" si="1"/>
        <v>0</v>
      </c>
      <c r="K25" s="13">
        <v>0.0</v>
      </c>
      <c r="L25" s="13">
        <v>0.0</v>
      </c>
    </row>
    <row r="26">
      <c r="A26" s="4">
        <v>25.0</v>
      </c>
      <c r="B26" s="10">
        <v>46118.0</v>
      </c>
      <c r="C26" s="17" t="s">
        <v>113</v>
      </c>
      <c r="D26" s="17" t="s">
        <v>80</v>
      </c>
      <c r="E26" s="17" t="s">
        <v>298</v>
      </c>
      <c r="F26" s="13" t="s">
        <v>4</v>
      </c>
      <c r="H26" s="115">
        <v>7.0</v>
      </c>
      <c r="I26" s="4">
        <v>0.0</v>
      </c>
      <c r="K26" s="13">
        <v>7.0</v>
      </c>
      <c r="L26" s="13">
        <v>140000.0</v>
      </c>
    </row>
    <row r="27">
      <c r="A27" s="4">
        <v>26.0</v>
      </c>
      <c r="B27" s="10">
        <v>46118.0</v>
      </c>
      <c r="C27" s="17" t="s">
        <v>113</v>
      </c>
      <c r="D27" s="17" t="s">
        <v>80</v>
      </c>
      <c r="E27" s="17" t="s">
        <v>298</v>
      </c>
      <c r="F27" s="13" t="s">
        <v>5</v>
      </c>
      <c r="H27" s="4">
        <v>3.0</v>
      </c>
      <c r="I27" s="4">
        <v>0.0</v>
      </c>
      <c r="K27" s="13">
        <v>3.0</v>
      </c>
      <c r="L27" s="13">
        <v>60000.0</v>
      </c>
    </row>
    <row r="28">
      <c r="A28" s="4">
        <v>27.0</v>
      </c>
      <c r="B28" s="10">
        <v>46118.0</v>
      </c>
      <c r="C28" s="17" t="s">
        <v>113</v>
      </c>
      <c r="D28" s="17" t="s">
        <v>80</v>
      </c>
      <c r="E28" s="17" t="s">
        <v>298</v>
      </c>
      <c r="F28" s="13" t="s">
        <v>6</v>
      </c>
      <c r="H28" s="115">
        <v>4.0</v>
      </c>
      <c r="I28" s="4">
        <v>0.0</v>
      </c>
      <c r="K28" s="13">
        <v>4.0</v>
      </c>
      <c r="L28" s="13">
        <v>80000.0</v>
      </c>
    </row>
    <row r="29">
      <c r="A29" s="4">
        <v>28.0</v>
      </c>
      <c r="B29" s="10">
        <v>46118.0</v>
      </c>
      <c r="C29" s="17" t="s">
        <v>113</v>
      </c>
      <c r="D29" s="17" t="s">
        <v>80</v>
      </c>
      <c r="E29" s="17" t="s">
        <v>298</v>
      </c>
      <c r="F29" s="13" t="s">
        <v>7</v>
      </c>
      <c r="H29" s="4">
        <v>3.0</v>
      </c>
      <c r="I29" s="4">
        <v>0.0</v>
      </c>
      <c r="K29" s="13">
        <v>3.0</v>
      </c>
      <c r="L29" s="13">
        <v>60000.0</v>
      </c>
    </row>
    <row r="30">
      <c r="A30" s="4">
        <v>29.0</v>
      </c>
      <c r="B30" s="10">
        <v>46118.0</v>
      </c>
      <c r="C30" s="17" t="s">
        <v>113</v>
      </c>
      <c r="D30" s="17" t="s">
        <v>80</v>
      </c>
      <c r="E30" s="17" t="s">
        <v>298</v>
      </c>
      <c r="F30" s="13" t="s">
        <v>8</v>
      </c>
      <c r="H30" s="115">
        <v>4.0</v>
      </c>
      <c r="I30" s="4">
        <v>0.0</v>
      </c>
      <c r="K30" s="13">
        <v>4.0</v>
      </c>
      <c r="L30" s="13">
        <v>80000.0</v>
      </c>
    </row>
    <row r="31">
      <c r="A31" s="4">
        <v>30.0</v>
      </c>
      <c r="B31" s="10">
        <v>46118.0</v>
      </c>
      <c r="C31" s="17" t="s">
        <v>113</v>
      </c>
      <c r="D31" s="17" t="s">
        <v>80</v>
      </c>
      <c r="E31" s="17" t="s">
        <v>298</v>
      </c>
      <c r="F31" s="13" t="s">
        <v>9</v>
      </c>
      <c r="H31" s="4">
        <v>6.0</v>
      </c>
      <c r="I31" s="4">
        <v>0.0</v>
      </c>
      <c r="K31" s="13">
        <v>6.0</v>
      </c>
      <c r="L31" s="13">
        <v>120000.0</v>
      </c>
    </row>
    <row r="32">
      <c r="A32" s="4">
        <v>31.0</v>
      </c>
      <c r="B32" s="10">
        <v>46118.0</v>
      </c>
      <c r="C32" s="17" t="s">
        <v>113</v>
      </c>
      <c r="D32" s="17" t="s">
        <v>80</v>
      </c>
      <c r="E32" s="17" t="s">
        <v>298</v>
      </c>
      <c r="F32" s="13" t="s">
        <v>10</v>
      </c>
      <c r="H32" s="115">
        <v>3.0</v>
      </c>
      <c r="I32" s="4">
        <v>0.0</v>
      </c>
      <c r="K32" s="13">
        <v>3.0</v>
      </c>
      <c r="L32" s="13">
        <v>60000.0</v>
      </c>
    </row>
    <row r="33">
      <c r="A33" s="4">
        <v>32.0</v>
      </c>
      <c r="B33" s="10">
        <v>46118.0</v>
      </c>
      <c r="C33" s="17" t="s">
        <v>113</v>
      </c>
      <c r="D33" s="17" t="s">
        <v>80</v>
      </c>
      <c r="E33" s="17" t="s">
        <v>298</v>
      </c>
      <c r="F33" s="13" t="s">
        <v>11</v>
      </c>
      <c r="H33" s="4">
        <v>2.0</v>
      </c>
      <c r="I33" s="4">
        <v>0.0</v>
      </c>
      <c r="K33" s="13">
        <v>2.0</v>
      </c>
      <c r="L33" s="13">
        <v>40000.0</v>
      </c>
    </row>
    <row r="34">
      <c r="A34" s="4">
        <v>33.0</v>
      </c>
      <c r="B34" s="10">
        <v>46118.0</v>
      </c>
      <c r="C34" s="17" t="s">
        <v>113</v>
      </c>
      <c r="D34" s="17" t="s">
        <v>80</v>
      </c>
      <c r="E34" s="17" t="s">
        <v>298</v>
      </c>
      <c r="F34" s="13" t="s">
        <v>12</v>
      </c>
      <c r="H34" s="115">
        <v>3.0</v>
      </c>
      <c r="I34" s="4">
        <v>0.0</v>
      </c>
      <c r="K34" s="13">
        <v>3.0</v>
      </c>
      <c r="L34" s="13">
        <v>60000.0</v>
      </c>
    </row>
    <row r="35">
      <c r="A35" s="4">
        <v>34.0</v>
      </c>
      <c r="B35" s="10">
        <v>46118.0</v>
      </c>
      <c r="C35" s="17" t="s">
        <v>113</v>
      </c>
      <c r="D35" s="17" t="s">
        <v>80</v>
      </c>
      <c r="E35" s="17" t="s">
        <v>298</v>
      </c>
      <c r="F35" s="13" t="s">
        <v>13</v>
      </c>
      <c r="H35" s="4">
        <v>4.0</v>
      </c>
      <c r="I35" s="4">
        <v>0.0</v>
      </c>
      <c r="K35" s="13">
        <v>4.0</v>
      </c>
      <c r="L35" s="13">
        <v>80000.0</v>
      </c>
    </row>
    <row r="36">
      <c r="A36" s="4">
        <v>35.0</v>
      </c>
      <c r="B36" s="10">
        <v>46118.0</v>
      </c>
      <c r="C36" s="17" t="s">
        <v>113</v>
      </c>
      <c r="D36" s="17" t="s">
        <v>80</v>
      </c>
      <c r="E36" s="17" t="s">
        <v>298</v>
      </c>
      <c r="F36" s="13" t="s">
        <v>14</v>
      </c>
      <c r="H36" s="115">
        <v>2.0</v>
      </c>
      <c r="I36" s="4">
        <v>0.0</v>
      </c>
      <c r="K36" s="13">
        <v>2.0</v>
      </c>
      <c r="L36" s="13">
        <v>44000.0</v>
      </c>
    </row>
    <row r="37">
      <c r="A37" s="4">
        <v>36.0</v>
      </c>
      <c r="B37" s="10">
        <v>46118.0</v>
      </c>
      <c r="C37" s="17" t="s">
        <v>113</v>
      </c>
      <c r="D37" s="17" t="s">
        <v>80</v>
      </c>
      <c r="E37" s="17" t="s">
        <v>298</v>
      </c>
      <c r="F37" s="13" t="s">
        <v>15</v>
      </c>
      <c r="H37" s="4">
        <v>30.0</v>
      </c>
      <c r="K37" s="13">
        <v>30.0</v>
      </c>
      <c r="L37" s="13">
        <v>600000.0</v>
      </c>
    </row>
    <row r="38">
      <c r="A38" s="4">
        <v>37.0</v>
      </c>
      <c r="B38" s="10">
        <v>46118.0</v>
      </c>
      <c r="C38" s="17" t="s">
        <v>114</v>
      </c>
      <c r="D38" s="17" t="s">
        <v>80</v>
      </c>
      <c r="E38" s="17" t="s">
        <v>86</v>
      </c>
      <c r="F38" s="13" t="s">
        <v>4</v>
      </c>
      <c r="G38" s="4">
        <f t="shared" ref="G38:G49" si="2">I26</f>
        <v>0</v>
      </c>
      <c r="K38" s="13">
        <v>0.0</v>
      </c>
      <c r="L38" s="13">
        <v>0.0</v>
      </c>
    </row>
    <row r="39">
      <c r="A39" s="4">
        <v>38.0</v>
      </c>
      <c r="B39" s="10">
        <v>46118.0</v>
      </c>
      <c r="C39" s="17" t="s">
        <v>114</v>
      </c>
      <c r="D39" s="17" t="s">
        <v>80</v>
      </c>
      <c r="E39" s="17" t="s">
        <v>86</v>
      </c>
      <c r="F39" s="13" t="s">
        <v>5</v>
      </c>
      <c r="G39" s="4">
        <f t="shared" si="2"/>
        <v>0</v>
      </c>
      <c r="K39" s="13">
        <v>0.0</v>
      </c>
      <c r="L39" s="13">
        <v>0.0</v>
      </c>
    </row>
    <row r="40">
      <c r="A40" s="4">
        <v>39.0</v>
      </c>
      <c r="B40" s="10">
        <v>46118.0</v>
      </c>
      <c r="C40" s="17" t="s">
        <v>114</v>
      </c>
      <c r="D40" s="17" t="s">
        <v>80</v>
      </c>
      <c r="E40" s="17" t="s">
        <v>86</v>
      </c>
      <c r="F40" s="13" t="s">
        <v>6</v>
      </c>
      <c r="G40" s="4">
        <f t="shared" si="2"/>
        <v>0</v>
      </c>
      <c r="K40" s="13">
        <v>0.0</v>
      </c>
      <c r="L40" s="13">
        <v>0.0</v>
      </c>
    </row>
    <row r="41">
      <c r="A41" s="4">
        <v>40.0</v>
      </c>
      <c r="B41" s="10">
        <v>46118.0</v>
      </c>
      <c r="C41" s="17" t="s">
        <v>114</v>
      </c>
      <c r="D41" s="17" t="s">
        <v>80</v>
      </c>
      <c r="E41" s="17" t="s">
        <v>86</v>
      </c>
      <c r="F41" s="13" t="s">
        <v>7</v>
      </c>
      <c r="G41" s="4">
        <f t="shared" si="2"/>
        <v>0</v>
      </c>
      <c r="K41" s="13">
        <v>0.0</v>
      </c>
      <c r="L41" s="13">
        <v>0.0</v>
      </c>
    </row>
    <row r="42">
      <c r="A42" s="4">
        <v>41.0</v>
      </c>
      <c r="B42" s="10">
        <v>46118.0</v>
      </c>
      <c r="C42" s="17" t="s">
        <v>114</v>
      </c>
      <c r="D42" s="17" t="s">
        <v>80</v>
      </c>
      <c r="E42" s="17" t="s">
        <v>86</v>
      </c>
      <c r="F42" s="13" t="s">
        <v>8</v>
      </c>
      <c r="G42" s="4">
        <f t="shared" si="2"/>
        <v>0</v>
      </c>
      <c r="K42" s="13">
        <v>0.0</v>
      </c>
      <c r="L42" s="13">
        <v>0.0</v>
      </c>
    </row>
    <row r="43">
      <c r="A43" s="4">
        <v>42.0</v>
      </c>
      <c r="B43" s="10">
        <v>46118.0</v>
      </c>
      <c r="C43" s="17" t="s">
        <v>114</v>
      </c>
      <c r="D43" s="17" t="s">
        <v>80</v>
      </c>
      <c r="E43" s="17" t="s">
        <v>86</v>
      </c>
      <c r="F43" s="13" t="s">
        <v>9</v>
      </c>
      <c r="G43" s="4">
        <f t="shared" si="2"/>
        <v>0</v>
      </c>
      <c r="K43" s="13">
        <v>0.0</v>
      </c>
      <c r="L43" s="13">
        <v>0.0</v>
      </c>
    </row>
    <row r="44">
      <c r="A44" s="4">
        <v>43.0</v>
      </c>
      <c r="B44" s="10">
        <v>46118.0</v>
      </c>
      <c r="C44" s="17" t="s">
        <v>114</v>
      </c>
      <c r="D44" s="17" t="s">
        <v>80</v>
      </c>
      <c r="E44" s="17" t="s">
        <v>86</v>
      </c>
      <c r="F44" s="13" t="s">
        <v>10</v>
      </c>
      <c r="G44" s="4">
        <f t="shared" si="2"/>
        <v>0</v>
      </c>
      <c r="K44" s="13">
        <v>0.0</v>
      </c>
      <c r="L44" s="13">
        <v>0.0</v>
      </c>
    </row>
    <row r="45">
      <c r="A45" s="4">
        <v>44.0</v>
      </c>
      <c r="B45" s="10">
        <v>46118.0</v>
      </c>
      <c r="C45" s="17" t="s">
        <v>114</v>
      </c>
      <c r="D45" s="17" t="s">
        <v>80</v>
      </c>
      <c r="E45" s="17" t="s">
        <v>86</v>
      </c>
      <c r="F45" s="13" t="s">
        <v>11</v>
      </c>
      <c r="G45" s="4">
        <f t="shared" si="2"/>
        <v>0</v>
      </c>
      <c r="K45" s="13">
        <v>0.0</v>
      </c>
      <c r="L45" s="13">
        <v>0.0</v>
      </c>
    </row>
    <row r="46">
      <c r="A46" s="4">
        <v>45.0</v>
      </c>
      <c r="B46" s="10">
        <v>46118.0</v>
      </c>
      <c r="C46" s="17" t="s">
        <v>114</v>
      </c>
      <c r="D46" s="17" t="s">
        <v>80</v>
      </c>
      <c r="E46" s="17" t="s">
        <v>86</v>
      </c>
      <c r="F46" s="13" t="s">
        <v>12</v>
      </c>
      <c r="G46" s="4">
        <f t="shared" si="2"/>
        <v>0</v>
      </c>
      <c r="K46" s="13">
        <v>0.0</v>
      </c>
      <c r="L46" s="13">
        <v>0.0</v>
      </c>
    </row>
    <row r="47">
      <c r="A47" s="4">
        <v>46.0</v>
      </c>
      <c r="B47" s="10">
        <v>46118.0</v>
      </c>
      <c r="C47" s="17" t="s">
        <v>114</v>
      </c>
      <c r="D47" s="17" t="s">
        <v>80</v>
      </c>
      <c r="E47" s="17" t="s">
        <v>86</v>
      </c>
      <c r="F47" s="13" t="s">
        <v>13</v>
      </c>
      <c r="G47" s="4">
        <f t="shared" si="2"/>
        <v>0</v>
      </c>
      <c r="K47" s="13">
        <v>0.0</v>
      </c>
      <c r="L47" s="13">
        <v>0.0</v>
      </c>
    </row>
    <row r="48">
      <c r="A48" s="4">
        <v>47.0</v>
      </c>
      <c r="B48" s="10">
        <v>46118.0</v>
      </c>
      <c r="C48" s="17" t="s">
        <v>114</v>
      </c>
      <c r="D48" s="17" t="s">
        <v>80</v>
      </c>
      <c r="E48" s="17" t="s">
        <v>86</v>
      </c>
      <c r="F48" s="13" t="s">
        <v>14</v>
      </c>
      <c r="G48" s="4">
        <f t="shared" si="2"/>
        <v>0</v>
      </c>
      <c r="K48" s="13">
        <v>0.0</v>
      </c>
      <c r="L48" s="13">
        <v>0.0</v>
      </c>
    </row>
    <row r="49">
      <c r="A49" s="4">
        <v>48.0</v>
      </c>
      <c r="B49" s="10">
        <v>46118.0</v>
      </c>
      <c r="C49" s="17" t="s">
        <v>114</v>
      </c>
      <c r="D49" s="17" t="s">
        <v>80</v>
      </c>
      <c r="E49" s="17" t="s">
        <v>86</v>
      </c>
      <c r="F49" s="13" t="s">
        <v>15</v>
      </c>
      <c r="G49" s="4" t="str">
        <f t="shared" si="2"/>
        <v/>
      </c>
      <c r="K49" s="13">
        <v>0.0</v>
      </c>
      <c r="L49" s="13">
        <v>0.0</v>
      </c>
    </row>
    <row r="50">
      <c r="A50" s="4">
        <v>49.0</v>
      </c>
      <c r="B50" s="10">
        <v>46118.0</v>
      </c>
      <c r="C50" s="17" t="s">
        <v>113</v>
      </c>
      <c r="D50" s="17" t="s">
        <v>93</v>
      </c>
      <c r="E50" s="17" t="s">
        <v>95</v>
      </c>
      <c r="F50" s="13" t="s">
        <v>4</v>
      </c>
      <c r="K50" s="13">
        <v>0.0</v>
      </c>
      <c r="L50" s="13">
        <v>0.0</v>
      </c>
    </row>
    <row r="51">
      <c r="A51" s="4">
        <v>50.0</v>
      </c>
      <c r="B51" s="10">
        <v>46118.0</v>
      </c>
      <c r="C51" s="17" t="s">
        <v>113</v>
      </c>
      <c r="D51" s="17" t="s">
        <v>93</v>
      </c>
      <c r="E51" s="17" t="s">
        <v>95</v>
      </c>
      <c r="F51" s="13" t="s">
        <v>5</v>
      </c>
      <c r="K51" s="13">
        <v>0.0</v>
      </c>
      <c r="L51" s="13">
        <v>0.0</v>
      </c>
    </row>
    <row r="52">
      <c r="A52" s="4">
        <v>51.0</v>
      </c>
      <c r="B52" s="10">
        <v>46118.0</v>
      </c>
      <c r="C52" s="17" t="s">
        <v>113</v>
      </c>
      <c r="D52" s="17" t="s">
        <v>93</v>
      </c>
      <c r="E52" s="17" t="s">
        <v>95</v>
      </c>
      <c r="F52" s="13" t="s">
        <v>6</v>
      </c>
      <c r="K52" s="13">
        <v>0.0</v>
      </c>
      <c r="L52" s="13">
        <v>0.0</v>
      </c>
    </row>
    <row r="53">
      <c r="A53" s="4">
        <v>52.0</v>
      </c>
      <c r="B53" s="10">
        <v>46118.0</v>
      </c>
      <c r="C53" s="17" t="s">
        <v>113</v>
      </c>
      <c r="D53" s="17" t="s">
        <v>93</v>
      </c>
      <c r="E53" s="17" t="s">
        <v>95</v>
      </c>
      <c r="F53" s="13" t="s">
        <v>7</v>
      </c>
      <c r="K53" s="13">
        <v>0.0</v>
      </c>
      <c r="L53" s="13">
        <v>0.0</v>
      </c>
    </row>
    <row r="54">
      <c r="A54" s="4">
        <v>53.0</v>
      </c>
      <c r="B54" s="10">
        <v>46118.0</v>
      </c>
      <c r="C54" s="17" t="s">
        <v>113</v>
      </c>
      <c r="D54" s="17" t="s">
        <v>93</v>
      </c>
      <c r="E54" s="17" t="s">
        <v>95</v>
      </c>
      <c r="F54" s="13" t="s">
        <v>8</v>
      </c>
      <c r="K54" s="13">
        <v>0.0</v>
      </c>
      <c r="L54" s="13">
        <v>0.0</v>
      </c>
    </row>
    <row r="55">
      <c r="A55" s="4">
        <v>54.0</v>
      </c>
      <c r="B55" s="10">
        <v>46118.0</v>
      </c>
      <c r="C55" s="17" t="s">
        <v>113</v>
      </c>
      <c r="D55" s="17" t="s">
        <v>93</v>
      </c>
      <c r="E55" s="17" t="s">
        <v>95</v>
      </c>
      <c r="F55" s="13" t="s">
        <v>9</v>
      </c>
      <c r="K55" s="13">
        <v>0.0</v>
      </c>
      <c r="L55" s="13">
        <v>0.0</v>
      </c>
    </row>
    <row r="56">
      <c r="A56" s="4">
        <v>55.0</v>
      </c>
      <c r="B56" s="10">
        <v>46118.0</v>
      </c>
      <c r="C56" s="17" t="s">
        <v>113</v>
      </c>
      <c r="D56" s="17" t="s">
        <v>93</v>
      </c>
      <c r="E56" s="17" t="s">
        <v>95</v>
      </c>
      <c r="F56" s="13" t="s">
        <v>10</v>
      </c>
      <c r="K56" s="13">
        <v>0.0</v>
      </c>
      <c r="L56" s="13">
        <v>0.0</v>
      </c>
    </row>
    <row r="57">
      <c r="A57" s="4">
        <v>56.0</v>
      </c>
      <c r="B57" s="10">
        <v>46118.0</v>
      </c>
      <c r="C57" s="17" t="s">
        <v>113</v>
      </c>
      <c r="D57" s="17" t="s">
        <v>93</v>
      </c>
      <c r="E57" s="17" t="s">
        <v>95</v>
      </c>
      <c r="F57" s="13" t="s">
        <v>11</v>
      </c>
      <c r="K57" s="13">
        <v>0.0</v>
      </c>
      <c r="L57" s="13">
        <v>0.0</v>
      </c>
    </row>
    <row r="58">
      <c r="A58" s="4">
        <v>57.0</v>
      </c>
      <c r="B58" s="10">
        <v>46118.0</v>
      </c>
      <c r="C58" s="17" t="s">
        <v>113</v>
      </c>
      <c r="D58" s="17" t="s">
        <v>93</v>
      </c>
      <c r="E58" s="17" t="s">
        <v>95</v>
      </c>
      <c r="F58" s="13" t="s">
        <v>12</v>
      </c>
      <c r="K58" s="13">
        <v>0.0</v>
      </c>
      <c r="L58" s="13">
        <v>0.0</v>
      </c>
    </row>
    <row r="59">
      <c r="A59" s="4">
        <v>58.0</v>
      </c>
      <c r="B59" s="10">
        <v>46118.0</v>
      </c>
      <c r="C59" s="17" t="s">
        <v>113</v>
      </c>
      <c r="D59" s="17" t="s">
        <v>93</v>
      </c>
      <c r="E59" s="17" t="s">
        <v>95</v>
      </c>
      <c r="F59" s="13" t="s">
        <v>13</v>
      </c>
      <c r="K59" s="13">
        <v>0.0</v>
      </c>
      <c r="L59" s="13">
        <v>0.0</v>
      </c>
    </row>
    <row r="60">
      <c r="A60" s="4">
        <v>59.0</v>
      </c>
      <c r="B60" s="10">
        <v>46118.0</v>
      </c>
      <c r="C60" s="17" t="s">
        <v>113</v>
      </c>
      <c r="D60" s="17" t="s">
        <v>93</v>
      </c>
      <c r="E60" s="17" t="s">
        <v>95</v>
      </c>
      <c r="F60" s="13" t="s">
        <v>14</v>
      </c>
      <c r="K60" s="13">
        <v>0.0</v>
      </c>
      <c r="L60" s="13">
        <v>0.0</v>
      </c>
    </row>
    <row r="61">
      <c r="A61" s="4">
        <v>60.0</v>
      </c>
      <c r="B61" s="10">
        <v>46118.0</v>
      </c>
      <c r="C61" s="17" t="s">
        <v>113</v>
      </c>
      <c r="D61" s="17" t="s">
        <v>93</v>
      </c>
      <c r="E61" s="17" t="s">
        <v>95</v>
      </c>
      <c r="F61" s="13" t="s">
        <v>15</v>
      </c>
      <c r="K61" s="13">
        <v>0.0</v>
      </c>
      <c r="L61" s="13">
        <v>0.0</v>
      </c>
    </row>
    <row r="62">
      <c r="A62" s="4">
        <v>61.0</v>
      </c>
      <c r="B62" s="10">
        <v>46118.0</v>
      </c>
      <c r="C62" s="17" t="s">
        <v>114</v>
      </c>
      <c r="D62" s="17" t="s">
        <v>93</v>
      </c>
      <c r="E62" s="17" t="s">
        <v>299</v>
      </c>
      <c r="F62" s="13" t="s">
        <v>4</v>
      </c>
      <c r="G62" s="4" t="str">
        <f t="shared" ref="G62:G73" si="3">I50</f>
        <v/>
      </c>
      <c r="H62" s="13"/>
      <c r="I62" s="13"/>
      <c r="J62" s="13"/>
      <c r="K62" s="13">
        <v>0.0</v>
      </c>
      <c r="L62" s="13">
        <v>0.0</v>
      </c>
      <c r="M62" s="13"/>
      <c r="N62" s="13"/>
      <c r="O62" s="13"/>
      <c r="P62" s="13"/>
      <c r="Q62" s="13"/>
      <c r="R62" s="13"/>
      <c r="S62" s="13"/>
      <c r="T62" s="13"/>
      <c r="U62" s="13"/>
      <c r="V62" s="13"/>
      <c r="W62" s="13"/>
      <c r="X62" s="13"/>
      <c r="Y62" s="13"/>
      <c r="Z62" s="13"/>
      <c r="AA62" s="13"/>
      <c r="AB62" s="13"/>
      <c r="AC62" s="13"/>
    </row>
    <row r="63">
      <c r="A63" s="4">
        <v>62.0</v>
      </c>
      <c r="B63" s="10">
        <v>46118.0</v>
      </c>
      <c r="C63" s="17" t="s">
        <v>114</v>
      </c>
      <c r="D63" s="17" t="s">
        <v>93</v>
      </c>
      <c r="E63" s="17" t="s">
        <v>299</v>
      </c>
      <c r="F63" s="13" t="s">
        <v>5</v>
      </c>
      <c r="G63" s="4" t="str">
        <f t="shared" si="3"/>
        <v/>
      </c>
      <c r="H63" s="13"/>
      <c r="I63" s="13"/>
      <c r="J63" s="13"/>
      <c r="K63" s="13">
        <v>0.0</v>
      </c>
      <c r="L63" s="13">
        <v>0.0</v>
      </c>
      <c r="M63" s="13"/>
      <c r="N63" s="13"/>
      <c r="O63" s="13"/>
      <c r="P63" s="13"/>
      <c r="Q63" s="13"/>
      <c r="R63" s="13"/>
      <c r="S63" s="13"/>
      <c r="T63" s="13"/>
      <c r="U63" s="13"/>
      <c r="V63" s="13"/>
      <c r="W63" s="13"/>
      <c r="X63" s="13"/>
      <c r="Y63" s="13"/>
      <c r="Z63" s="13"/>
      <c r="AA63" s="13"/>
      <c r="AB63" s="13"/>
      <c r="AC63" s="13"/>
    </row>
    <row r="64">
      <c r="A64" s="4">
        <v>63.0</v>
      </c>
      <c r="B64" s="10">
        <v>46118.0</v>
      </c>
      <c r="C64" s="17" t="s">
        <v>114</v>
      </c>
      <c r="D64" s="17" t="s">
        <v>93</v>
      </c>
      <c r="E64" s="17" t="s">
        <v>299</v>
      </c>
      <c r="F64" s="13" t="s">
        <v>6</v>
      </c>
      <c r="G64" s="4" t="str">
        <f t="shared" si="3"/>
        <v/>
      </c>
      <c r="H64" s="13"/>
      <c r="I64" s="13"/>
      <c r="J64" s="13"/>
      <c r="K64" s="13">
        <v>0.0</v>
      </c>
      <c r="L64" s="13">
        <v>0.0</v>
      </c>
      <c r="M64" s="13"/>
      <c r="N64" s="13"/>
      <c r="O64" s="13"/>
      <c r="P64" s="13"/>
      <c r="Q64" s="13"/>
      <c r="R64" s="13"/>
      <c r="S64" s="13"/>
      <c r="T64" s="13"/>
      <c r="U64" s="13"/>
      <c r="V64" s="13"/>
      <c r="W64" s="13"/>
      <c r="X64" s="13"/>
      <c r="Y64" s="13"/>
      <c r="Z64" s="13"/>
      <c r="AA64" s="13"/>
      <c r="AB64" s="13"/>
      <c r="AC64" s="13"/>
    </row>
    <row r="65">
      <c r="A65" s="4">
        <v>64.0</v>
      </c>
      <c r="B65" s="10">
        <v>46118.0</v>
      </c>
      <c r="C65" s="17" t="s">
        <v>114</v>
      </c>
      <c r="D65" s="17" t="s">
        <v>93</v>
      </c>
      <c r="E65" s="17" t="s">
        <v>299</v>
      </c>
      <c r="F65" s="13" t="s">
        <v>7</v>
      </c>
      <c r="G65" s="4" t="str">
        <f t="shared" si="3"/>
        <v/>
      </c>
      <c r="H65" s="13"/>
      <c r="I65" s="13"/>
      <c r="J65" s="13"/>
      <c r="K65" s="13">
        <v>0.0</v>
      </c>
      <c r="L65" s="13">
        <v>0.0</v>
      </c>
      <c r="M65" s="13"/>
      <c r="N65" s="13"/>
      <c r="O65" s="13"/>
      <c r="P65" s="13"/>
      <c r="Q65" s="13"/>
      <c r="R65" s="13"/>
      <c r="S65" s="13"/>
      <c r="T65" s="13"/>
      <c r="U65" s="13"/>
      <c r="V65" s="13"/>
      <c r="W65" s="13"/>
      <c r="X65" s="13"/>
      <c r="Y65" s="13"/>
      <c r="Z65" s="13"/>
      <c r="AA65" s="13"/>
      <c r="AB65" s="13"/>
      <c r="AC65" s="13"/>
    </row>
    <row r="66">
      <c r="A66" s="4">
        <v>65.0</v>
      </c>
      <c r="B66" s="10">
        <v>46118.0</v>
      </c>
      <c r="C66" s="17" t="s">
        <v>114</v>
      </c>
      <c r="D66" s="17" t="s">
        <v>93</v>
      </c>
      <c r="E66" s="17" t="s">
        <v>299</v>
      </c>
      <c r="F66" s="13" t="s">
        <v>8</v>
      </c>
      <c r="G66" s="4" t="str">
        <f t="shared" si="3"/>
        <v/>
      </c>
      <c r="H66" s="13"/>
      <c r="I66" s="13"/>
      <c r="J66" s="13"/>
      <c r="K66" s="13">
        <v>0.0</v>
      </c>
      <c r="L66" s="13">
        <v>0.0</v>
      </c>
      <c r="M66" s="13"/>
      <c r="N66" s="13"/>
      <c r="O66" s="13"/>
      <c r="P66" s="13"/>
      <c r="Q66" s="13"/>
      <c r="R66" s="13"/>
      <c r="S66" s="13"/>
      <c r="T66" s="13"/>
      <c r="U66" s="13"/>
      <c r="V66" s="13"/>
      <c r="W66" s="13"/>
      <c r="X66" s="13"/>
      <c r="Y66" s="13"/>
      <c r="Z66" s="13"/>
      <c r="AA66" s="13"/>
      <c r="AB66" s="13"/>
      <c r="AC66" s="13"/>
    </row>
    <row r="67">
      <c r="A67" s="4">
        <v>66.0</v>
      </c>
      <c r="B67" s="10">
        <v>46118.0</v>
      </c>
      <c r="C67" s="17" t="s">
        <v>114</v>
      </c>
      <c r="D67" s="17" t="s">
        <v>93</v>
      </c>
      <c r="E67" s="17" t="s">
        <v>299</v>
      </c>
      <c r="F67" s="13" t="s">
        <v>9</v>
      </c>
      <c r="G67" s="4" t="str">
        <f t="shared" si="3"/>
        <v/>
      </c>
      <c r="H67" s="13"/>
      <c r="I67" s="13"/>
      <c r="J67" s="13"/>
      <c r="K67" s="13">
        <v>0.0</v>
      </c>
      <c r="L67" s="13">
        <v>0.0</v>
      </c>
      <c r="M67" s="13"/>
      <c r="N67" s="13"/>
      <c r="O67" s="13"/>
      <c r="P67" s="13"/>
      <c r="Q67" s="13"/>
      <c r="R67" s="13"/>
      <c r="S67" s="13"/>
      <c r="T67" s="13"/>
      <c r="U67" s="13"/>
      <c r="V67" s="13"/>
      <c r="W67" s="13"/>
      <c r="X67" s="13"/>
      <c r="Y67" s="13"/>
      <c r="Z67" s="13"/>
      <c r="AA67" s="13"/>
      <c r="AB67" s="13"/>
      <c r="AC67" s="13"/>
    </row>
    <row r="68">
      <c r="A68" s="4">
        <v>67.0</v>
      </c>
      <c r="B68" s="10">
        <v>46118.0</v>
      </c>
      <c r="C68" s="17" t="s">
        <v>114</v>
      </c>
      <c r="D68" s="17" t="s">
        <v>93</v>
      </c>
      <c r="E68" s="17" t="s">
        <v>299</v>
      </c>
      <c r="F68" s="13" t="s">
        <v>10</v>
      </c>
      <c r="G68" s="4" t="str">
        <f t="shared" si="3"/>
        <v/>
      </c>
      <c r="H68" s="13"/>
      <c r="I68" s="13"/>
      <c r="J68" s="13"/>
      <c r="K68" s="13">
        <v>0.0</v>
      </c>
      <c r="L68" s="13">
        <v>0.0</v>
      </c>
      <c r="M68" s="13"/>
      <c r="N68" s="13"/>
      <c r="O68" s="13"/>
      <c r="P68" s="13"/>
      <c r="Q68" s="13"/>
      <c r="R68" s="13"/>
      <c r="S68" s="13"/>
      <c r="T68" s="13"/>
      <c r="U68" s="13"/>
      <c r="V68" s="13"/>
      <c r="W68" s="13"/>
      <c r="X68" s="13"/>
      <c r="Y68" s="13"/>
      <c r="Z68" s="13"/>
      <c r="AA68" s="13"/>
      <c r="AB68" s="13"/>
      <c r="AC68" s="13"/>
    </row>
    <row r="69">
      <c r="A69" s="4">
        <v>68.0</v>
      </c>
      <c r="B69" s="10">
        <v>46118.0</v>
      </c>
      <c r="C69" s="17" t="s">
        <v>114</v>
      </c>
      <c r="D69" s="17" t="s">
        <v>93</v>
      </c>
      <c r="E69" s="17" t="s">
        <v>299</v>
      </c>
      <c r="F69" s="13" t="s">
        <v>11</v>
      </c>
      <c r="G69" s="4" t="str">
        <f t="shared" si="3"/>
        <v/>
      </c>
      <c r="H69" s="13"/>
      <c r="I69" s="13"/>
      <c r="J69" s="13"/>
      <c r="K69" s="13">
        <v>0.0</v>
      </c>
      <c r="L69" s="13">
        <v>0.0</v>
      </c>
      <c r="M69" s="13"/>
      <c r="N69" s="13"/>
      <c r="O69" s="13"/>
      <c r="P69" s="13"/>
      <c r="Q69" s="13"/>
      <c r="R69" s="13"/>
      <c r="S69" s="13"/>
      <c r="T69" s="13"/>
      <c r="U69" s="13"/>
      <c r="V69" s="13"/>
      <c r="W69" s="13"/>
      <c r="X69" s="13"/>
      <c r="Y69" s="13"/>
      <c r="Z69" s="13"/>
      <c r="AA69" s="13"/>
      <c r="AB69" s="13"/>
      <c r="AC69" s="13"/>
    </row>
    <row r="70">
      <c r="A70" s="4">
        <v>69.0</v>
      </c>
      <c r="B70" s="10">
        <v>46118.0</v>
      </c>
      <c r="C70" s="17" t="s">
        <v>114</v>
      </c>
      <c r="D70" s="17" t="s">
        <v>93</v>
      </c>
      <c r="E70" s="17" t="s">
        <v>299</v>
      </c>
      <c r="F70" s="13" t="s">
        <v>12</v>
      </c>
      <c r="G70" s="4" t="str">
        <f t="shared" si="3"/>
        <v/>
      </c>
      <c r="H70" s="13"/>
      <c r="I70" s="13"/>
      <c r="J70" s="13"/>
      <c r="K70" s="13">
        <v>0.0</v>
      </c>
      <c r="L70" s="13">
        <v>0.0</v>
      </c>
      <c r="M70" s="13"/>
      <c r="N70" s="13"/>
      <c r="O70" s="13"/>
      <c r="P70" s="13"/>
      <c r="Q70" s="13"/>
      <c r="R70" s="13"/>
      <c r="S70" s="13"/>
      <c r="T70" s="13"/>
      <c r="U70" s="13"/>
      <c r="V70" s="13"/>
      <c r="W70" s="13"/>
      <c r="X70" s="13"/>
      <c r="Y70" s="13"/>
      <c r="Z70" s="13"/>
      <c r="AA70" s="13"/>
      <c r="AB70" s="13"/>
      <c r="AC70" s="13"/>
    </row>
    <row r="71">
      <c r="A71" s="4">
        <v>70.0</v>
      </c>
      <c r="B71" s="10">
        <v>46118.0</v>
      </c>
      <c r="C71" s="17" t="s">
        <v>114</v>
      </c>
      <c r="D71" s="17" t="s">
        <v>93</v>
      </c>
      <c r="E71" s="17" t="s">
        <v>299</v>
      </c>
      <c r="F71" s="13" t="s">
        <v>13</v>
      </c>
      <c r="G71" s="4" t="str">
        <f t="shared" si="3"/>
        <v/>
      </c>
      <c r="H71" s="13"/>
      <c r="I71" s="13"/>
      <c r="J71" s="13"/>
      <c r="K71" s="13">
        <v>0.0</v>
      </c>
      <c r="L71" s="13">
        <v>0.0</v>
      </c>
      <c r="M71" s="13"/>
      <c r="N71" s="13"/>
      <c r="O71" s="13"/>
      <c r="P71" s="13"/>
      <c r="Q71" s="13"/>
      <c r="R71" s="13"/>
      <c r="S71" s="13"/>
      <c r="T71" s="13"/>
      <c r="U71" s="13"/>
      <c r="V71" s="13"/>
      <c r="W71" s="13"/>
      <c r="X71" s="13"/>
      <c r="Y71" s="13"/>
      <c r="Z71" s="13"/>
      <c r="AA71" s="13"/>
      <c r="AB71" s="13"/>
      <c r="AC71" s="13"/>
    </row>
    <row r="72">
      <c r="A72" s="4">
        <v>71.0</v>
      </c>
      <c r="B72" s="10">
        <v>46118.0</v>
      </c>
      <c r="C72" s="17" t="s">
        <v>114</v>
      </c>
      <c r="D72" s="17" t="s">
        <v>93</v>
      </c>
      <c r="E72" s="17" t="s">
        <v>299</v>
      </c>
      <c r="F72" s="13" t="s">
        <v>14</v>
      </c>
      <c r="G72" s="4" t="str">
        <f t="shared" si="3"/>
        <v/>
      </c>
      <c r="H72" s="13"/>
      <c r="I72" s="13"/>
      <c r="J72" s="13"/>
      <c r="K72" s="13">
        <v>0.0</v>
      </c>
      <c r="L72" s="13">
        <v>0.0</v>
      </c>
      <c r="M72" s="13"/>
      <c r="N72" s="13"/>
      <c r="O72" s="13"/>
      <c r="P72" s="13"/>
      <c r="Q72" s="13"/>
      <c r="R72" s="13"/>
      <c r="S72" s="13"/>
      <c r="T72" s="13"/>
      <c r="U72" s="13"/>
      <c r="V72" s="13"/>
      <c r="W72" s="13"/>
      <c r="X72" s="13"/>
      <c r="Y72" s="13"/>
      <c r="Z72" s="13"/>
      <c r="AA72" s="13"/>
      <c r="AB72" s="13"/>
      <c r="AC72" s="13"/>
    </row>
    <row r="73">
      <c r="A73" s="4">
        <v>72.0</v>
      </c>
      <c r="B73" s="10">
        <v>46118.0</v>
      </c>
      <c r="C73" s="17" t="s">
        <v>114</v>
      </c>
      <c r="D73" s="17" t="s">
        <v>93</v>
      </c>
      <c r="E73" s="17" t="s">
        <v>299</v>
      </c>
      <c r="F73" s="13" t="s">
        <v>15</v>
      </c>
      <c r="G73" s="4" t="str">
        <f t="shared" si="3"/>
        <v/>
      </c>
      <c r="H73" s="13"/>
      <c r="I73" s="13"/>
      <c r="J73" s="13"/>
      <c r="K73" s="13">
        <v>0.0</v>
      </c>
      <c r="L73" s="13">
        <v>0.0</v>
      </c>
      <c r="M73" s="13"/>
      <c r="N73" s="13"/>
      <c r="O73" s="13"/>
      <c r="P73" s="13"/>
      <c r="Q73" s="13"/>
      <c r="R73" s="13"/>
      <c r="S73" s="13"/>
      <c r="T73" s="13"/>
      <c r="U73" s="13"/>
      <c r="V73" s="13"/>
      <c r="W73" s="13"/>
      <c r="X73" s="13"/>
      <c r="Y73" s="13"/>
      <c r="Z73" s="13"/>
      <c r="AA73" s="13"/>
      <c r="AB73" s="13"/>
      <c r="AC73" s="13"/>
    </row>
    <row r="74">
      <c r="A74" s="4">
        <v>73.0</v>
      </c>
      <c r="B74" s="10">
        <v>46118.0</v>
      </c>
      <c r="C74" s="17" t="s">
        <v>113</v>
      </c>
      <c r="D74" s="17" t="s">
        <v>89</v>
      </c>
      <c r="E74" s="17" t="s">
        <v>71</v>
      </c>
      <c r="F74" s="13" t="s">
        <v>4</v>
      </c>
      <c r="H74" s="4">
        <v>6.0</v>
      </c>
      <c r="K74" s="13">
        <v>6.0</v>
      </c>
      <c r="L74" s="13">
        <v>120000.0</v>
      </c>
    </row>
    <row r="75">
      <c r="A75" s="4">
        <v>74.0</v>
      </c>
      <c r="B75" s="10">
        <v>46118.0</v>
      </c>
      <c r="C75" s="17" t="s">
        <v>113</v>
      </c>
      <c r="D75" s="17" t="s">
        <v>89</v>
      </c>
      <c r="E75" s="17" t="s">
        <v>71</v>
      </c>
      <c r="F75" s="13" t="s">
        <v>5</v>
      </c>
      <c r="H75" s="4">
        <v>4.0</v>
      </c>
      <c r="K75" s="13">
        <v>4.0</v>
      </c>
      <c r="L75" s="13">
        <v>80000.0</v>
      </c>
    </row>
    <row r="76">
      <c r="A76" s="4">
        <v>75.0</v>
      </c>
      <c r="B76" s="10">
        <v>46118.0</v>
      </c>
      <c r="C76" s="17" t="s">
        <v>113</v>
      </c>
      <c r="D76" s="17" t="s">
        <v>89</v>
      </c>
      <c r="E76" s="17" t="s">
        <v>71</v>
      </c>
      <c r="F76" s="13" t="s">
        <v>6</v>
      </c>
      <c r="H76" s="4">
        <v>4.0</v>
      </c>
      <c r="K76" s="13">
        <v>4.0</v>
      </c>
      <c r="L76" s="13">
        <v>80000.0</v>
      </c>
    </row>
    <row r="77">
      <c r="A77" s="4">
        <v>76.0</v>
      </c>
      <c r="B77" s="10">
        <v>46118.0</v>
      </c>
      <c r="C77" s="17" t="s">
        <v>113</v>
      </c>
      <c r="D77" s="17" t="s">
        <v>89</v>
      </c>
      <c r="E77" s="17" t="s">
        <v>71</v>
      </c>
      <c r="F77" s="13" t="s">
        <v>7</v>
      </c>
      <c r="H77" s="4">
        <v>5.0</v>
      </c>
      <c r="K77" s="13">
        <v>5.0</v>
      </c>
      <c r="L77" s="13">
        <v>100000.0</v>
      </c>
    </row>
    <row r="78">
      <c r="A78" s="4">
        <v>77.0</v>
      </c>
      <c r="B78" s="10">
        <v>46118.0</v>
      </c>
      <c r="C78" s="17" t="s">
        <v>113</v>
      </c>
      <c r="D78" s="17" t="s">
        <v>89</v>
      </c>
      <c r="E78" s="17" t="s">
        <v>71</v>
      </c>
      <c r="F78" s="13" t="s">
        <v>8</v>
      </c>
      <c r="H78" s="4">
        <v>6.0</v>
      </c>
      <c r="K78" s="13">
        <v>6.0</v>
      </c>
      <c r="L78" s="13">
        <v>120000.0</v>
      </c>
    </row>
    <row r="79">
      <c r="A79" s="4">
        <v>78.0</v>
      </c>
      <c r="B79" s="10">
        <v>46118.0</v>
      </c>
      <c r="C79" s="17" t="s">
        <v>113</v>
      </c>
      <c r="D79" s="17" t="s">
        <v>89</v>
      </c>
      <c r="E79" s="17" t="s">
        <v>71</v>
      </c>
      <c r="F79" s="13" t="s">
        <v>9</v>
      </c>
      <c r="H79" s="4">
        <v>6.0</v>
      </c>
      <c r="K79" s="13">
        <v>6.0</v>
      </c>
      <c r="L79" s="13">
        <v>120000.0</v>
      </c>
    </row>
    <row r="80">
      <c r="A80" s="4">
        <v>79.0</v>
      </c>
      <c r="B80" s="10">
        <v>46118.0</v>
      </c>
      <c r="C80" s="17" t="s">
        <v>113</v>
      </c>
      <c r="D80" s="17" t="s">
        <v>89</v>
      </c>
      <c r="E80" s="17" t="s">
        <v>71</v>
      </c>
      <c r="F80" s="13" t="s">
        <v>10</v>
      </c>
      <c r="H80" s="4">
        <v>5.0</v>
      </c>
      <c r="K80" s="13">
        <v>5.0</v>
      </c>
      <c r="L80" s="13">
        <v>100000.0</v>
      </c>
    </row>
    <row r="81">
      <c r="A81" s="4">
        <v>80.0</v>
      </c>
      <c r="B81" s="10">
        <v>46118.0</v>
      </c>
      <c r="C81" s="17" t="s">
        <v>113</v>
      </c>
      <c r="D81" s="17" t="s">
        <v>89</v>
      </c>
      <c r="E81" s="17" t="s">
        <v>71</v>
      </c>
      <c r="F81" s="13" t="s">
        <v>11</v>
      </c>
      <c r="H81" s="4">
        <v>3.0</v>
      </c>
      <c r="K81" s="13">
        <v>3.0</v>
      </c>
      <c r="L81" s="13">
        <v>60000.0</v>
      </c>
    </row>
    <row r="82">
      <c r="A82" s="4">
        <v>81.0</v>
      </c>
      <c r="B82" s="10">
        <v>46118.0</v>
      </c>
      <c r="C82" s="17" t="s">
        <v>113</v>
      </c>
      <c r="D82" s="17" t="s">
        <v>89</v>
      </c>
      <c r="E82" s="17" t="s">
        <v>71</v>
      </c>
      <c r="F82" s="13" t="s">
        <v>12</v>
      </c>
      <c r="H82" s="4">
        <v>2.0</v>
      </c>
      <c r="K82" s="13">
        <v>2.0</v>
      </c>
      <c r="L82" s="13">
        <v>40000.0</v>
      </c>
    </row>
    <row r="83">
      <c r="A83" s="4">
        <v>82.0</v>
      </c>
      <c r="B83" s="10">
        <v>46118.0</v>
      </c>
      <c r="C83" s="17" t="s">
        <v>113</v>
      </c>
      <c r="D83" s="17" t="s">
        <v>89</v>
      </c>
      <c r="E83" s="17" t="s">
        <v>71</v>
      </c>
      <c r="F83" s="13" t="s">
        <v>13</v>
      </c>
      <c r="H83" s="4">
        <v>5.0</v>
      </c>
      <c r="K83" s="13">
        <v>5.0</v>
      </c>
      <c r="L83" s="13">
        <v>100000.0</v>
      </c>
    </row>
    <row r="84">
      <c r="A84" s="4">
        <v>83.0</v>
      </c>
      <c r="B84" s="10">
        <v>46118.0</v>
      </c>
      <c r="C84" s="17" t="s">
        <v>113</v>
      </c>
      <c r="D84" s="17" t="s">
        <v>89</v>
      </c>
      <c r="E84" s="17" t="s">
        <v>71</v>
      </c>
      <c r="F84" s="13" t="s">
        <v>14</v>
      </c>
      <c r="H84" s="4">
        <v>3.0</v>
      </c>
      <c r="K84" s="13">
        <v>3.0</v>
      </c>
      <c r="L84" s="13">
        <v>66000.0</v>
      </c>
    </row>
    <row r="85">
      <c r="A85" s="4">
        <v>84.0</v>
      </c>
      <c r="B85" s="10">
        <v>46118.0</v>
      </c>
      <c r="C85" s="17" t="s">
        <v>113</v>
      </c>
      <c r="D85" s="17" t="s">
        <v>89</v>
      </c>
      <c r="E85" s="17" t="s">
        <v>71</v>
      </c>
      <c r="F85" s="13" t="s">
        <v>15</v>
      </c>
      <c r="H85" s="4">
        <v>40.0</v>
      </c>
      <c r="K85" s="13">
        <v>40.0</v>
      </c>
      <c r="L85" s="13">
        <v>800000.0</v>
      </c>
    </row>
    <row r="86">
      <c r="A86" s="4">
        <v>85.0</v>
      </c>
      <c r="B86" s="10">
        <v>46118.0</v>
      </c>
      <c r="C86" s="17" t="s">
        <v>114</v>
      </c>
      <c r="D86" s="17" t="s">
        <v>89</v>
      </c>
      <c r="E86" s="17" t="s">
        <v>53</v>
      </c>
      <c r="F86" s="13" t="s">
        <v>4</v>
      </c>
      <c r="G86" s="13" t="str">
        <f t="shared" ref="G86:G97" si="4">I74</f>
        <v/>
      </c>
      <c r="H86" s="4">
        <v>5.0</v>
      </c>
      <c r="I86" s="4">
        <v>1.0</v>
      </c>
      <c r="K86" s="13">
        <v>4.0</v>
      </c>
      <c r="L86" s="13">
        <v>80000.0</v>
      </c>
    </row>
    <row r="87">
      <c r="A87" s="4">
        <v>86.0</v>
      </c>
      <c r="B87" s="10">
        <v>46118.0</v>
      </c>
      <c r="C87" s="17" t="s">
        <v>114</v>
      </c>
      <c r="D87" s="17" t="s">
        <v>89</v>
      </c>
      <c r="E87" s="17" t="s">
        <v>53</v>
      </c>
      <c r="F87" s="13" t="s">
        <v>5</v>
      </c>
      <c r="G87" s="13" t="str">
        <f t="shared" si="4"/>
        <v/>
      </c>
      <c r="H87" s="4">
        <v>2.0</v>
      </c>
      <c r="K87" s="13">
        <v>2.0</v>
      </c>
      <c r="L87" s="13">
        <v>40000.0</v>
      </c>
    </row>
    <row r="88">
      <c r="A88" s="4">
        <v>87.0</v>
      </c>
      <c r="B88" s="10">
        <v>46118.0</v>
      </c>
      <c r="C88" s="17" t="s">
        <v>114</v>
      </c>
      <c r="D88" s="17" t="s">
        <v>89</v>
      </c>
      <c r="E88" s="17" t="s">
        <v>53</v>
      </c>
      <c r="F88" s="13" t="s">
        <v>6</v>
      </c>
      <c r="G88" s="13" t="str">
        <f t="shared" si="4"/>
        <v/>
      </c>
      <c r="H88" s="4">
        <v>2.0</v>
      </c>
      <c r="K88" s="13">
        <v>2.0</v>
      </c>
      <c r="L88" s="13">
        <v>40000.0</v>
      </c>
    </row>
    <row r="89">
      <c r="A89" s="4">
        <v>88.0</v>
      </c>
      <c r="B89" s="10">
        <v>46118.0</v>
      </c>
      <c r="C89" s="17" t="s">
        <v>114</v>
      </c>
      <c r="D89" s="17" t="s">
        <v>89</v>
      </c>
      <c r="E89" s="17" t="s">
        <v>53</v>
      </c>
      <c r="F89" s="13" t="s">
        <v>7</v>
      </c>
      <c r="G89" s="13" t="str">
        <f t="shared" si="4"/>
        <v/>
      </c>
      <c r="H89" s="4">
        <v>3.0</v>
      </c>
      <c r="K89" s="13">
        <v>3.0</v>
      </c>
      <c r="L89" s="13">
        <v>60000.0</v>
      </c>
    </row>
    <row r="90">
      <c r="A90" s="4">
        <v>89.0</v>
      </c>
      <c r="B90" s="10">
        <v>46118.0</v>
      </c>
      <c r="C90" s="17" t="s">
        <v>114</v>
      </c>
      <c r="D90" s="17" t="s">
        <v>89</v>
      </c>
      <c r="E90" s="17" t="s">
        <v>53</v>
      </c>
      <c r="F90" s="13" t="s">
        <v>8</v>
      </c>
      <c r="G90" s="13" t="str">
        <f t="shared" si="4"/>
        <v/>
      </c>
      <c r="H90" s="4">
        <v>3.0</v>
      </c>
      <c r="K90" s="13">
        <v>3.0</v>
      </c>
      <c r="L90" s="13">
        <v>60000.0</v>
      </c>
    </row>
    <row r="91">
      <c r="A91" s="4">
        <v>90.0</v>
      </c>
      <c r="B91" s="10">
        <v>46118.0</v>
      </c>
      <c r="C91" s="17" t="s">
        <v>114</v>
      </c>
      <c r="D91" s="17" t="s">
        <v>89</v>
      </c>
      <c r="E91" s="17" t="s">
        <v>53</v>
      </c>
      <c r="F91" s="13" t="s">
        <v>9</v>
      </c>
      <c r="G91" s="13" t="str">
        <f t="shared" si="4"/>
        <v/>
      </c>
      <c r="H91" s="4">
        <v>5.0</v>
      </c>
      <c r="K91" s="13">
        <v>5.0</v>
      </c>
      <c r="L91" s="13">
        <v>100000.0</v>
      </c>
    </row>
    <row r="92">
      <c r="A92" s="4">
        <v>91.0</v>
      </c>
      <c r="B92" s="10">
        <v>46118.0</v>
      </c>
      <c r="C92" s="17" t="s">
        <v>114</v>
      </c>
      <c r="D92" s="17" t="s">
        <v>89</v>
      </c>
      <c r="E92" s="17" t="s">
        <v>53</v>
      </c>
      <c r="F92" s="13" t="s">
        <v>10</v>
      </c>
      <c r="G92" s="13" t="str">
        <f t="shared" si="4"/>
        <v/>
      </c>
      <c r="H92" s="4">
        <v>4.0</v>
      </c>
      <c r="K92" s="13">
        <v>4.0</v>
      </c>
      <c r="L92" s="13">
        <v>80000.0</v>
      </c>
    </row>
    <row r="93">
      <c r="A93" s="4">
        <v>92.0</v>
      </c>
      <c r="B93" s="10">
        <v>46118.0</v>
      </c>
      <c r="C93" s="17" t="s">
        <v>114</v>
      </c>
      <c r="D93" s="17" t="s">
        <v>89</v>
      </c>
      <c r="E93" s="17" t="s">
        <v>53</v>
      </c>
      <c r="F93" s="13" t="s">
        <v>11</v>
      </c>
      <c r="G93" s="13" t="str">
        <f t="shared" si="4"/>
        <v/>
      </c>
      <c r="K93" s="13">
        <v>0.0</v>
      </c>
      <c r="L93" s="13">
        <v>0.0</v>
      </c>
    </row>
    <row r="94">
      <c r="A94" s="4">
        <v>93.0</v>
      </c>
      <c r="B94" s="10">
        <v>46118.0</v>
      </c>
      <c r="C94" s="17" t="s">
        <v>114</v>
      </c>
      <c r="D94" s="17" t="s">
        <v>89</v>
      </c>
      <c r="E94" s="17" t="s">
        <v>53</v>
      </c>
      <c r="F94" s="13" t="s">
        <v>12</v>
      </c>
      <c r="G94" s="13" t="str">
        <f t="shared" si="4"/>
        <v/>
      </c>
      <c r="H94" s="4">
        <v>1.0</v>
      </c>
      <c r="K94" s="13">
        <v>1.0</v>
      </c>
      <c r="L94" s="13">
        <v>20000.0</v>
      </c>
    </row>
    <row r="95">
      <c r="A95" s="4">
        <v>94.0</v>
      </c>
      <c r="B95" s="10">
        <v>46118.0</v>
      </c>
      <c r="C95" s="17" t="s">
        <v>114</v>
      </c>
      <c r="D95" s="17" t="s">
        <v>89</v>
      </c>
      <c r="E95" s="17" t="s">
        <v>53</v>
      </c>
      <c r="F95" s="13" t="s">
        <v>13</v>
      </c>
      <c r="G95" s="13" t="str">
        <f t="shared" si="4"/>
        <v/>
      </c>
      <c r="H95" s="4">
        <v>2.0</v>
      </c>
      <c r="K95" s="13">
        <v>2.0</v>
      </c>
      <c r="L95" s="13">
        <v>40000.0</v>
      </c>
    </row>
    <row r="96">
      <c r="A96" s="4">
        <v>95.0</v>
      </c>
      <c r="B96" s="10">
        <v>46118.0</v>
      </c>
      <c r="C96" s="17" t="s">
        <v>114</v>
      </c>
      <c r="D96" s="17" t="s">
        <v>89</v>
      </c>
      <c r="E96" s="17" t="s">
        <v>53</v>
      </c>
      <c r="F96" s="13" t="s">
        <v>14</v>
      </c>
      <c r="G96" s="13" t="str">
        <f t="shared" si="4"/>
        <v/>
      </c>
      <c r="H96" s="4">
        <v>2.0</v>
      </c>
      <c r="K96" s="13">
        <v>2.0</v>
      </c>
      <c r="L96" s="13">
        <v>44000.0</v>
      </c>
    </row>
    <row r="97">
      <c r="A97" s="4">
        <v>96.0</v>
      </c>
      <c r="B97" s="10">
        <v>46118.0</v>
      </c>
      <c r="C97" s="17" t="s">
        <v>114</v>
      </c>
      <c r="D97" s="17" t="s">
        <v>89</v>
      </c>
      <c r="E97" s="17" t="s">
        <v>53</v>
      </c>
      <c r="F97" s="13" t="s">
        <v>15</v>
      </c>
      <c r="G97" s="13" t="str">
        <f t="shared" si="4"/>
        <v/>
      </c>
      <c r="H97" s="4">
        <v>20.0</v>
      </c>
      <c r="K97" s="13">
        <v>20.0</v>
      </c>
      <c r="L97" s="13">
        <v>400000.0</v>
      </c>
    </row>
    <row r="98">
      <c r="A98" s="4">
        <v>97.0</v>
      </c>
      <c r="B98" s="10">
        <v>46118.0</v>
      </c>
      <c r="C98" s="17" t="s">
        <v>113</v>
      </c>
      <c r="D98" s="17" t="s">
        <v>81</v>
      </c>
      <c r="E98" s="17" t="s">
        <v>299</v>
      </c>
      <c r="F98" s="13" t="s">
        <v>4</v>
      </c>
      <c r="G98" s="13"/>
      <c r="H98" s="13"/>
      <c r="I98" s="13"/>
      <c r="J98" s="13"/>
      <c r="K98" s="13">
        <v>0.0</v>
      </c>
      <c r="L98" s="13">
        <v>0.0</v>
      </c>
      <c r="M98" s="13"/>
      <c r="N98" s="13"/>
      <c r="O98" s="13"/>
      <c r="P98" s="13"/>
      <c r="Q98" s="13"/>
      <c r="R98" s="13"/>
      <c r="S98" s="13"/>
      <c r="T98" s="13"/>
      <c r="U98" s="13"/>
      <c r="V98" s="13"/>
      <c r="W98" s="13"/>
      <c r="X98" s="13"/>
      <c r="Y98" s="13"/>
      <c r="Z98" s="13"/>
      <c r="AA98" s="13"/>
      <c r="AB98" s="13"/>
      <c r="AC98" s="13"/>
    </row>
    <row r="99">
      <c r="A99" s="4">
        <v>98.0</v>
      </c>
      <c r="B99" s="10">
        <v>46118.0</v>
      </c>
      <c r="C99" s="17" t="s">
        <v>113</v>
      </c>
      <c r="D99" s="17" t="s">
        <v>81</v>
      </c>
      <c r="E99" s="17" t="s">
        <v>299</v>
      </c>
      <c r="F99" s="13" t="s">
        <v>5</v>
      </c>
      <c r="G99" s="13"/>
      <c r="H99" s="13"/>
      <c r="I99" s="13"/>
      <c r="J99" s="13"/>
      <c r="K99" s="13">
        <v>0.0</v>
      </c>
      <c r="L99" s="13">
        <v>0.0</v>
      </c>
      <c r="M99" s="13"/>
      <c r="N99" s="13"/>
      <c r="O99" s="13"/>
      <c r="P99" s="13"/>
      <c r="Q99" s="13"/>
      <c r="R99" s="13"/>
      <c r="S99" s="13"/>
      <c r="T99" s="13"/>
      <c r="U99" s="13"/>
      <c r="V99" s="13"/>
      <c r="W99" s="13"/>
      <c r="X99" s="13"/>
      <c r="Y99" s="13"/>
      <c r="Z99" s="13"/>
      <c r="AA99" s="13"/>
      <c r="AB99" s="13"/>
      <c r="AC99" s="13"/>
    </row>
    <row r="100">
      <c r="A100" s="4">
        <v>99.0</v>
      </c>
      <c r="B100" s="10">
        <v>46118.0</v>
      </c>
      <c r="C100" s="17" t="s">
        <v>113</v>
      </c>
      <c r="D100" s="17" t="s">
        <v>81</v>
      </c>
      <c r="E100" s="17" t="s">
        <v>299</v>
      </c>
      <c r="F100" s="13" t="s">
        <v>6</v>
      </c>
      <c r="G100" s="13"/>
      <c r="H100" s="13"/>
      <c r="I100" s="13"/>
      <c r="J100" s="13"/>
      <c r="K100" s="13">
        <v>0.0</v>
      </c>
      <c r="L100" s="13">
        <v>0.0</v>
      </c>
      <c r="M100" s="13"/>
      <c r="N100" s="13"/>
      <c r="O100" s="13"/>
      <c r="P100" s="13"/>
      <c r="Q100" s="13"/>
      <c r="R100" s="13"/>
      <c r="S100" s="13"/>
      <c r="T100" s="13"/>
      <c r="U100" s="13"/>
      <c r="V100" s="13"/>
      <c r="W100" s="13"/>
      <c r="X100" s="13"/>
      <c r="Y100" s="13"/>
      <c r="Z100" s="13"/>
      <c r="AA100" s="13"/>
      <c r="AB100" s="13"/>
      <c r="AC100" s="13"/>
    </row>
    <row r="101">
      <c r="A101" s="4">
        <v>100.0</v>
      </c>
      <c r="B101" s="10">
        <v>46118.0</v>
      </c>
      <c r="C101" s="17" t="s">
        <v>113</v>
      </c>
      <c r="D101" s="17" t="s">
        <v>81</v>
      </c>
      <c r="E101" s="17" t="s">
        <v>299</v>
      </c>
      <c r="F101" s="13" t="s">
        <v>7</v>
      </c>
      <c r="G101" s="13"/>
      <c r="H101" s="13"/>
      <c r="I101" s="13"/>
      <c r="J101" s="13"/>
      <c r="K101" s="13">
        <v>0.0</v>
      </c>
      <c r="L101" s="13">
        <v>0.0</v>
      </c>
      <c r="M101" s="13"/>
      <c r="N101" s="13"/>
      <c r="O101" s="13"/>
      <c r="P101" s="13"/>
      <c r="Q101" s="13"/>
      <c r="R101" s="13"/>
      <c r="S101" s="13"/>
      <c r="T101" s="13"/>
      <c r="U101" s="13"/>
      <c r="V101" s="13"/>
      <c r="W101" s="13"/>
      <c r="X101" s="13"/>
      <c r="Y101" s="13"/>
      <c r="Z101" s="13"/>
      <c r="AA101" s="13"/>
      <c r="AB101" s="13"/>
      <c r="AC101" s="13"/>
    </row>
    <row r="102">
      <c r="A102" s="4">
        <v>101.0</v>
      </c>
      <c r="B102" s="10">
        <v>46118.0</v>
      </c>
      <c r="C102" s="17" t="s">
        <v>113</v>
      </c>
      <c r="D102" s="17" t="s">
        <v>81</v>
      </c>
      <c r="E102" s="17" t="s">
        <v>299</v>
      </c>
      <c r="F102" s="13" t="s">
        <v>8</v>
      </c>
      <c r="G102" s="13"/>
      <c r="H102" s="13"/>
      <c r="I102" s="13"/>
      <c r="J102" s="13"/>
      <c r="K102" s="13">
        <v>0.0</v>
      </c>
      <c r="L102" s="13">
        <v>0.0</v>
      </c>
      <c r="M102" s="13"/>
      <c r="N102" s="13"/>
      <c r="O102" s="13"/>
      <c r="P102" s="13"/>
      <c r="Q102" s="13"/>
      <c r="R102" s="13"/>
      <c r="S102" s="13"/>
      <c r="T102" s="13"/>
      <c r="U102" s="13"/>
      <c r="V102" s="13"/>
      <c r="W102" s="13"/>
      <c r="X102" s="13"/>
      <c r="Y102" s="13"/>
      <c r="Z102" s="13"/>
      <c r="AA102" s="13"/>
      <c r="AB102" s="13"/>
      <c r="AC102" s="13"/>
    </row>
    <row r="103">
      <c r="A103" s="4">
        <v>102.0</v>
      </c>
      <c r="B103" s="10">
        <v>46118.0</v>
      </c>
      <c r="C103" s="17" t="s">
        <v>113</v>
      </c>
      <c r="D103" s="17" t="s">
        <v>81</v>
      </c>
      <c r="E103" s="17" t="s">
        <v>299</v>
      </c>
      <c r="F103" s="13" t="s">
        <v>9</v>
      </c>
      <c r="G103" s="13"/>
      <c r="H103" s="13"/>
      <c r="I103" s="13"/>
      <c r="J103" s="13"/>
      <c r="K103" s="13">
        <v>0.0</v>
      </c>
      <c r="L103" s="13">
        <v>0.0</v>
      </c>
      <c r="M103" s="13"/>
      <c r="N103" s="13"/>
      <c r="O103" s="13"/>
      <c r="P103" s="13"/>
      <c r="Q103" s="13"/>
      <c r="R103" s="13"/>
      <c r="S103" s="13"/>
      <c r="T103" s="13"/>
      <c r="U103" s="13"/>
      <c r="V103" s="13"/>
      <c r="W103" s="13"/>
      <c r="X103" s="13"/>
      <c r="Y103" s="13"/>
      <c r="Z103" s="13"/>
      <c r="AA103" s="13"/>
      <c r="AB103" s="13"/>
      <c r="AC103" s="13"/>
    </row>
    <row r="104">
      <c r="A104" s="4">
        <v>103.0</v>
      </c>
      <c r="B104" s="10">
        <v>46118.0</v>
      </c>
      <c r="C104" s="17" t="s">
        <v>113</v>
      </c>
      <c r="D104" s="17" t="s">
        <v>81</v>
      </c>
      <c r="E104" s="17" t="s">
        <v>299</v>
      </c>
      <c r="F104" s="13" t="s">
        <v>10</v>
      </c>
      <c r="G104" s="13"/>
      <c r="H104" s="13"/>
      <c r="I104" s="13"/>
      <c r="J104" s="13"/>
      <c r="K104" s="13">
        <v>0.0</v>
      </c>
      <c r="L104" s="13">
        <v>0.0</v>
      </c>
      <c r="M104" s="13"/>
      <c r="N104" s="13"/>
      <c r="O104" s="13"/>
      <c r="P104" s="13"/>
      <c r="Q104" s="13"/>
      <c r="R104" s="13"/>
      <c r="S104" s="13"/>
      <c r="T104" s="13"/>
      <c r="U104" s="13"/>
      <c r="V104" s="13"/>
      <c r="W104" s="13"/>
      <c r="X104" s="13"/>
      <c r="Y104" s="13"/>
      <c r="Z104" s="13"/>
      <c r="AA104" s="13"/>
      <c r="AB104" s="13"/>
      <c r="AC104" s="13"/>
    </row>
    <row r="105">
      <c r="A105" s="4">
        <v>104.0</v>
      </c>
      <c r="B105" s="10">
        <v>46118.0</v>
      </c>
      <c r="C105" s="17" t="s">
        <v>113</v>
      </c>
      <c r="D105" s="17" t="s">
        <v>81</v>
      </c>
      <c r="E105" s="17" t="s">
        <v>299</v>
      </c>
      <c r="F105" s="13" t="s">
        <v>11</v>
      </c>
      <c r="G105" s="13"/>
      <c r="H105" s="13"/>
      <c r="I105" s="13"/>
      <c r="J105" s="13"/>
      <c r="K105" s="13">
        <v>0.0</v>
      </c>
      <c r="L105" s="13">
        <v>0.0</v>
      </c>
      <c r="M105" s="13"/>
      <c r="N105" s="13"/>
      <c r="O105" s="13"/>
      <c r="P105" s="13"/>
      <c r="Q105" s="13"/>
      <c r="R105" s="13"/>
      <c r="S105" s="13"/>
      <c r="T105" s="13"/>
      <c r="U105" s="13"/>
      <c r="V105" s="13"/>
      <c r="W105" s="13"/>
      <c r="X105" s="13"/>
      <c r="Y105" s="13"/>
      <c r="Z105" s="13"/>
      <c r="AA105" s="13"/>
      <c r="AB105" s="13"/>
      <c r="AC105" s="13"/>
    </row>
    <row r="106">
      <c r="A106" s="4">
        <v>105.0</v>
      </c>
      <c r="B106" s="10">
        <v>46118.0</v>
      </c>
      <c r="C106" s="17" t="s">
        <v>113</v>
      </c>
      <c r="D106" s="17" t="s">
        <v>81</v>
      </c>
      <c r="E106" s="17" t="s">
        <v>299</v>
      </c>
      <c r="F106" s="13" t="s">
        <v>12</v>
      </c>
      <c r="G106" s="13"/>
      <c r="H106" s="13"/>
      <c r="I106" s="13"/>
      <c r="J106" s="13"/>
      <c r="K106" s="13">
        <v>0.0</v>
      </c>
      <c r="L106" s="13">
        <v>0.0</v>
      </c>
      <c r="M106" s="13"/>
      <c r="N106" s="13"/>
      <c r="O106" s="13"/>
      <c r="P106" s="13"/>
      <c r="Q106" s="13"/>
      <c r="R106" s="13"/>
      <c r="S106" s="13"/>
      <c r="T106" s="13"/>
      <c r="U106" s="13"/>
      <c r="V106" s="13"/>
      <c r="W106" s="13"/>
      <c r="X106" s="13"/>
      <c r="Y106" s="13"/>
      <c r="Z106" s="13"/>
      <c r="AA106" s="13"/>
      <c r="AB106" s="13"/>
      <c r="AC106" s="13"/>
    </row>
    <row r="107">
      <c r="A107" s="4">
        <v>106.0</v>
      </c>
      <c r="B107" s="10">
        <v>46118.0</v>
      </c>
      <c r="C107" s="17" t="s">
        <v>113</v>
      </c>
      <c r="D107" s="17" t="s">
        <v>81</v>
      </c>
      <c r="E107" s="17" t="s">
        <v>299</v>
      </c>
      <c r="F107" s="13" t="s">
        <v>13</v>
      </c>
      <c r="G107" s="13"/>
      <c r="H107" s="13"/>
      <c r="I107" s="13"/>
      <c r="J107" s="13"/>
      <c r="K107" s="13">
        <v>0.0</v>
      </c>
      <c r="L107" s="13">
        <v>0.0</v>
      </c>
      <c r="M107" s="13"/>
      <c r="N107" s="13"/>
      <c r="O107" s="13"/>
      <c r="P107" s="13"/>
      <c r="Q107" s="13"/>
      <c r="R107" s="13"/>
      <c r="S107" s="13"/>
      <c r="T107" s="13"/>
      <c r="U107" s="13"/>
      <c r="V107" s="13"/>
      <c r="W107" s="13"/>
      <c r="X107" s="13"/>
      <c r="Y107" s="13"/>
      <c r="Z107" s="13"/>
      <c r="AA107" s="13"/>
      <c r="AB107" s="13"/>
      <c r="AC107" s="13"/>
    </row>
    <row r="108">
      <c r="A108" s="4">
        <v>107.0</v>
      </c>
      <c r="B108" s="10">
        <v>46118.0</v>
      </c>
      <c r="C108" s="17" t="s">
        <v>113</v>
      </c>
      <c r="D108" s="17" t="s">
        <v>81</v>
      </c>
      <c r="E108" s="17" t="s">
        <v>299</v>
      </c>
      <c r="F108" s="13" t="s">
        <v>14</v>
      </c>
      <c r="G108" s="13"/>
      <c r="H108" s="13"/>
      <c r="I108" s="13"/>
      <c r="J108" s="13"/>
      <c r="K108" s="13">
        <v>0.0</v>
      </c>
      <c r="L108" s="13">
        <v>0.0</v>
      </c>
      <c r="M108" s="13"/>
      <c r="N108" s="13"/>
      <c r="O108" s="13"/>
      <c r="P108" s="13"/>
      <c r="Q108" s="13"/>
      <c r="R108" s="13"/>
      <c r="S108" s="13"/>
      <c r="T108" s="13"/>
      <c r="U108" s="13"/>
      <c r="V108" s="13"/>
      <c r="W108" s="13"/>
      <c r="X108" s="13"/>
      <c r="Y108" s="13"/>
      <c r="Z108" s="13"/>
      <c r="AA108" s="13"/>
      <c r="AB108" s="13"/>
      <c r="AC108" s="13"/>
    </row>
    <row r="109">
      <c r="A109" s="4">
        <v>108.0</v>
      </c>
      <c r="B109" s="10">
        <v>46118.0</v>
      </c>
      <c r="C109" s="17" t="s">
        <v>113</v>
      </c>
      <c r="D109" s="17" t="s">
        <v>81</v>
      </c>
      <c r="E109" s="17" t="s">
        <v>299</v>
      </c>
      <c r="F109" s="13" t="s">
        <v>15</v>
      </c>
      <c r="G109" s="13"/>
      <c r="H109" s="13"/>
      <c r="I109" s="13"/>
      <c r="J109" s="13"/>
      <c r="K109" s="13">
        <v>0.0</v>
      </c>
      <c r="L109" s="13">
        <v>0.0</v>
      </c>
      <c r="M109" s="13"/>
      <c r="N109" s="13"/>
      <c r="O109" s="13"/>
      <c r="P109" s="13"/>
      <c r="Q109" s="13"/>
      <c r="R109" s="13"/>
      <c r="S109" s="13"/>
      <c r="T109" s="13"/>
      <c r="U109" s="13"/>
      <c r="V109" s="13"/>
      <c r="W109" s="13"/>
      <c r="X109" s="13"/>
      <c r="Y109" s="13"/>
      <c r="Z109" s="13"/>
      <c r="AA109" s="13"/>
      <c r="AB109" s="13"/>
      <c r="AC109" s="13"/>
    </row>
    <row r="110">
      <c r="A110" s="4">
        <v>109.0</v>
      </c>
      <c r="B110" s="10">
        <v>46118.0</v>
      </c>
      <c r="C110" s="17" t="s">
        <v>114</v>
      </c>
      <c r="D110" s="17" t="s">
        <v>81</v>
      </c>
      <c r="E110" s="17" t="s">
        <v>73</v>
      </c>
      <c r="F110" s="13" t="s">
        <v>4</v>
      </c>
      <c r="H110" s="4">
        <v>5.0</v>
      </c>
      <c r="K110" s="13">
        <v>5.0</v>
      </c>
      <c r="L110" s="13">
        <v>100000.0</v>
      </c>
    </row>
    <row r="111">
      <c r="A111" s="4">
        <v>110.0</v>
      </c>
      <c r="B111" s="10">
        <v>46118.0</v>
      </c>
      <c r="C111" s="17" t="s">
        <v>114</v>
      </c>
      <c r="D111" s="17" t="s">
        <v>81</v>
      </c>
      <c r="E111" s="17" t="s">
        <v>73</v>
      </c>
      <c r="F111" s="13" t="s">
        <v>5</v>
      </c>
      <c r="H111" s="4">
        <v>1.0</v>
      </c>
      <c r="K111" s="13">
        <v>1.0</v>
      </c>
      <c r="L111" s="13">
        <v>20000.0</v>
      </c>
    </row>
    <row r="112">
      <c r="A112" s="4">
        <v>111.0</v>
      </c>
      <c r="B112" s="10">
        <v>46118.0</v>
      </c>
      <c r="C112" s="17" t="s">
        <v>114</v>
      </c>
      <c r="D112" s="17" t="s">
        <v>81</v>
      </c>
      <c r="E112" s="17" t="s">
        <v>73</v>
      </c>
      <c r="F112" s="13" t="s">
        <v>6</v>
      </c>
      <c r="H112" s="13">
        <v>2.0</v>
      </c>
      <c r="K112" s="13">
        <v>2.0</v>
      </c>
      <c r="L112" s="13">
        <v>40000.0</v>
      </c>
    </row>
    <row r="113">
      <c r="A113" s="4">
        <v>112.0</v>
      </c>
      <c r="B113" s="10">
        <v>46118.0</v>
      </c>
      <c r="C113" s="17" t="s">
        <v>114</v>
      </c>
      <c r="D113" s="17" t="s">
        <v>81</v>
      </c>
      <c r="E113" s="17" t="s">
        <v>73</v>
      </c>
      <c r="F113" s="13" t="s">
        <v>7</v>
      </c>
      <c r="H113" s="13">
        <v>0.0</v>
      </c>
      <c r="K113" s="13">
        <v>0.0</v>
      </c>
      <c r="L113" s="13">
        <v>0.0</v>
      </c>
    </row>
    <row r="114">
      <c r="A114" s="4">
        <v>113.0</v>
      </c>
      <c r="B114" s="10">
        <v>46104.0</v>
      </c>
      <c r="C114" s="17" t="s">
        <v>114</v>
      </c>
      <c r="D114" s="17" t="s">
        <v>81</v>
      </c>
      <c r="E114" s="17" t="s">
        <v>73</v>
      </c>
      <c r="F114" s="13" t="s">
        <v>8</v>
      </c>
      <c r="H114" s="13">
        <v>4.0</v>
      </c>
      <c r="K114" s="13">
        <v>4.0</v>
      </c>
      <c r="L114" s="13">
        <v>80000.0</v>
      </c>
    </row>
    <row r="115">
      <c r="A115" s="4">
        <v>114.0</v>
      </c>
      <c r="B115" s="10">
        <v>46104.0</v>
      </c>
      <c r="C115" s="17" t="s">
        <v>114</v>
      </c>
      <c r="D115" s="17" t="s">
        <v>81</v>
      </c>
      <c r="E115" s="17" t="s">
        <v>73</v>
      </c>
      <c r="F115" s="13" t="s">
        <v>9</v>
      </c>
      <c r="H115" s="4">
        <v>5.0</v>
      </c>
      <c r="K115" s="13">
        <v>5.0</v>
      </c>
      <c r="L115" s="13">
        <v>100000.0</v>
      </c>
    </row>
    <row r="116">
      <c r="A116" s="4">
        <v>115.0</v>
      </c>
      <c r="B116" s="10">
        <v>46104.0</v>
      </c>
      <c r="C116" s="17" t="s">
        <v>114</v>
      </c>
      <c r="D116" s="17" t="s">
        <v>81</v>
      </c>
      <c r="E116" s="17" t="s">
        <v>73</v>
      </c>
      <c r="F116" s="13" t="s">
        <v>10</v>
      </c>
      <c r="H116" s="13">
        <v>3.0</v>
      </c>
      <c r="K116" s="13">
        <v>3.0</v>
      </c>
      <c r="L116" s="13">
        <v>60000.0</v>
      </c>
    </row>
    <row r="117">
      <c r="A117" s="4">
        <v>116.0</v>
      </c>
      <c r="B117" s="10">
        <v>46104.0</v>
      </c>
      <c r="C117" s="17" t="s">
        <v>114</v>
      </c>
      <c r="D117" s="17" t="s">
        <v>81</v>
      </c>
      <c r="E117" s="17" t="s">
        <v>73</v>
      </c>
      <c r="F117" s="13" t="s">
        <v>11</v>
      </c>
      <c r="H117" s="13">
        <v>0.0</v>
      </c>
      <c r="K117" s="13">
        <v>0.0</v>
      </c>
      <c r="L117" s="13">
        <v>0.0</v>
      </c>
    </row>
    <row r="118">
      <c r="A118" s="4">
        <v>117.0</v>
      </c>
      <c r="B118" s="10">
        <v>46104.0</v>
      </c>
      <c r="C118" s="17" t="s">
        <v>114</v>
      </c>
      <c r="D118" s="17" t="s">
        <v>81</v>
      </c>
      <c r="E118" s="17" t="s">
        <v>73</v>
      </c>
      <c r="F118" s="13" t="s">
        <v>12</v>
      </c>
      <c r="H118" s="13">
        <v>0.0</v>
      </c>
      <c r="K118" s="13">
        <v>0.0</v>
      </c>
      <c r="L118" s="13">
        <v>0.0</v>
      </c>
    </row>
    <row r="119">
      <c r="A119" s="4">
        <v>118.0</v>
      </c>
      <c r="B119" s="10">
        <v>46104.0</v>
      </c>
      <c r="C119" s="17" t="s">
        <v>114</v>
      </c>
      <c r="D119" s="17" t="s">
        <v>81</v>
      </c>
      <c r="E119" s="17" t="s">
        <v>73</v>
      </c>
      <c r="F119" s="13" t="s">
        <v>13</v>
      </c>
      <c r="H119" s="13">
        <v>3.0</v>
      </c>
      <c r="K119" s="13">
        <v>3.0</v>
      </c>
      <c r="L119" s="13">
        <v>60000.0</v>
      </c>
    </row>
    <row r="120">
      <c r="A120" s="4">
        <v>119.0</v>
      </c>
      <c r="B120" s="10">
        <v>46104.0</v>
      </c>
      <c r="C120" s="17" t="s">
        <v>114</v>
      </c>
      <c r="D120" s="17" t="s">
        <v>81</v>
      </c>
      <c r="E120" s="17" t="s">
        <v>73</v>
      </c>
      <c r="F120" s="13" t="s">
        <v>14</v>
      </c>
      <c r="K120" s="13">
        <v>0.0</v>
      </c>
      <c r="L120" s="13">
        <v>0.0</v>
      </c>
    </row>
    <row r="121">
      <c r="A121" s="4">
        <v>120.0</v>
      </c>
      <c r="B121" s="10">
        <v>46104.0</v>
      </c>
      <c r="C121" s="17" t="s">
        <v>114</v>
      </c>
      <c r="D121" s="17" t="s">
        <v>81</v>
      </c>
      <c r="E121" s="17" t="s">
        <v>73</v>
      </c>
      <c r="F121" s="13" t="s">
        <v>15</v>
      </c>
      <c r="H121" s="4">
        <v>23.0</v>
      </c>
      <c r="K121" s="13">
        <v>23.0</v>
      </c>
      <c r="L121" s="13">
        <v>460000.0</v>
      </c>
    </row>
    <row r="122">
      <c r="A122" s="4">
        <v>121.0</v>
      </c>
      <c r="B122" s="10">
        <v>46104.0</v>
      </c>
      <c r="C122" s="17"/>
      <c r="D122" s="17" t="s">
        <v>300</v>
      </c>
      <c r="E122" s="17" t="s">
        <v>299</v>
      </c>
      <c r="F122" s="13" t="s">
        <v>4</v>
      </c>
      <c r="G122" s="13"/>
      <c r="H122" s="13"/>
      <c r="I122" s="13"/>
      <c r="J122" s="13"/>
      <c r="K122" s="13">
        <v>0.0</v>
      </c>
      <c r="L122" s="13">
        <v>0.0</v>
      </c>
      <c r="M122" s="13"/>
      <c r="N122" s="13"/>
      <c r="O122" s="13"/>
      <c r="P122" s="13"/>
      <c r="Q122" s="13"/>
      <c r="R122" s="13"/>
      <c r="S122" s="13"/>
      <c r="T122" s="13"/>
      <c r="U122" s="13"/>
      <c r="V122" s="13"/>
      <c r="W122" s="13"/>
      <c r="X122" s="13"/>
      <c r="Y122" s="13"/>
      <c r="Z122" s="13"/>
      <c r="AA122" s="13"/>
      <c r="AB122" s="13"/>
      <c r="AC122" s="13"/>
    </row>
    <row r="123">
      <c r="A123" s="4">
        <v>122.0</v>
      </c>
      <c r="B123" s="10">
        <v>46104.0</v>
      </c>
      <c r="C123" s="17"/>
      <c r="D123" s="17" t="s">
        <v>300</v>
      </c>
      <c r="E123" s="17" t="s">
        <v>299</v>
      </c>
      <c r="F123" s="13" t="s">
        <v>5</v>
      </c>
      <c r="G123" s="13"/>
      <c r="H123" s="13"/>
      <c r="I123" s="13"/>
      <c r="J123" s="13"/>
      <c r="K123" s="13">
        <v>0.0</v>
      </c>
      <c r="L123" s="13">
        <v>0.0</v>
      </c>
      <c r="M123" s="13"/>
      <c r="N123" s="13"/>
      <c r="O123" s="13"/>
      <c r="P123" s="13"/>
      <c r="Q123" s="13"/>
      <c r="R123" s="13"/>
      <c r="S123" s="13"/>
      <c r="T123" s="13"/>
      <c r="U123" s="13"/>
      <c r="V123" s="13"/>
      <c r="W123" s="13"/>
      <c r="X123" s="13"/>
      <c r="Y123" s="13"/>
      <c r="Z123" s="13"/>
      <c r="AA123" s="13"/>
      <c r="AB123" s="13"/>
      <c r="AC123" s="13"/>
    </row>
    <row r="124">
      <c r="A124" s="4">
        <v>123.0</v>
      </c>
      <c r="B124" s="10">
        <v>46104.0</v>
      </c>
      <c r="C124" s="17"/>
      <c r="D124" s="17" t="s">
        <v>300</v>
      </c>
      <c r="E124" s="17" t="s">
        <v>299</v>
      </c>
      <c r="F124" s="13" t="s">
        <v>6</v>
      </c>
      <c r="G124" s="13"/>
      <c r="H124" s="13"/>
      <c r="I124" s="13"/>
      <c r="J124" s="13"/>
      <c r="K124" s="13">
        <v>0.0</v>
      </c>
      <c r="L124" s="13">
        <v>0.0</v>
      </c>
      <c r="M124" s="13"/>
      <c r="N124" s="13"/>
      <c r="O124" s="13"/>
      <c r="P124" s="13"/>
      <c r="Q124" s="13"/>
      <c r="R124" s="13"/>
      <c r="S124" s="13"/>
      <c r="T124" s="13"/>
      <c r="U124" s="13"/>
      <c r="V124" s="13"/>
      <c r="W124" s="13"/>
      <c r="X124" s="13"/>
      <c r="Y124" s="13"/>
      <c r="Z124" s="13"/>
      <c r="AA124" s="13"/>
      <c r="AB124" s="13"/>
      <c r="AC124" s="13"/>
    </row>
    <row r="125">
      <c r="A125" s="4">
        <v>124.0</v>
      </c>
      <c r="B125" s="10">
        <v>46104.0</v>
      </c>
      <c r="C125" s="17"/>
      <c r="D125" s="17" t="s">
        <v>300</v>
      </c>
      <c r="E125" s="17" t="s">
        <v>299</v>
      </c>
      <c r="F125" s="13" t="s">
        <v>7</v>
      </c>
      <c r="G125" s="13"/>
      <c r="H125" s="13"/>
      <c r="I125" s="13"/>
      <c r="J125" s="13"/>
      <c r="K125" s="13">
        <v>0.0</v>
      </c>
      <c r="L125" s="13">
        <v>0.0</v>
      </c>
      <c r="M125" s="13"/>
      <c r="N125" s="13"/>
      <c r="O125" s="13"/>
      <c r="P125" s="13"/>
      <c r="Q125" s="13"/>
      <c r="R125" s="13"/>
      <c r="S125" s="13"/>
      <c r="T125" s="13"/>
      <c r="U125" s="13"/>
      <c r="V125" s="13"/>
      <c r="W125" s="13"/>
      <c r="X125" s="13"/>
      <c r="Y125" s="13"/>
      <c r="Z125" s="13"/>
      <c r="AA125" s="13"/>
      <c r="AB125" s="13"/>
      <c r="AC125" s="13"/>
    </row>
    <row r="126">
      <c r="A126" s="4">
        <v>125.0</v>
      </c>
      <c r="B126" s="10">
        <v>46104.0</v>
      </c>
      <c r="C126" s="17"/>
      <c r="D126" s="17" t="s">
        <v>300</v>
      </c>
      <c r="E126" s="17" t="s">
        <v>299</v>
      </c>
      <c r="F126" s="13" t="s">
        <v>8</v>
      </c>
      <c r="G126" s="13"/>
      <c r="H126" s="13"/>
      <c r="I126" s="13"/>
      <c r="J126" s="13"/>
      <c r="K126" s="13">
        <v>0.0</v>
      </c>
      <c r="L126" s="13">
        <v>0.0</v>
      </c>
      <c r="M126" s="13"/>
      <c r="N126" s="13"/>
      <c r="O126" s="13"/>
      <c r="P126" s="13"/>
      <c r="Q126" s="13"/>
      <c r="R126" s="13"/>
      <c r="S126" s="13"/>
      <c r="T126" s="13"/>
      <c r="U126" s="13"/>
      <c r="V126" s="13"/>
      <c r="W126" s="13"/>
      <c r="X126" s="13"/>
      <c r="Y126" s="13"/>
      <c r="Z126" s="13"/>
      <c r="AA126" s="13"/>
      <c r="AB126" s="13"/>
      <c r="AC126" s="13"/>
    </row>
    <row r="127">
      <c r="A127" s="4">
        <v>126.0</v>
      </c>
      <c r="B127" s="10">
        <v>46104.0</v>
      </c>
      <c r="C127" s="17"/>
      <c r="D127" s="17" t="s">
        <v>300</v>
      </c>
      <c r="E127" s="17" t="s">
        <v>299</v>
      </c>
      <c r="F127" s="13" t="s">
        <v>9</v>
      </c>
      <c r="G127" s="13"/>
      <c r="H127" s="13"/>
      <c r="I127" s="13"/>
      <c r="J127" s="13"/>
      <c r="K127" s="13">
        <v>0.0</v>
      </c>
      <c r="L127" s="13">
        <v>0.0</v>
      </c>
      <c r="M127" s="13"/>
      <c r="N127" s="13"/>
      <c r="O127" s="13"/>
      <c r="P127" s="13"/>
      <c r="Q127" s="13"/>
      <c r="R127" s="13"/>
      <c r="S127" s="13"/>
      <c r="T127" s="13"/>
      <c r="U127" s="13"/>
      <c r="V127" s="13"/>
      <c r="W127" s="13"/>
      <c r="X127" s="13"/>
      <c r="Y127" s="13"/>
      <c r="Z127" s="13"/>
      <c r="AA127" s="13"/>
      <c r="AB127" s="13"/>
      <c r="AC127" s="13"/>
    </row>
    <row r="128">
      <c r="A128" s="4">
        <v>127.0</v>
      </c>
      <c r="B128" s="10">
        <v>46104.0</v>
      </c>
      <c r="C128" s="17"/>
      <c r="D128" s="17" t="s">
        <v>300</v>
      </c>
      <c r="E128" s="17" t="s">
        <v>299</v>
      </c>
      <c r="F128" s="13" t="s">
        <v>10</v>
      </c>
      <c r="G128" s="13"/>
      <c r="H128" s="13"/>
      <c r="I128" s="13"/>
      <c r="J128" s="13"/>
      <c r="K128" s="13">
        <v>0.0</v>
      </c>
      <c r="L128" s="13">
        <v>0.0</v>
      </c>
      <c r="M128" s="13"/>
      <c r="N128" s="13"/>
      <c r="O128" s="13"/>
      <c r="P128" s="13"/>
      <c r="Q128" s="13"/>
      <c r="R128" s="13"/>
      <c r="S128" s="13"/>
      <c r="T128" s="13"/>
      <c r="U128" s="13"/>
      <c r="V128" s="13"/>
      <c r="W128" s="13"/>
      <c r="X128" s="13"/>
      <c r="Y128" s="13"/>
      <c r="Z128" s="13"/>
      <c r="AA128" s="13"/>
      <c r="AB128" s="13"/>
      <c r="AC128" s="13"/>
    </row>
    <row r="129">
      <c r="A129" s="4">
        <v>128.0</v>
      </c>
      <c r="B129" s="10">
        <v>46104.0</v>
      </c>
      <c r="C129" s="17"/>
      <c r="D129" s="17" t="s">
        <v>300</v>
      </c>
      <c r="E129" s="17" t="s">
        <v>299</v>
      </c>
      <c r="F129" s="13" t="s">
        <v>11</v>
      </c>
      <c r="G129" s="13"/>
      <c r="H129" s="13"/>
      <c r="I129" s="13"/>
      <c r="J129" s="13"/>
      <c r="K129" s="13">
        <v>0.0</v>
      </c>
      <c r="L129" s="13">
        <v>0.0</v>
      </c>
      <c r="M129" s="13"/>
      <c r="N129" s="13"/>
      <c r="O129" s="13"/>
      <c r="P129" s="13"/>
      <c r="Q129" s="13"/>
      <c r="R129" s="13"/>
      <c r="S129" s="13"/>
      <c r="T129" s="13"/>
      <c r="U129" s="13"/>
      <c r="V129" s="13"/>
      <c r="W129" s="13"/>
      <c r="X129" s="13"/>
      <c r="Y129" s="13"/>
      <c r="Z129" s="13"/>
      <c r="AA129" s="13"/>
      <c r="AB129" s="13"/>
      <c r="AC129" s="13"/>
    </row>
    <row r="130">
      <c r="A130" s="4">
        <v>129.0</v>
      </c>
      <c r="B130" s="10">
        <v>46104.0</v>
      </c>
      <c r="C130" s="17"/>
      <c r="D130" s="17" t="s">
        <v>300</v>
      </c>
      <c r="E130" s="17" t="s">
        <v>299</v>
      </c>
      <c r="F130" s="13" t="s">
        <v>12</v>
      </c>
      <c r="G130" s="13"/>
      <c r="H130" s="13"/>
      <c r="I130" s="13"/>
      <c r="J130" s="13"/>
      <c r="K130" s="13">
        <v>0.0</v>
      </c>
      <c r="L130" s="13">
        <v>0.0</v>
      </c>
      <c r="M130" s="13"/>
      <c r="N130" s="13"/>
      <c r="O130" s="13"/>
      <c r="P130" s="13"/>
      <c r="Q130" s="13"/>
      <c r="R130" s="13"/>
      <c r="S130" s="13"/>
      <c r="T130" s="13"/>
      <c r="U130" s="13"/>
      <c r="V130" s="13"/>
      <c r="W130" s="13"/>
      <c r="X130" s="13"/>
      <c r="Y130" s="13"/>
      <c r="Z130" s="13"/>
      <c r="AA130" s="13"/>
      <c r="AB130" s="13"/>
      <c r="AC130" s="13"/>
    </row>
    <row r="131">
      <c r="A131" s="4">
        <v>130.0</v>
      </c>
      <c r="B131" s="10">
        <v>46104.0</v>
      </c>
      <c r="C131" s="17"/>
      <c r="D131" s="17" t="s">
        <v>300</v>
      </c>
      <c r="E131" s="17" t="s">
        <v>299</v>
      </c>
      <c r="F131" s="13" t="s">
        <v>13</v>
      </c>
      <c r="G131" s="13"/>
      <c r="H131" s="13"/>
      <c r="I131" s="13"/>
      <c r="J131" s="13"/>
      <c r="K131" s="13">
        <v>0.0</v>
      </c>
      <c r="L131" s="13">
        <v>0.0</v>
      </c>
      <c r="M131" s="13"/>
      <c r="N131" s="13"/>
      <c r="O131" s="13"/>
      <c r="P131" s="13"/>
      <c r="Q131" s="13"/>
      <c r="R131" s="13"/>
      <c r="S131" s="13"/>
      <c r="T131" s="13"/>
      <c r="U131" s="13"/>
      <c r="V131" s="13"/>
      <c r="W131" s="13"/>
      <c r="X131" s="13"/>
      <c r="Y131" s="13"/>
      <c r="Z131" s="13"/>
      <c r="AA131" s="13"/>
      <c r="AB131" s="13"/>
      <c r="AC131" s="13"/>
    </row>
    <row r="132">
      <c r="A132" s="4">
        <v>131.0</v>
      </c>
      <c r="B132" s="10">
        <v>46104.0</v>
      </c>
      <c r="C132" s="17"/>
      <c r="D132" s="17" t="s">
        <v>300</v>
      </c>
      <c r="E132" s="17" t="s">
        <v>299</v>
      </c>
      <c r="F132" s="13" t="s">
        <v>14</v>
      </c>
      <c r="G132" s="13"/>
      <c r="H132" s="13"/>
      <c r="I132" s="13"/>
      <c r="J132" s="13"/>
      <c r="K132" s="13">
        <v>0.0</v>
      </c>
      <c r="L132" s="13">
        <v>0.0</v>
      </c>
      <c r="M132" s="13"/>
      <c r="N132" s="13"/>
      <c r="O132" s="13"/>
      <c r="P132" s="13"/>
      <c r="Q132" s="13"/>
      <c r="R132" s="13"/>
      <c r="S132" s="13"/>
      <c r="T132" s="13"/>
      <c r="U132" s="13"/>
      <c r="V132" s="13"/>
      <c r="W132" s="13"/>
      <c r="X132" s="13"/>
      <c r="Y132" s="13"/>
      <c r="Z132" s="13"/>
      <c r="AA132" s="13"/>
      <c r="AB132" s="13"/>
      <c r="AC132" s="13"/>
    </row>
    <row r="133">
      <c r="A133" s="4">
        <v>132.0</v>
      </c>
      <c r="B133" s="10">
        <v>46104.0</v>
      </c>
      <c r="C133" s="17"/>
      <c r="D133" s="17" t="s">
        <v>300</v>
      </c>
      <c r="E133" s="17" t="s">
        <v>299</v>
      </c>
      <c r="F133" s="13" t="s">
        <v>15</v>
      </c>
      <c r="G133" s="13"/>
      <c r="H133" s="13"/>
      <c r="I133" s="13"/>
      <c r="J133" s="13"/>
      <c r="K133" s="13">
        <v>0.0</v>
      </c>
      <c r="L133" s="13">
        <v>0.0</v>
      </c>
      <c r="M133" s="13"/>
      <c r="N133" s="13"/>
      <c r="O133" s="13"/>
      <c r="P133" s="13"/>
      <c r="Q133" s="13"/>
      <c r="R133" s="13"/>
      <c r="S133" s="13"/>
      <c r="T133" s="13"/>
      <c r="U133" s="13"/>
      <c r="V133" s="13"/>
      <c r="W133" s="13"/>
      <c r="X133" s="13"/>
      <c r="Y133" s="13"/>
      <c r="Z133" s="13"/>
      <c r="AA133" s="13"/>
      <c r="AB133" s="13"/>
      <c r="AC133" s="13"/>
    </row>
    <row r="134">
      <c r="A134" s="4">
        <v>133.0</v>
      </c>
      <c r="B134" s="10">
        <v>46104.0</v>
      </c>
      <c r="C134" s="17"/>
      <c r="D134" s="17" t="s">
        <v>300</v>
      </c>
      <c r="E134" s="17" t="s">
        <v>299</v>
      </c>
      <c r="F134" s="13" t="s">
        <v>4</v>
      </c>
      <c r="G134" s="13"/>
      <c r="H134" s="13"/>
      <c r="I134" s="13"/>
      <c r="J134" s="13"/>
      <c r="K134" s="13">
        <v>0.0</v>
      </c>
      <c r="L134" s="13">
        <v>0.0</v>
      </c>
      <c r="M134" s="13"/>
      <c r="N134" s="13"/>
      <c r="O134" s="13"/>
      <c r="P134" s="13"/>
      <c r="Q134" s="13"/>
      <c r="R134" s="13"/>
      <c r="S134" s="13"/>
      <c r="T134" s="13"/>
      <c r="U134" s="13"/>
      <c r="V134" s="13"/>
      <c r="W134" s="13"/>
      <c r="X134" s="13"/>
      <c r="Y134" s="13"/>
      <c r="Z134" s="13"/>
      <c r="AA134" s="13"/>
      <c r="AB134" s="13"/>
      <c r="AC134" s="13"/>
    </row>
    <row r="135">
      <c r="A135" s="4">
        <v>134.0</v>
      </c>
      <c r="B135" s="10">
        <v>46104.0</v>
      </c>
      <c r="C135" s="17"/>
      <c r="D135" s="17" t="s">
        <v>300</v>
      </c>
      <c r="E135" s="17" t="s">
        <v>299</v>
      </c>
      <c r="F135" s="13" t="s">
        <v>5</v>
      </c>
      <c r="G135" s="13"/>
      <c r="H135" s="13"/>
      <c r="I135" s="13"/>
      <c r="J135" s="13"/>
      <c r="K135" s="13">
        <v>0.0</v>
      </c>
      <c r="L135" s="13">
        <v>0.0</v>
      </c>
      <c r="M135" s="13"/>
      <c r="N135" s="13"/>
      <c r="O135" s="13"/>
      <c r="P135" s="13"/>
      <c r="Q135" s="13"/>
      <c r="R135" s="13"/>
      <c r="S135" s="13"/>
      <c r="T135" s="13"/>
      <c r="U135" s="13"/>
      <c r="V135" s="13"/>
      <c r="W135" s="13"/>
      <c r="X135" s="13"/>
      <c r="Y135" s="13"/>
      <c r="Z135" s="13"/>
      <c r="AA135" s="13"/>
      <c r="AB135" s="13"/>
      <c r="AC135" s="13"/>
    </row>
    <row r="136">
      <c r="A136" s="4">
        <v>135.0</v>
      </c>
      <c r="B136" s="10">
        <v>46104.0</v>
      </c>
      <c r="C136" s="17"/>
      <c r="D136" s="17" t="s">
        <v>300</v>
      </c>
      <c r="E136" s="17" t="s">
        <v>299</v>
      </c>
      <c r="F136" s="13" t="s">
        <v>6</v>
      </c>
      <c r="G136" s="13"/>
      <c r="H136" s="13"/>
      <c r="I136" s="13"/>
      <c r="J136" s="13"/>
      <c r="K136" s="13">
        <v>0.0</v>
      </c>
      <c r="L136" s="13">
        <v>0.0</v>
      </c>
      <c r="M136" s="13"/>
      <c r="N136" s="13"/>
      <c r="O136" s="13"/>
      <c r="P136" s="13"/>
      <c r="Q136" s="13"/>
      <c r="R136" s="13"/>
      <c r="S136" s="13"/>
      <c r="T136" s="13"/>
      <c r="U136" s="13"/>
      <c r="V136" s="13"/>
      <c r="W136" s="13"/>
      <c r="X136" s="13"/>
      <c r="Y136" s="13"/>
      <c r="Z136" s="13"/>
      <c r="AA136" s="13"/>
      <c r="AB136" s="13"/>
      <c r="AC136" s="13"/>
    </row>
    <row r="137">
      <c r="A137" s="4">
        <v>136.0</v>
      </c>
      <c r="B137" s="10">
        <v>46104.0</v>
      </c>
      <c r="C137" s="17"/>
      <c r="D137" s="17" t="s">
        <v>300</v>
      </c>
      <c r="E137" s="17" t="s">
        <v>299</v>
      </c>
      <c r="F137" s="13" t="s">
        <v>7</v>
      </c>
      <c r="G137" s="13"/>
      <c r="H137" s="13"/>
      <c r="I137" s="13"/>
      <c r="J137" s="13"/>
      <c r="K137" s="13">
        <v>0.0</v>
      </c>
      <c r="L137" s="13">
        <v>0.0</v>
      </c>
      <c r="M137" s="13"/>
      <c r="N137" s="13"/>
      <c r="O137" s="13"/>
      <c r="P137" s="13"/>
      <c r="Q137" s="13"/>
      <c r="R137" s="13"/>
      <c r="S137" s="13"/>
      <c r="T137" s="13"/>
      <c r="U137" s="13"/>
      <c r="V137" s="13"/>
      <c r="W137" s="13"/>
      <c r="X137" s="13"/>
      <c r="Y137" s="13"/>
      <c r="Z137" s="13"/>
      <c r="AA137" s="13"/>
      <c r="AB137" s="13"/>
      <c r="AC137" s="13"/>
    </row>
    <row r="138">
      <c r="A138" s="4">
        <v>137.0</v>
      </c>
      <c r="B138" s="10">
        <v>46104.0</v>
      </c>
      <c r="C138" s="17"/>
      <c r="D138" s="17" t="s">
        <v>300</v>
      </c>
      <c r="E138" s="17" t="s">
        <v>299</v>
      </c>
      <c r="F138" s="13" t="s">
        <v>8</v>
      </c>
      <c r="G138" s="13"/>
      <c r="H138" s="13"/>
      <c r="I138" s="13"/>
      <c r="J138" s="13"/>
      <c r="K138" s="13">
        <v>0.0</v>
      </c>
      <c r="L138" s="13">
        <v>0.0</v>
      </c>
      <c r="M138" s="13"/>
      <c r="N138" s="13"/>
      <c r="O138" s="13"/>
      <c r="P138" s="13"/>
      <c r="Q138" s="13"/>
      <c r="R138" s="13"/>
      <c r="S138" s="13"/>
      <c r="T138" s="13"/>
      <c r="U138" s="13"/>
      <c r="V138" s="13"/>
      <c r="W138" s="13"/>
      <c r="X138" s="13"/>
      <c r="Y138" s="13"/>
      <c r="Z138" s="13"/>
      <c r="AA138" s="13"/>
      <c r="AB138" s="13"/>
      <c r="AC138" s="13"/>
    </row>
    <row r="139">
      <c r="A139" s="4">
        <v>138.0</v>
      </c>
      <c r="B139" s="10">
        <v>46104.0</v>
      </c>
      <c r="C139" s="17"/>
      <c r="D139" s="17" t="s">
        <v>300</v>
      </c>
      <c r="E139" s="17" t="s">
        <v>299</v>
      </c>
      <c r="F139" s="13" t="s">
        <v>9</v>
      </c>
      <c r="G139" s="13"/>
      <c r="H139" s="13"/>
      <c r="I139" s="13"/>
      <c r="J139" s="13"/>
      <c r="K139" s="13">
        <v>0.0</v>
      </c>
      <c r="L139" s="13">
        <v>0.0</v>
      </c>
      <c r="M139" s="13"/>
      <c r="N139" s="13"/>
      <c r="O139" s="13"/>
      <c r="P139" s="13"/>
      <c r="Q139" s="13"/>
      <c r="R139" s="13"/>
      <c r="S139" s="13"/>
      <c r="T139" s="13"/>
      <c r="U139" s="13"/>
      <c r="V139" s="13"/>
      <c r="W139" s="13"/>
      <c r="X139" s="13"/>
      <c r="Y139" s="13"/>
      <c r="Z139" s="13"/>
      <c r="AA139" s="13"/>
      <c r="AB139" s="13"/>
      <c r="AC139" s="13"/>
    </row>
    <row r="140">
      <c r="A140" s="4">
        <v>139.0</v>
      </c>
      <c r="B140" s="10">
        <v>46104.0</v>
      </c>
      <c r="C140" s="17"/>
      <c r="D140" s="17" t="s">
        <v>300</v>
      </c>
      <c r="E140" s="17" t="s">
        <v>299</v>
      </c>
      <c r="F140" s="13" t="s">
        <v>10</v>
      </c>
      <c r="G140" s="13"/>
      <c r="H140" s="13"/>
      <c r="I140" s="13"/>
      <c r="J140" s="13"/>
      <c r="K140" s="13">
        <v>0.0</v>
      </c>
      <c r="L140" s="13">
        <v>0.0</v>
      </c>
      <c r="M140" s="13"/>
      <c r="N140" s="13"/>
      <c r="O140" s="13"/>
      <c r="P140" s="13"/>
      <c r="Q140" s="13"/>
      <c r="R140" s="13"/>
      <c r="S140" s="13"/>
      <c r="T140" s="13"/>
      <c r="U140" s="13"/>
      <c r="V140" s="13"/>
      <c r="W140" s="13"/>
      <c r="X140" s="13"/>
      <c r="Y140" s="13"/>
      <c r="Z140" s="13"/>
      <c r="AA140" s="13"/>
      <c r="AB140" s="13"/>
      <c r="AC140" s="13"/>
    </row>
    <row r="141">
      <c r="A141" s="4">
        <v>140.0</v>
      </c>
      <c r="B141" s="10">
        <v>46104.0</v>
      </c>
      <c r="C141" s="17"/>
      <c r="D141" s="17" t="s">
        <v>300</v>
      </c>
      <c r="E141" s="17" t="s">
        <v>299</v>
      </c>
      <c r="F141" s="13" t="s">
        <v>11</v>
      </c>
      <c r="G141" s="13"/>
      <c r="H141" s="13"/>
      <c r="I141" s="13"/>
      <c r="J141" s="13"/>
      <c r="K141" s="13">
        <v>0.0</v>
      </c>
      <c r="L141" s="13">
        <v>0.0</v>
      </c>
      <c r="M141" s="13"/>
      <c r="N141" s="13"/>
      <c r="O141" s="13"/>
      <c r="P141" s="13"/>
      <c r="Q141" s="13"/>
      <c r="R141" s="13"/>
      <c r="S141" s="13"/>
      <c r="T141" s="13"/>
      <c r="U141" s="13"/>
      <c r="V141" s="13"/>
      <c r="W141" s="13"/>
      <c r="X141" s="13"/>
      <c r="Y141" s="13"/>
      <c r="Z141" s="13"/>
      <c r="AA141" s="13"/>
      <c r="AB141" s="13"/>
      <c r="AC141" s="13"/>
    </row>
    <row r="142">
      <c r="A142" s="4">
        <v>141.0</v>
      </c>
      <c r="B142" s="10">
        <v>46104.0</v>
      </c>
      <c r="C142" s="17"/>
      <c r="D142" s="17" t="s">
        <v>300</v>
      </c>
      <c r="E142" s="17" t="s">
        <v>299</v>
      </c>
      <c r="F142" s="13" t="s">
        <v>12</v>
      </c>
      <c r="G142" s="13"/>
      <c r="H142" s="13"/>
      <c r="I142" s="13"/>
      <c r="J142" s="13"/>
      <c r="K142" s="13">
        <v>0.0</v>
      </c>
      <c r="L142" s="13">
        <v>0.0</v>
      </c>
      <c r="M142" s="13"/>
      <c r="N142" s="13"/>
      <c r="O142" s="13"/>
      <c r="P142" s="13"/>
      <c r="Q142" s="13"/>
      <c r="R142" s="13"/>
      <c r="S142" s="13"/>
      <c r="T142" s="13"/>
      <c r="U142" s="13"/>
      <c r="V142" s="13"/>
      <c r="W142" s="13"/>
      <c r="X142" s="13"/>
      <c r="Y142" s="13"/>
      <c r="Z142" s="13"/>
      <c r="AA142" s="13"/>
      <c r="AB142" s="13"/>
      <c r="AC142" s="13"/>
    </row>
    <row r="143">
      <c r="A143" s="4">
        <v>142.0</v>
      </c>
      <c r="B143" s="10">
        <v>46104.0</v>
      </c>
      <c r="C143" s="17"/>
      <c r="D143" s="17" t="s">
        <v>300</v>
      </c>
      <c r="E143" s="17" t="s">
        <v>299</v>
      </c>
      <c r="F143" s="13" t="s">
        <v>13</v>
      </c>
      <c r="G143" s="13"/>
      <c r="H143" s="13"/>
      <c r="I143" s="13"/>
      <c r="J143" s="13"/>
      <c r="K143" s="13">
        <v>0.0</v>
      </c>
      <c r="L143" s="13">
        <v>0.0</v>
      </c>
      <c r="M143" s="13"/>
      <c r="N143" s="13"/>
      <c r="O143" s="13"/>
      <c r="P143" s="13"/>
      <c r="Q143" s="13"/>
      <c r="R143" s="13"/>
      <c r="S143" s="13"/>
      <c r="T143" s="13"/>
      <c r="U143" s="13"/>
      <c r="V143" s="13"/>
      <c r="W143" s="13"/>
      <c r="X143" s="13"/>
      <c r="Y143" s="13"/>
      <c r="Z143" s="13"/>
      <c r="AA143" s="13"/>
      <c r="AB143" s="13"/>
      <c r="AC143" s="13"/>
    </row>
    <row r="144">
      <c r="A144" s="4">
        <v>143.0</v>
      </c>
      <c r="B144" s="10">
        <v>46104.0</v>
      </c>
      <c r="C144" s="17"/>
      <c r="D144" s="17" t="s">
        <v>300</v>
      </c>
      <c r="E144" s="17" t="s">
        <v>299</v>
      </c>
      <c r="F144" s="13" t="s">
        <v>14</v>
      </c>
      <c r="G144" s="13"/>
      <c r="H144" s="13"/>
      <c r="I144" s="13"/>
      <c r="J144" s="13"/>
      <c r="K144" s="13">
        <v>0.0</v>
      </c>
      <c r="L144" s="13">
        <v>0.0</v>
      </c>
      <c r="M144" s="13"/>
      <c r="N144" s="13"/>
      <c r="O144" s="13"/>
      <c r="P144" s="13"/>
      <c r="Q144" s="13"/>
      <c r="R144" s="13"/>
      <c r="S144" s="13"/>
      <c r="T144" s="13"/>
      <c r="U144" s="13"/>
      <c r="V144" s="13"/>
      <c r="W144" s="13"/>
      <c r="X144" s="13"/>
      <c r="Y144" s="13"/>
      <c r="Z144" s="13"/>
      <c r="AA144" s="13"/>
      <c r="AB144" s="13"/>
      <c r="AC144" s="13"/>
    </row>
    <row r="145">
      <c r="A145" s="4">
        <v>144.0</v>
      </c>
      <c r="B145" s="10">
        <v>46104.0</v>
      </c>
      <c r="C145" s="17"/>
      <c r="D145" s="17" t="s">
        <v>300</v>
      </c>
      <c r="E145" s="17" t="s">
        <v>299</v>
      </c>
      <c r="F145" s="13" t="s">
        <v>15</v>
      </c>
      <c r="G145" s="13"/>
      <c r="H145" s="13"/>
      <c r="I145" s="13"/>
      <c r="J145" s="13"/>
      <c r="K145" s="13">
        <v>0.0</v>
      </c>
      <c r="L145" s="13">
        <v>0.0</v>
      </c>
      <c r="M145" s="13"/>
      <c r="N145" s="13"/>
      <c r="O145" s="13"/>
      <c r="P145" s="13"/>
      <c r="Q145" s="13"/>
      <c r="R145" s="13"/>
      <c r="S145" s="13"/>
      <c r="T145" s="13"/>
      <c r="U145" s="13"/>
      <c r="V145" s="13"/>
      <c r="W145" s="13"/>
      <c r="X145" s="13"/>
      <c r="Y145" s="13"/>
      <c r="Z145" s="13"/>
      <c r="AA145" s="13"/>
      <c r="AB145" s="13"/>
      <c r="AC145" s="13"/>
    </row>
    <row r="146">
      <c r="A146" s="4">
        <v>145.0</v>
      </c>
      <c r="B146" s="10">
        <v>46104.0</v>
      </c>
      <c r="C146" s="13"/>
      <c r="D146" s="13"/>
      <c r="E146" s="4" t="s">
        <v>301</v>
      </c>
      <c r="F146" s="13" t="s">
        <v>4</v>
      </c>
      <c r="K146" s="13">
        <v>0.0</v>
      </c>
      <c r="L146" s="13">
        <v>0.0</v>
      </c>
    </row>
    <row r="147">
      <c r="A147" s="4">
        <v>146.0</v>
      </c>
      <c r="B147" s="10">
        <v>46104.0</v>
      </c>
      <c r="C147" s="13"/>
      <c r="D147" s="13"/>
      <c r="E147" s="4" t="s">
        <v>301</v>
      </c>
      <c r="F147" s="13" t="s">
        <v>5</v>
      </c>
      <c r="H147" s="4">
        <v>1.0</v>
      </c>
      <c r="K147" s="13">
        <v>1.0</v>
      </c>
      <c r="L147" s="13">
        <v>20000.0</v>
      </c>
    </row>
    <row r="148">
      <c r="A148" s="4">
        <v>147.0</v>
      </c>
      <c r="B148" s="10">
        <v>46104.0</v>
      </c>
      <c r="C148" s="13"/>
      <c r="D148" s="13"/>
      <c r="E148" s="4" t="s">
        <v>301</v>
      </c>
      <c r="F148" s="13" t="s">
        <v>6</v>
      </c>
      <c r="K148" s="13">
        <v>0.0</v>
      </c>
      <c r="L148" s="13">
        <v>0.0</v>
      </c>
    </row>
    <row r="149">
      <c r="A149" s="4">
        <v>148.0</v>
      </c>
      <c r="B149" s="10">
        <v>46104.0</v>
      </c>
      <c r="C149" s="13"/>
      <c r="D149" s="13"/>
      <c r="E149" s="4" t="s">
        <v>301</v>
      </c>
      <c r="F149" s="13" t="s">
        <v>7</v>
      </c>
      <c r="K149" s="13">
        <v>0.0</v>
      </c>
      <c r="L149" s="13">
        <v>0.0</v>
      </c>
    </row>
    <row r="150">
      <c r="A150" s="4">
        <v>149.0</v>
      </c>
      <c r="B150" s="10">
        <v>46104.0</v>
      </c>
      <c r="C150" s="13"/>
      <c r="D150" s="13"/>
      <c r="E150" s="4" t="s">
        <v>301</v>
      </c>
      <c r="F150" s="13" t="s">
        <v>8</v>
      </c>
      <c r="H150" s="4">
        <v>1.0</v>
      </c>
      <c r="K150" s="13">
        <v>1.0</v>
      </c>
      <c r="L150" s="13">
        <v>20000.0</v>
      </c>
    </row>
    <row r="151">
      <c r="A151" s="4">
        <v>150.0</v>
      </c>
      <c r="B151" s="10">
        <v>46104.0</v>
      </c>
      <c r="C151" s="13"/>
      <c r="D151" s="13"/>
      <c r="E151" s="4" t="s">
        <v>301</v>
      </c>
      <c r="F151" s="13" t="s">
        <v>9</v>
      </c>
      <c r="H151" s="4">
        <v>1.0</v>
      </c>
      <c r="K151" s="13">
        <v>1.0</v>
      </c>
      <c r="L151" s="13">
        <v>20000.0</v>
      </c>
    </row>
    <row r="152">
      <c r="A152" s="4">
        <v>151.0</v>
      </c>
      <c r="B152" s="10">
        <v>46104.0</v>
      </c>
      <c r="C152" s="13"/>
      <c r="D152" s="13"/>
      <c r="E152" s="4" t="s">
        <v>301</v>
      </c>
      <c r="F152" s="13" t="s">
        <v>10</v>
      </c>
      <c r="K152" s="13">
        <v>0.0</v>
      </c>
      <c r="L152" s="13">
        <v>0.0</v>
      </c>
    </row>
    <row r="153">
      <c r="A153" s="4">
        <v>152.0</v>
      </c>
      <c r="B153" s="10">
        <v>46104.0</v>
      </c>
      <c r="C153" s="13"/>
      <c r="D153" s="13"/>
      <c r="E153" s="4" t="s">
        <v>301</v>
      </c>
      <c r="F153" s="13" t="s">
        <v>11</v>
      </c>
      <c r="H153" s="4">
        <v>2.0</v>
      </c>
      <c r="K153" s="13">
        <v>2.0</v>
      </c>
      <c r="L153" s="13">
        <v>40000.0</v>
      </c>
    </row>
    <row r="154">
      <c r="A154" s="4">
        <v>153.0</v>
      </c>
      <c r="B154" s="10">
        <v>46104.0</v>
      </c>
      <c r="C154" s="13"/>
      <c r="D154" s="13"/>
      <c r="E154" s="4" t="s">
        <v>301</v>
      </c>
      <c r="F154" s="13" t="s">
        <v>12</v>
      </c>
      <c r="K154" s="13">
        <v>0.0</v>
      </c>
      <c r="L154" s="13">
        <v>0.0</v>
      </c>
    </row>
    <row r="155">
      <c r="A155" s="4">
        <v>154.0</v>
      </c>
      <c r="B155" s="10">
        <v>46104.0</v>
      </c>
      <c r="C155" s="13"/>
      <c r="D155" s="13"/>
      <c r="E155" s="4" t="s">
        <v>301</v>
      </c>
      <c r="F155" s="13" t="s">
        <v>13</v>
      </c>
      <c r="K155" s="13">
        <v>0.0</v>
      </c>
      <c r="L155" s="13">
        <v>0.0</v>
      </c>
    </row>
    <row r="156">
      <c r="A156" s="4">
        <v>155.0</v>
      </c>
      <c r="B156" s="10">
        <v>46104.0</v>
      </c>
      <c r="C156" s="13"/>
      <c r="D156" s="13"/>
      <c r="E156" s="4" t="s">
        <v>301</v>
      </c>
      <c r="F156" s="13" t="s">
        <v>14</v>
      </c>
      <c r="H156" s="4">
        <v>2.0</v>
      </c>
      <c r="K156" s="13">
        <v>2.0</v>
      </c>
      <c r="L156" s="13">
        <v>44000.0</v>
      </c>
    </row>
    <row r="157">
      <c r="A157" s="4">
        <v>156.0</v>
      </c>
      <c r="B157" s="10">
        <v>46104.0</v>
      </c>
      <c r="C157" s="13"/>
      <c r="D157" s="13"/>
      <c r="E157" s="4" t="s">
        <v>301</v>
      </c>
      <c r="F157" s="13" t="s">
        <v>15</v>
      </c>
      <c r="H157" s="4">
        <v>1.0</v>
      </c>
      <c r="K157" s="13">
        <v>1.0</v>
      </c>
      <c r="L157" s="13">
        <v>20000.0</v>
      </c>
    </row>
    <row r="158">
      <c r="A158" s="13"/>
      <c r="B158" s="10">
        <v>46105.0</v>
      </c>
      <c r="C158" s="13"/>
      <c r="D158" s="17" t="s">
        <v>302</v>
      </c>
      <c r="E158" s="4" t="s">
        <v>299</v>
      </c>
      <c r="F158" s="13" t="s">
        <v>4</v>
      </c>
      <c r="G158" s="13"/>
      <c r="H158" s="13"/>
      <c r="I158" s="13"/>
      <c r="J158" s="13"/>
      <c r="K158" s="13">
        <v>0.0</v>
      </c>
      <c r="L158" s="13">
        <v>0.0</v>
      </c>
      <c r="M158" s="13"/>
      <c r="N158" s="13"/>
      <c r="O158" s="13"/>
      <c r="P158" s="13"/>
      <c r="Q158" s="13"/>
      <c r="R158" s="13"/>
      <c r="S158" s="13"/>
      <c r="T158" s="13"/>
      <c r="U158" s="13"/>
      <c r="V158" s="13"/>
      <c r="W158" s="13"/>
      <c r="X158" s="13"/>
      <c r="Y158" s="13"/>
      <c r="Z158" s="13"/>
      <c r="AA158" s="13"/>
      <c r="AB158" s="13"/>
      <c r="AC158" s="13"/>
    </row>
    <row r="159">
      <c r="A159" s="13"/>
      <c r="B159" s="10">
        <v>46105.0</v>
      </c>
      <c r="C159" s="13"/>
      <c r="D159" s="17" t="s">
        <v>302</v>
      </c>
      <c r="E159" s="4" t="s">
        <v>299</v>
      </c>
      <c r="F159" s="13" t="s">
        <v>5</v>
      </c>
      <c r="G159" s="13"/>
      <c r="H159" s="13"/>
      <c r="I159" s="13"/>
      <c r="J159" s="13"/>
      <c r="K159" s="13">
        <v>0.0</v>
      </c>
      <c r="L159" s="13">
        <v>0.0</v>
      </c>
      <c r="M159" s="13"/>
      <c r="N159" s="13"/>
      <c r="O159" s="13"/>
      <c r="P159" s="13"/>
      <c r="Q159" s="13"/>
      <c r="R159" s="13"/>
      <c r="S159" s="13"/>
      <c r="T159" s="13"/>
      <c r="U159" s="13"/>
      <c r="V159" s="13"/>
      <c r="W159" s="13"/>
      <c r="X159" s="13"/>
      <c r="Y159" s="13"/>
      <c r="Z159" s="13"/>
      <c r="AA159" s="13"/>
      <c r="AB159" s="13"/>
      <c r="AC159" s="13"/>
    </row>
    <row r="160">
      <c r="A160" s="13"/>
      <c r="B160" s="10">
        <v>46105.0</v>
      </c>
      <c r="C160" s="13"/>
      <c r="D160" s="17" t="s">
        <v>302</v>
      </c>
      <c r="E160" s="4" t="s">
        <v>299</v>
      </c>
      <c r="F160" s="13" t="s">
        <v>6</v>
      </c>
      <c r="G160" s="13"/>
      <c r="H160" s="13"/>
      <c r="I160" s="13"/>
      <c r="J160" s="13"/>
      <c r="K160" s="13">
        <v>0.0</v>
      </c>
      <c r="L160" s="13">
        <v>0.0</v>
      </c>
      <c r="M160" s="13"/>
      <c r="N160" s="13"/>
      <c r="O160" s="13"/>
      <c r="P160" s="13"/>
      <c r="Q160" s="13"/>
      <c r="R160" s="13"/>
      <c r="S160" s="13"/>
      <c r="T160" s="13"/>
      <c r="U160" s="13"/>
      <c r="V160" s="13"/>
      <c r="W160" s="13"/>
      <c r="X160" s="13"/>
      <c r="Y160" s="13"/>
      <c r="Z160" s="13"/>
      <c r="AA160" s="13"/>
      <c r="AB160" s="13"/>
      <c r="AC160" s="13"/>
    </row>
    <row r="161">
      <c r="A161" s="13"/>
      <c r="B161" s="10">
        <v>46105.0</v>
      </c>
      <c r="C161" s="13"/>
      <c r="D161" s="17" t="s">
        <v>302</v>
      </c>
      <c r="E161" s="4" t="s">
        <v>299</v>
      </c>
      <c r="F161" s="13" t="s">
        <v>7</v>
      </c>
      <c r="G161" s="13"/>
      <c r="H161" s="13"/>
      <c r="I161" s="13"/>
      <c r="J161" s="13"/>
      <c r="K161" s="13">
        <v>0.0</v>
      </c>
      <c r="L161" s="13">
        <v>0.0</v>
      </c>
      <c r="M161" s="13"/>
      <c r="N161" s="13"/>
      <c r="O161" s="13"/>
      <c r="P161" s="13"/>
      <c r="Q161" s="13"/>
      <c r="R161" s="13"/>
      <c r="S161" s="13"/>
      <c r="T161" s="13"/>
      <c r="U161" s="13"/>
      <c r="V161" s="13"/>
      <c r="W161" s="13"/>
      <c r="X161" s="13"/>
      <c r="Y161" s="13"/>
      <c r="Z161" s="13"/>
      <c r="AA161" s="13"/>
      <c r="AB161" s="13"/>
      <c r="AC161" s="13"/>
    </row>
    <row r="162">
      <c r="A162" s="13"/>
      <c r="B162" s="10">
        <v>46105.0</v>
      </c>
      <c r="C162" s="13"/>
      <c r="D162" s="17" t="s">
        <v>302</v>
      </c>
      <c r="E162" s="4" t="s">
        <v>299</v>
      </c>
      <c r="F162" s="13" t="s">
        <v>8</v>
      </c>
      <c r="G162" s="13"/>
      <c r="H162" s="13"/>
      <c r="I162" s="13"/>
      <c r="J162" s="13"/>
      <c r="K162" s="13">
        <v>0.0</v>
      </c>
      <c r="L162" s="13">
        <v>0.0</v>
      </c>
      <c r="M162" s="13"/>
      <c r="N162" s="13"/>
      <c r="O162" s="13"/>
      <c r="P162" s="13"/>
      <c r="Q162" s="13"/>
      <c r="R162" s="13"/>
      <c r="S162" s="13"/>
      <c r="T162" s="13"/>
      <c r="U162" s="13"/>
      <c r="V162" s="13"/>
      <c r="W162" s="13"/>
      <c r="X162" s="13"/>
      <c r="Y162" s="13"/>
      <c r="Z162" s="13"/>
      <c r="AA162" s="13"/>
      <c r="AB162" s="13"/>
      <c r="AC162" s="13"/>
    </row>
    <row r="163">
      <c r="A163" s="13"/>
      <c r="B163" s="10">
        <v>46105.0</v>
      </c>
      <c r="C163" s="13"/>
      <c r="D163" s="17" t="s">
        <v>302</v>
      </c>
      <c r="E163" s="4" t="s">
        <v>299</v>
      </c>
      <c r="F163" s="13" t="s">
        <v>9</v>
      </c>
      <c r="G163" s="13"/>
      <c r="H163" s="13"/>
      <c r="I163" s="13"/>
      <c r="J163" s="13"/>
      <c r="K163" s="13">
        <v>0.0</v>
      </c>
      <c r="L163" s="13">
        <v>0.0</v>
      </c>
      <c r="M163" s="13"/>
      <c r="N163" s="13"/>
      <c r="O163" s="13"/>
      <c r="P163" s="13"/>
      <c r="Q163" s="13"/>
      <c r="R163" s="13"/>
      <c r="S163" s="13"/>
      <c r="T163" s="13"/>
      <c r="U163" s="13"/>
      <c r="V163" s="13"/>
      <c r="W163" s="13"/>
      <c r="X163" s="13"/>
      <c r="Y163" s="13"/>
      <c r="Z163" s="13"/>
      <c r="AA163" s="13"/>
      <c r="AB163" s="13"/>
      <c r="AC163" s="13"/>
    </row>
    <row r="164">
      <c r="A164" s="13"/>
      <c r="B164" s="10">
        <v>46105.0</v>
      </c>
      <c r="C164" s="13"/>
      <c r="D164" s="17" t="s">
        <v>302</v>
      </c>
      <c r="E164" s="4" t="s">
        <v>299</v>
      </c>
      <c r="F164" s="13" t="s">
        <v>10</v>
      </c>
      <c r="G164" s="13"/>
      <c r="H164" s="13"/>
      <c r="I164" s="13"/>
      <c r="J164" s="13"/>
      <c r="K164" s="13">
        <v>0.0</v>
      </c>
      <c r="L164" s="13">
        <v>0.0</v>
      </c>
      <c r="M164" s="13"/>
      <c r="N164" s="13"/>
      <c r="O164" s="13"/>
      <c r="P164" s="13"/>
      <c r="Q164" s="13"/>
      <c r="R164" s="13"/>
      <c r="S164" s="13"/>
      <c r="T164" s="13"/>
      <c r="U164" s="13"/>
      <c r="V164" s="13"/>
      <c r="W164" s="13"/>
      <c r="X164" s="13"/>
      <c r="Y164" s="13"/>
      <c r="Z164" s="13"/>
      <c r="AA164" s="13"/>
      <c r="AB164" s="13"/>
      <c r="AC164" s="13"/>
    </row>
    <row r="165">
      <c r="A165" s="13"/>
      <c r="B165" s="10">
        <v>46105.0</v>
      </c>
      <c r="C165" s="13"/>
      <c r="D165" s="17" t="s">
        <v>302</v>
      </c>
      <c r="E165" s="4" t="s">
        <v>299</v>
      </c>
      <c r="F165" s="13" t="s">
        <v>11</v>
      </c>
      <c r="G165" s="13"/>
      <c r="H165" s="13"/>
      <c r="I165" s="13"/>
      <c r="J165" s="13"/>
      <c r="K165" s="13">
        <v>0.0</v>
      </c>
      <c r="L165" s="13">
        <v>0.0</v>
      </c>
      <c r="M165" s="13"/>
      <c r="N165" s="13"/>
      <c r="O165" s="13"/>
      <c r="P165" s="13"/>
      <c r="Q165" s="13"/>
      <c r="R165" s="13"/>
      <c r="S165" s="13"/>
      <c r="T165" s="13"/>
      <c r="U165" s="13"/>
      <c r="V165" s="13"/>
      <c r="W165" s="13"/>
      <c r="X165" s="13"/>
      <c r="Y165" s="13"/>
      <c r="Z165" s="13"/>
      <c r="AA165" s="13"/>
      <c r="AB165" s="13"/>
      <c r="AC165" s="13"/>
    </row>
    <row r="166">
      <c r="A166" s="13"/>
      <c r="B166" s="10">
        <v>46105.0</v>
      </c>
      <c r="C166" s="13"/>
      <c r="D166" s="17" t="s">
        <v>302</v>
      </c>
      <c r="E166" s="4" t="s">
        <v>299</v>
      </c>
      <c r="F166" s="13" t="s">
        <v>12</v>
      </c>
      <c r="G166" s="13"/>
      <c r="H166" s="13"/>
      <c r="I166" s="13"/>
      <c r="J166" s="13"/>
      <c r="K166" s="13">
        <v>0.0</v>
      </c>
      <c r="L166" s="13">
        <v>0.0</v>
      </c>
      <c r="M166" s="13"/>
      <c r="N166" s="13"/>
      <c r="O166" s="13"/>
      <c r="P166" s="13"/>
      <c r="Q166" s="13"/>
      <c r="R166" s="13"/>
      <c r="S166" s="13"/>
      <c r="T166" s="13"/>
      <c r="U166" s="13"/>
      <c r="V166" s="13"/>
      <c r="W166" s="13"/>
      <c r="X166" s="13"/>
      <c r="Y166" s="13"/>
      <c r="Z166" s="13"/>
      <c r="AA166" s="13"/>
      <c r="AB166" s="13"/>
      <c r="AC166" s="13"/>
    </row>
    <row r="167">
      <c r="A167" s="13"/>
      <c r="B167" s="10">
        <v>46105.0</v>
      </c>
      <c r="C167" s="13"/>
      <c r="D167" s="17" t="s">
        <v>302</v>
      </c>
      <c r="E167" s="4" t="s">
        <v>299</v>
      </c>
      <c r="F167" s="13" t="s">
        <v>13</v>
      </c>
      <c r="G167" s="13"/>
      <c r="H167" s="13"/>
      <c r="I167" s="13"/>
      <c r="J167" s="13"/>
      <c r="K167" s="13">
        <v>0.0</v>
      </c>
      <c r="L167" s="13">
        <v>0.0</v>
      </c>
      <c r="M167" s="13"/>
      <c r="N167" s="13"/>
      <c r="O167" s="13"/>
      <c r="P167" s="13"/>
      <c r="Q167" s="13"/>
      <c r="R167" s="13"/>
      <c r="S167" s="13"/>
      <c r="T167" s="13"/>
      <c r="U167" s="13"/>
      <c r="V167" s="13"/>
      <c r="W167" s="13"/>
      <c r="X167" s="13"/>
      <c r="Y167" s="13"/>
      <c r="Z167" s="13"/>
      <c r="AA167" s="13"/>
      <c r="AB167" s="13"/>
      <c r="AC167" s="13"/>
    </row>
    <row r="168">
      <c r="A168" s="13"/>
      <c r="B168" s="10">
        <v>46105.0</v>
      </c>
      <c r="C168" s="13"/>
      <c r="D168" s="17" t="s">
        <v>302</v>
      </c>
      <c r="E168" s="4" t="s">
        <v>299</v>
      </c>
      <c r="F168" s="4" t="s">
        <v>297</v>
      </c>
      <c r="G168" s="13"/>
      <c r="H168" s="13"/>
      <c r="I168" s="13"/>
      <c r="J168" s="13"/>
      <c r="K168" s="13">
        <v>0.0</v>
      </c>
      <c r="L168" s="13">
        <v>0.0</v>
      </c>
      <c r="M168" s="13"/>
      <c r="N168" s="13"/>
      <c r="O168" s="13"/>
      <c r="P168" s="13"/>
      <c r="Q168" s="13"/>
      <c r="R168" s="13"/>
      <c r="S168" s="13"/>
      <c r="T168" s="13"/>
      <c r="U168" s="13"/>
      <c r="V168" s="13"/>
      <c r="W168" s="13"/>
      <c r="X168" s="13"/>
      <c r="Y168" s="13"/>
      <c r="Z168" s="13"/>
      <c r="AA168" s="13"/>
      <c r="AB168" s="13"/>
      <c r="AC168" s="13"/>
    </row>
    <row r="169">
      <c r="A169" s="13"/>
      <c r="B169" s="10">
        <v>46105.0</v>
      </c>
      <c r="C169" s="4" t="s">
        <v>113</v>
      </c>
      <c r="D169" s="17" t="s">
        <v>302</v>
      </c>
      <c r="E169" s="4" t="s">
        <v>299</v>
      </c>
      <c r="F169" s="13" t="s">
        <v>15</v>
      </c>
      <c r="G169" s="13"/>
      <c r="H169" s="13"/>
      <c r="I169" s="13"/>
      <c r="J169" s="13"/>
      <c r="K169" s="13">
        <v>0.0</v>
      </c>
      <c r="L169" s="13">
        <v>0.0</v>
      </c>
      <c r="M169" s="13"/>
      <c r="N169" s="13"/>
      <c r="O169" s="13"/>
      <c r="P169" s="13"/>
      <c r="Q169" s="13"/>
      <c r="R169" s="13"/>
      <c r="S169" s="13"/>
      <c r="T169" s="13"/>
      <c r="U169" s="13"/>
      <c r="V169" s="13"/>
      <c r="W169" s="13"/>
      <c r="X169" s="13"/>
      <c r="Y169" s="13"/>
      <c r="Z169" s="13"/>
      <c r="AA169" s="13"/>
      <c r="AB169" s="13"/>
      <c r="AC169" s="13"/>
    </row>
    <row r="170">
      <c r="B170" s="10">
        <v>46105.0</v>
      </c>
      <c r="C170" s="4" t="s">
        <v>114</v>
      </c>
      <c r="D170" s="17" t="s">
        <v>302</v>
      </c>
      <c r="E170" s="4" t="s">
        <v>303</v>
      </c>
      <c r="F170" s="13" t="s">
        <v>4</v>
      </c>
      <c r="H170" s="4">
        <v>4.0</v>
      </c>
      <c r="I170" s="4">
        <v>1.0</v>
      </c>
      <c r="K170" s="13">
        <v>3.0</v>
      </c>
      <c r="L170" s="13">
        <v>60000.0</v>
      </c>
    </row>
    <row r="171">
      <c r="B171" s="10">
        <v>46105.0</v>
      </c>
      <c r="C171" s="13"/>
      <c r="D171" s="17" t="s">
        <v>302</v>
      </c>
      <c r="E171" s="4" t="s">
        <v>303</v>
      </c>
      <c r="F171" s="13" t="s">
        <v>5</v>
      </c>
      <c r="H171" s="4">
        <v>2.0</v>
      </c>
      <c r="I171" s="4">
        <v>2.0</v>
      </c>
      <c r="K171" s="13">
        <v>0.0</v>
      </c>
      <c r="L171" s="13">
        <v>0.0</v>
      </c>
    </row>
    <row r="172">
      <c r="B172" s="10">
        <v>46105.0</v>
      </c>
      <c r="C172" s="13"/>
      <c r="D172" s="17" t="s">
        <v>302</v>
      </c>
      <c r="E172" s="4" t="s">
        <v>303</v>
      </c>
      <c r="F172" s="13" t="s">
        <v>6</v>
      </c>
      <c r="H172" s="4">
        <v>2.0</v>
      </c>
      <c r="K172" s="13">
        <v>2.0</v>
      </c>
      <c r="L172" s="13">
        <v>40000.0</v>
      </c>
    </row>
    <row r="173">
      <c r="B173" s="10">
        <v>46105.0</v>
      </c>
      <c r="C173" s="13"/>
      <c r="D173" s="17" t="s">
        <v>302</v>
      </c>
      <c r="E173" s="4" t="s">
        <v>303</v>
      </c>
      <c r="F173" s="13" t="s">
        <v>7</v>
      </c>
      <c r="H173" s="4">
        <v>1.0</v>
      </c>
      <c r="K173" s="13">
        <v>1.0</v>
      </c>
      <c r="L173" s="13">
        <v>20000.0</v>
      </c>
    </row>
    <row r="174">
      <c r="B174" s="10">
        <v>46105.0</v>
      </c>
      <c r="C174" s="13"/>
      <c r="D174" s="17" t="s">
        <v>302</v>
      </c>
      <c r="E174" s="4" t="s">
        <v>303</v>
      </c>
      <c r="F174" s="13" t="s">
        <v>8</v>
      </c>
      <c r="H174" s="4">
        <v>1.0</v>
      </c>
      <c r="K174" s="13">
        <v>1.0</v>
      </c>
      <c r="L174" s="13">
        <v>20000.0</v>
      </c>
    </row>
    <row r="175">
      <c r="B175" s="10">
        <v>46105.0</v>
      </c>
      <c r="C175" s="13"/>
      <c r="D175" s="17" t="s">
        <v>302</v>
      </c>
      <c r="E175" s="4" t="s">
        <v>303</v>
      </c>
      <c r="F175" s="13" t="s">
        <v>9</v>
      </c>
      <c r="H175" s="4">
        <v>3.0</v>
      </c>
      <c r="K175" s="13">
        <v>3.0</v>
      </c>
      <c r="L175" s="13">
        <v>60000.0</v>
      </c>
    </row>
    <row r="176">
      <c r="B176" s="10">
        <v>46105.0</v>
      </c>
      <c r="C176" s="13"/>
      <c r="D176" s="17" t="s">
        <v>302</v>
      </c>
      <c r="E176" s="4" t="s">
        <v>303</v>
      </c>
      <c r="F176" s="13" t="s">
        <v>10</v>
      </c>
      <c r="H176" s="4">
        <v>2.0</v>
      </c>
      <c r="K176" s="13">
        <v>2.0</v>
      </c>
      <c r="L176" s="13">
        <v>40000.0</v>
      </c>
    </row>
    <row r="177">
      <c r="B177" s="10">
        <v>46105.0</v>
      </c>
      <c r="C177" s="13"/>
      <c r="D177" s="17" t="s">
        <v>302</v>
      </c>
      <c r="E177" s="4" t="s">
        <v>303</v>
      </c>
      <c r="F177" s="13" t="s">
        <v>11</v>
      </c>
      <c r="K177" s="13">
        <v>0.0</v>
      </c>
      <c r="L177" s="13">
        <v>0.0</v>
      </c>
    </row>
    <row r="178">
      <c r="B178" s="10">
        <v>46105.0</v>
      </c>
      <c r="C178" s="13"/>
      <c r="D178" s="17" t="s">
        <v>302</v>
      </c>
      <c r="E178" s="4" t="s">
        <v>303</v>
      </c>
      <c r="F178" s="13" t="s">
        <v>12</v>
      </c>
      <c r="K178" s="13">
        <v>0.0</v>
      </c>
      <c r="L178" s="13">
        <v>0.0</v>
      </c>
    </row>
    <row r="179">
      <c r="B179" s="10">
        <v>46105.0</v>
      </c>
      <c r="C179" s="13"/>
      <c r="D179" s="17" t="s">
        <v>302</v>
      </c>
      <c r="E179" s="4" t="s">
        <v>303</v>
      </c>
      <c r="F179" s="13" t="s">
        <v>13</v>
      </c>
      <c r="H179" s="4">
        <v>1.0</v>
      </c>
      <c r="K179" s="13">
        <v>1.0</v>
      </c>
      <c r="L179" s="13">
        <v>20000.0</v>
      </c>
    </row>
    <row r="180">
      <c r="B180" s="10">
        <v>46105.0</v>
      </c>
      <c r="C180" s="13"/>
      <c r="D180" s="17" t="s">
        <v>302</v>
      </c>
      <c r="E180" s="4" t="s">
        <v>303</v>
      </c>
      <c r="F180" s="13" t="s">
        <v>14</v>
      </c>
      <c r="K180" s="13">
        <v>0.0</v>
      </c>
      <c r="L180" s="13">
        <v>0.0</v>
      </c>
    </row>
    <row r="181">
      <c r="B181" s="10">
        <v>46105.0</v>
      </c>
      <c r="C181" s="4" t="s">
        <v>114</v>
      </c>
      <c r="D181" s="17" t="s">
        <v>302</v>
      </c>
      <c r="E181" s="4" t="s">
        <v>303</v>
      </c>
      <c r="F181" s="13" t="s">
        <v>15</v>
      </c>
      <c r="H181" s="4">
        <v>14.0</v>
      </c>
      <c r="I181" s="4">
        <v>5.0</v>
      </c>
      <c r="K181" s="13">
        <v>9.0</v>
      </c>
      <c r="L181" s="13">
        <v>180000.0</v>
      </c>
    </row>
    <row r="182">
      <c r="B182" s="10">
        <v>46105.0</v>
      </c>
      <c r="C182" s="4" t="s">
        <v>113</v>
      </c>
      <c r="D182" s="17" t="s">
        <v>304</v>
      </c>
      <c r="E182" s="4" t="s">
        <v>303</v>
      </c>
      <c r="F182" s="13" t="s">
        <v>4</v>
      </c>
      <c r="H182" s="4">
        <v>5.0</v>
      </c>
      <c r="I182" s="4">
        <v>2.0</v>
      </c>
      <c r="K182" s="13">
        <v>3.0</v>
      </c>
      <c r="L182" s="13">
        <v>60000.0</v>
      </c>
    </row>
    <row r="183">
      <c r="B183" s="10">
        <v>46105.0</v>
      </c>
      <c r="C183" s="4" t="s">
        <v>113</v>
      </c>
      <c r="D183" s="17" t="s">
        <v>304</v>
      </c>
      <c r="E183" s="4" t="s">
        <v>303</v>
      </c>
      <c r="F183" s="13" t="s">
        <v>5</v>
      </c>
      <c r="H183" s="4">
        <v>3.0</v>
      </c>
      <c r="I183" s="4">
        <v>1.0</v>
      </c>
      <c r="K183" s="13">
        <v>2.0</v>
      </c>
      <c r="L183" s="13">
        <v>40000.0</v>
      </c>
    </row>
    <row r="184">
      <c r="B184" s="10">
        <v>46105.0</v>
      </c>
      <c r="C184" s="4" t="s">
        <v>113</v>
      </c>
      <c r="D184" s="17" t="s">
        <v>304</v>
      </c>
      <c r="E184" s="4" t="s">
        <v>303</v>
      </c>
      <c r="F184" s="13" t="s">
        <v>6</v>
      </c>
      <c r="H184" s="4">
        <v>2.0</v>
      </c>
      <c r="I184" s="4">
        <v>1.0</v>
      </c>
      <c r="K184" s="13">
        <v>1.0</v>
      </c>
      <c r="L184" s="13">
        <v>20000.0</v>
      </c>
    </row>
    <row r="185">
      <c r="B185" s="10">
        <v>46105.0</v>
      </c>
      <c r="C185" s="4" t="s">
        <v>113</v>
      </c>
      <c r="D185" s="17" t="s">
        <v>304</v>
      </c>
      <c r="E185" s="4" t="s">
        <v>303</v>
      </c>
      <c r="F185" s="13" t="s">
        <v>7</v>
      </c>
      <c r="H185" s="4">
        <v>3.0</v>
      </c>
      <c r="K185" s="13">
        <v>3.0</v>
      </c>
      <c r="L185" s="13">
        <v>60000.0</v>
      </c>
    </row>
    <row r="186">
      <c r="B186" s="10">
        <v>46105.0</v>
      </c>
      <c r="C186" s="4" t="s">
        <v>113</v>
      </c>
      <c r="D186" s="17" t="s">
        <v>304</v>
      </c>
      <c r="E186" s="4" t="s">
        <v>303</v>
      </c>
      <c r="F186" s="13" t="s">
        <v>8</v>
      </c>
      <c r="H186" s="4">
        <v>3.0</v>
      </c>
      <c r="K186" s="13">
        <v>3.0</v>
      </c>
      <c r="L186" s="13">
        <v>60000.0</v>
      </c>
    </row>
    <row r="187">
      <c r="B187" s="10">
        <v>46105.0</v>
      </c>
      <c r="C187" s="4" t="s">
        <v>113</v>
      </c>
      <c r="D187" s="17" t="s">
        <v>304</v>
      </c>
      <c r="E187" s="4" t="s">
        <v>303</v>
      </c>
      <c r="F187" s="13" t="s">
        <v>9</v>
      </c>
      <c r="H187" s="4">
        <v>6.0</v>
      </c>
      <c r="K187" s="13">
        <v>6.0</v>
      </c>
      <c r="L187" s="13">
        <v>120000.0</v>
      </c>
    </row>
    <row r="188">
      <c r="B188" s="10">
        <v>46105.0</v>
      </c>
      <c r="C188" s="4" t="s">
        <v>113</v>
      </c>
      <c r="D188" s="17" t="s">
        <v>304</v>
      </c>
      <c r="E188" s="4" t="s">
        <v>303</v>
      </c>
      <c r="F188" s="13" t="s">
        <v>10</v>
      </c>
      <c r="H188" s="4">
        <v>3.0</v>
      </c>
      <c r="K188" s="13">
        <v>3.0</v>
      </c>
      <c r="L188" s="13">
        <v>60000.0</v>
      </c>
    </row>
    <row r="189">
      <c r="B189" s="10">
        <v>46105.0</v>
      </c>
      <c r="C189" s="4" t="s">
        <v>113</v>
      </c>
      <c r="D189" s="17" t="s">
        <v>304</v>
      </c>
      <c r="E189" s="4" t="s">
        <v>303</v>
      </c>
      <c r="F189" s="13" t="s">
        <v>11</v>
      </c>
      <c r="H189" s="4">
        <v>2.0</v>
      </c>
      <c r="I189" s="4">
        <v>1.0</v>
      </c>
      <c r="K189" s="13">
        <v>1.0</v>
      </c>
      <c r="L189" s="13">
        <v>20000.0</v>
      </c>
    </row>
    <row r="190">
      <c r="B190" s="10">
        <v>46105.0</v>
      </c>
      <c r="C190" s="4" t="s">
        <v>113</v>
      </c>
      <c r="D190" s="17" t="s">
        <v>304</v>
      </c>
      <c r="E190" s="4" t="s">
        <v>303</v>
      </c>
      <c r="F190" s="13" t="s">
        <v>12</v>
      </c>
      <c r="H190" s="4">
        <v>2.0</v>
      </c>
      <c r="K190" s="13">
        <v>2.0</v>
      </c>
      <c r="L190" s="13">
        <v>40000.0</v>
      </c>
    </row>
    <row r="191">
      <c r="B191" s="10">
        <v>46105.0</v>
      </c>
      <c r="C191" s="4" t="s">
        <v>113</v>
      </c>
      <c r="D191" s="17" t="s">
        <v>304</v>
      </c>
      <c r="E191" s="4" t="s">
        <v>303</v>
      </c>
      <c r="F191" s="13" t="s">
        <v>13</v>
      </c>
      <c r="H191" s="4">
        <v>3.0</v>
      </c>
      <c r="I191" s="4">
        <v>2.0</v>
      </c>
      <c r="K191" s="13">
        <v>1.0</v>
      </c>
      <c r="L191" s="13">
        <v>20000.0</v>
      </c>
    </row>
    <row r="192">
      <c r="B192" s="10">
        <v>46105.0</v>
      </c>
      <c r="C192" s="4" t="s">
        <v>113</v>
      </c>
      <c r="D192" s="17" t="s">
        <v>304</v>
      </c>
      <c r="E192" s="4" t="s">
        <v>303</v>
      </c>
      <c r="F192" s="13" t="s">
        <v>14</v>
      </c>
      <c r="H192" s="4">
        <v>2.0</v>
      </c>
      <c r="I192" s="4">
        <v>1.0</v>
      </c>
      <c r="K192" s="13">
        <v>1.0</v>
      </c>
      <c r="L192" s="13">
        <v>22000.0</v>
      </c>
    </row>
    <row r="193">
      <c r="B193" s="10">
        <v>46105.0</v>
      </c>
      <c r="C193" s="4" t="s">
        <v>113</v>
      </c>
      <c r="D193" s="17" t="s">
        <v>304</v>
      </c>
      <c r="E193" s="4" t="s">
        <v>303</v>
      </c>
      <c r="F193" s="13" t="s">
        <v>15</v>
      </c>
      <c r="H193" s="4">
        <v>35.0</v>
      </c>
      <c r="I193" s="4">
        <v>14.0</v>
      </c>
      <c r="K193" s="13">
        <v>21.0</v>
      </c>
      <c r="L193" s="13">
        <v>420000.0</v>
      </c>
    </row>
    <row r="194">
      <c r="A194" s="13"/>
      <c r="B194" s="10">
        <v>46105.0</v>
      </c>
      <c r="C194" s="4" t="s">
        <v>114</v>
      </c>
      <c r="D194" s="17" t="s">
        <v>304</v>
      </c>
      <c r="E194" s="4" t="s">
        <v>299</v>
      </c>
      <c r="F194" s="13" t="s">
        <v>4</v>
      </c>
      <c r="G194" s="13"/>
      <c r="H194" s="13"/>
      <c r="I194" s="13"/>
      <c r="J194" s="13"/>
      <c r="K194" s="13">
        <v>0.0</v>
      </c>
      <c r="L194" s="13">
        <v>0.0</v>
      </c>
      <c r="M194" s="13"/>
      <c r="N194" s="13"/>
      <c r="O194" s="13"/>
      <c r="P194" s="13"/>
      <c r="Q194" s="13"/>
      <c r="R194" s="13"/>
      <c r="S194" s="13"/>
      <c r="T194" s="13"/>
      <c r="U194" s="13"/>
      <c r="V194" s="13"/>
      <c r="W194" s="13"/>
      <c r="X194" s="13"/>
      <c r="Y194" s="13"/>
      <c r="Z194" s="13"/>
      <c r="AA194" s="13"/>
      <c r="AB194" s="13"/>
      <c r="AC194" s="13"/>
    </row>
    <row r="195">
      <c r="A195" s="13"/>
      <c r="B195" s="10">
        <v>46105.0</v>
      </c>
      <c r="C195" s="4" t="s">
        <v>114</v>
      </c>
      <c r="D195" s="17" t="s">
        <v>304</v>
      </c>
      <c r="E195" s="4" t="s">
        <v>299</v>
      </c>
      <c r="F195" s="13" t="s">
        <v>5</v>
      </c>
      <c r="G195" s="13"/>
      <c r="H195" s="13"/>
      <c r="I195" s="13"/>
      <c r="J195" s="13"/>
      <c r="K195" s="13">
        <v>0.0</v>
      </c>
      <c r="L195" s="13">
        <v>0.0</v>
      </c>
      <c r="M195" s="13"/>
      <c r="N195" s="13"/>
      <c r="O195" s="13"/>
      <c r="P195" s="13"/>
      <c r="Q195" s="13"/>
      <c r="R195" s="13"/>
      <c r="S195" s="13"/>
      <c r="T195" s="13"/>
      <c r="U195" s="13"/>
      <c r="V195" s="13"/>
      <c r="W195" s="13"/>
      <c r="X195" s="13"/>
      <c r="Y195" s="13"/>
      <c r="Z195" s="13"/>
      <c r="AA195" s="13"/>
      <c r="AB195" s="13"/>
      <c r="AC195" s="13"/>
    </row>
    <row r="196">
      <c r="A196" s="13"/>
      <c r="B196" s="10">
        <v>46105.0</v>
      </c>
      <c r="C196" s="4" t="s">
        <v>114</v>
      </c>
      <c r="D196" s="17" t="s">
        <v>304</v>
      </c>
      <c r="E196" s="4" t="s">
        <v>299</v>
      </c>
      <c r="F196" s="13" t="s">
        <v>6</v>
      </c>
      <c r="G196" s="13"/>
      <c r="H196" s="13"/>
      <c r="I196" s="13"/>
      <c r="J196" s="13"/>
      <c r="K196" s="13">
        <v>0.0</v>
      </c>
      <c r="L196" s="13">
        <v>0.0</v>
      </c>
      <c r="M196" s="13"/>
      <c r="N196" s="13"/>
      <c r="O196" s="13"/>
      <c r="P196" s="13"/>
      <c r="Q196" s="13"/>
      <c r="R196" s="13"/>
      <c r="S196" s="13"/>
      <c r="T196" s="13"/>
      <c r="U196" s="13"/>
      <c r="V196" s="13"/>
      <c r="W196" s="13"/>
      <c r="X196" s="13"/>
      <c r="Y196" s="13"/>
      <c r="Z196" s="13"/>
      <c r="AA196" s="13"/>
      <c r="AB196" s="13"/>
      <c r="AC196" s="13"/>
    </row>
    <row r="197">
      <c r="A197" s="13"/>
      <c r="B197" s="10">
        <v>46105.0</v>
      </c>
      <c r="C197" s="4" t="s">
        <v>114</v>
      </c>
      <c r="D197" s="17" t="s">
        <v>304</v>
      </c>
      <c r="E197" s="4" t="s">
        <v>299</v>
      </c>
      <c r="F197" s="13" t="s">
        <v>7</v>
      </c>
      <c r="G197" s="13"/>
      <c r="H197" s="13"/>
      <c r="I197" s="13"/>
      <c r="J197" s="13"/>
      <c r="K197" s="13">
        <v>0.0</v>
      </c>
      <c r="L197" s="13">
        <v>0.0</v>
      </c>
      <c r="M197" s="13"/>
      <c r="N197" s="13"/>
      <c r="O197" s="13"/>
      <c r="P197" s="13"/>
      <c r="Q197" s="13"/>
      <c r="R197" s="13"/>
      <c r="S197" s="13"/>
      <c r="T197" s="13"/>
      <c r="U197" s="13"/>
      <c r="V197" s="13"/>
      <c r="W197" s="13"/>
      <c r="X197" s="13"/>
      <c r="Y197" s="13"/>
      <c r="Z197" s="13"/>
      <c r="AA197" s="13"/>
      <c r="AB197" s="13"/>
      <c r="AC197" s="13"/>
    </row>
    <row r="198">
      <c r="A198" s="13"/>
      <c r="B198" s="10">
        <v>46105.0</v>
      </c>
      <c r="C198" s="4" t="s">
        <v>114</v>
      </c>
      <c r="D198" s="17" t="s">
        <v>304</v>
      </c>
      <c r="E198" s="4" t="s">
        <v>299</v>
      </c>
      <c r="F198" s="13" t="s">
        <v>8</v>
      </c>
      <c r="G198" s="13"/>
      <c r="H198" s="13"/>
      <c r="I198" s="13"/>
      <c r="J198" s="13"/>
      <c r="K198" s="13">
        <v>0.0</v>
      </c>
      <c r="L198" s="13">
        <v>0.0</v>
      </c>
      <c r="M198" s="13"/>
      <c r="N198" s="13"/>
      <c r="O198" s="13"/>
      <c r="P198" s="13"/>
      <c r="Q198" s="13"/>
      <c r="R198" s="13"/>
      <c r="S198" s="13"/>
      <c r="T198" s="13"/>
      <c r="U198" s="13"/>
      <c r="V198" s="13"/>
      <c r="W198" s="13"/>
      <c r="X198" s="13"/>
      <c r="Y198" s="13"/>
      <c r="Z198" s="13"/>
      <c r="AA198" s="13"/>
      <c r="AB198" s="13"/>
      <c r="AC198" s="13"/>
    </row>
    <row r="199">
      <c r="A199" s="13"/>
      <c r="B199" s="10">
        <v>46105.0</v>
      </c>
      <c r="C199" s="4" t="s">
        <v>114</v>
      </c>
      <c r="D199" s="17" t="s">
        <v>304</v>
      </c>
      <c r="E199" s="4" t="s">
        <v>299</v>
      </c>
      <c r="F199" s="13" t="s">
        <v>9</v>
      </c>
      <c r="G199" s="13"/>
      <c r="H199" s="13"/>
      <c r="I199" s="13"/>
      <c r="J199" s="13"/>
      <c r="K199" s="13">
        <v>0.0</v>
      </c>
      <c r="L199" s="13">
        <v>0.0</v>
      </c>
      <c r="M199" s="13"/>
      <c r="N199" s="13"/>
      <c r="O199" s="13"/>
      <c r="P199" s="13"/>
      <c r="Q199" s="13"/>
      <c r="R199" s="13"/>
      <c r="S199" s="13"/>
      <c r="T199" s="13"/>
      <c r="U199" s="13"/>
      <c r="V199" s="13"/>
      <c r="W199" s="13"/>
      <c r="X199" s="13"/>
      <c r="Y199" s="13"/>
      <c r="Z199" s="13"/>
      <c r="AA199" s="13"/>
      <c r="AB199" s="13"/>
      <c r="AC199" s="13"/>
    </row>
    <row r="200">
      <c r="A200" s="13"/>
      <c r="B200" s="10">
        <v>46105.0</v>
      </c>
      <c r="C200" s="4" t="s">
        <v>114</v>
      </c>
      <c r="D200" s="17" t="s">
        <v>304</v>
      </c>
      <c r="E200" s="4" t="s">
        <v>299</v>
      </c>
      <c r="F200" s="13" t="s">
        <v>10</v>
      </c>
      <c r="G200" s="13"/>
      <c r="H200" s="13"/>
      <c r="I200" s="13"/>
      <c r="J200" s="13"/>
      <c r="K200" s="13">
        <v>0.0</v>
      </c>
      <c r="L200" s="13">
        <v>0.0</v>
      </c>
      <c r="M200" s="13"/>
      <c r="N200" s="13"/>
      <c r="O200" s="13"/>
      <c r="P200" s="13"/>
      <c r="Q200" s="13"/>
      <c r="R200" s="13"/>
      <c r="S200" s="13"/>
      <c r="T200" s="13"/>
      <c r="U200" s="13"/>
      <c r="V200" s="13"/>
      <c r="W200" s="13"/>
      <c r="X200" s="13"/>
      <c r="Y200" s="13"/>
      <c r="Z200" s="13"/>
      <c r="AA200" s="13"/>
      <c r="AB200" s="13"/>
      <c r="AC200" s="13"/>
    </row>
    <row r="201">
      <c r="A201" s="13"/>
      <c r="B201" s="10">
        <v>46105.0</v>
      </c>
      <c r="C201" s="4" t="s">
        <v>114</v>
      </c>
      <c r="D201" s="17" t="s">
        <v>304</v>
      </c>
      <c r="E201" s="4" t="s">
        <v>299</v>
      </c>
      <c r="F201" s="13" t="s">
        <v>11</v>
      </c>
      <c r="G201" s="13"/>
      <c r="H201" s="13"/>
      <c r="I201" s="13"/>
      <c r="J201" s="13"/>
      <c r="K201" s="13">
        <v>0.0</v>
      </c>
      <c r="L201" s="13">
        <v>0.0</v>
      </c>
      <c r="M201" s="13"/>
      <c r="N201" s="13"/>
      <c r="O201" s="13"/>
      <c r="P201" s="13"/>
      <c r="Q201" s="13"/>
      <c r="R201" s="13"/>
      <c r="S201" s="13"/>
      <c r="T201" s="13"/>
      <c r="U201" s="13"/>
      <c r="V201" s="13"/>
      <c r="W201" s="13"/>
      <c r="X201" s="13"/>
      <c r="Y201" s="13"/>
      <c r="Z201" s="13"/>
      <c r="AA201" s="13"/>
      <c r="AB201" s="13"/>
      <c r="AC201" s="13"/>
    </row>
    <row r="202">
      <c r="A202" s="13"/>
      <c r="B202" s="10">
        <v>46105.0</v>
      </c>
      <c r="C202" s="4" t="s">
        <v>114</v>
      </c>
      <c r="D202" s="17" t="s">
        <v>304</v>
      </c>
      <c r="E202" s="4" t="s">
        <v>299</v>
      </c>
      <c r="F202" s="13" t="s">
        <v>12</v>
      </c>
      <c r="G202" s="13"/>
      <c r="H202" s="13"/>
      <c r="I202" s="13"/>
      <c r="J202" s="13"/>
      <c r="K202" s="13">
        <v>0.0</v>
      </c>
      <c r="L202" s="13">
        <v>0.0</v>
      </c>
      <c r="M202" s="13"/>
      <c r="N202" s="13"/>
      <c r="O202" s="13"/>
      <c r="P202" s="13"/>
      <c r="Q202" s="13"/>
      <c r="R202" s="13"/>
      <c r="S202" s="13"/>
      <c r="T202" s="13"/>
      <c r="U202" s="13"/>
      <c r="V202" s="13"/>
      <c r="W202" s="13"/>
      <c r="X202" s="13"/>
      <c r="Y202" s="13"/>
      <c r="Z202" s="13"/>
      <c r="AA202" s="13"/>
      <c r="AB202" s="13"/>
      <c r="AC202" s="13"/>
    </row>
    <row r="203">
      <c r="A203" s="13"/>
      <c r="B203" s="10">
        <v>46105.0</v>
      </c>
      <c r="C203" s="4" t="s">
        <v>114</v>
      </c>
      <c r="D203" s="17" t="s">
        <v>304</v>
      </c>
      <c r="E203" s="4" t="s">
        <v>299</v>
      </c>
      <c r="F203" s="13" t="s">
        <v>13</v>
      </c>
      <c r="G203" s="13"/>
      <c r="H203" s="13"/>
      <c r="I203" s="13"/>
      <c r="J203" s="13"/>
      <c r="K203" s="13">
        <v>0.0</v>
      </c>
      <c r="L203" s="13">
        <v>0.0</v>
      </c>
      <c r="M203" s="13"/>
      <c r="N203" s="13"/>
      <c r="O203" s="13"/>
      <c r="P203" s="13"/>
      <c r="Q203" s="13"/>
      <c r="R203" s="13"/>
      <c r="S203" s="13"/>
      <c r="T203" s="13"/>
      <c r="U203" s="13"/>
      <c r="V203" s="13"/>
      <c r="W203" s="13"/>
      <c r="X203" s="13"/>
      <c r="Y203" s="13"/>
      <c r="Z203" s="13"/>
      <c r="AA203" s="13"/>
      <c r="AB203" s="13"/>
      <c r="AC203" s="13"/>
    </row>
    <row r="204">
      <c r="A204" s="13"/>
      <c r="B204" s="10">
        <v>46105.0</v>
      </c>
      <c r="C204" s="4" t="s">
        <v>114</v>
      </c>
      <c r="D204" s="17" t="s">
        <v>304</v>
      </c>
      <c r="E204" s="4" t="s">
        <v>299</v>
      </c>
      <c r="F204" s="13" t="s">
        <v>14</v>
      </c>
      <c r="G204" s="13"/>
      <c r="H204" s="13"/>
      <c r="I204" s="13"/>
      <c r="J204" s="13"/>
      <c r="K204" s="13">
        <v>0.0</v>
      </c>
      <c r="L204" s="13">
        <v>0.0</v>
      </c>
      <c r="M204" s="13"/>
      <c r="N204" s="13"/>
      <c r="O204" s="13"/>
      <c r="P204" s="13"/>
      <c r="Q204" s="13"/>
      <c r="R204" s="13"/>
      <c r="S204" s="13"/>
      <c r="T204" s="13"/>
      <c r="U204" s="13"/>
      <c r="V204" s="13"/>
      <c r="W204" s="13"/>
      <c r="X204" s="13"/>
      <c r="Y204" s="13"/>
      <c r="Z204" s="13"/>
      <c r="AA204" s="13"/>
      <c r="AB204" s="13"/>
      <c r="AC204" s="13"/>
    </row>
    <row r="205">
      <c r="A205" s="13"/>
      <c r="B205" s="10">
        <v>46105.0</v>
      </c>
      <c r="C205" s="4" t="s">
        <v>114</v>
      </c>
      <c r="D205" s="17" t="s">
        <v>304</v>
      </c>
      <c r="E205" s="4" t="s">
        <v>299</v>
      </c>
      <c r="F205" s="13" t="s">
        <v>15</v>
      </c>
      <c r="G205" s="13"/>
      <c r="H205" s="13"/>
      <c r="I205" s="13"/>
      <c r="J205" s="13"/>
      <c r="K205" s="13">
        <v>0.0</v>
      </c>
      <c r="L205" s="13">
        <v>0.0</v>
      </c>
      <c r="M205" s="13"/>
      <c r="N205" s="13"/>
      <c r="O205" s="13"/>
      <c r="P205" s="13"/>
      <c r="Q205" s="13"/>
      <c r="R205" s="13"/>
      <c r="S205" s="13"/>
      <c r="T205" s="13"/>
      <c r="U205" s="13"/>
      <c r="V205" s="13"/>
      <c r="W205" s="13"/>
      <c r="X205" s="13"/>
      <c r="Y205" s="13"/>
      <c r="Z205" s="13"/>
      <c r="AA205" s="13"/>
      <c r="AB205" s="13"/>
      <c r="AC205" s="13"/>
    </row>
    <row r="206">
      <c r="A206" s="13"/>
      <c r="B206" s="10">
        <v>46105.0</v>
      </c>
      <c r="C206" s="4" t="s">
        <v>113</v>
      </c>
      <c r="D206" s="17" t="s">
        <v>93</v>
      </c>
      <c r="E206" s="4" t="s">
        <v>299</v>
      </c>
      <c r="F206" s="13" t="s">
        <v>4</v>
      </c>
      <c r="G206" s="13" t="str">
        <f t="shared" ref="G206:G217" si="5">I194</f>
        <v/>
      </c>
      <c r="H206" s="13"/>
      <c r="I206" s="13"/>
      <c r="J206" s="13"/>
      <c r="K206" s="13">
        <v>0.0</v>
      </c>
      <c r="L206" s="13">
        <v>0.0</v>
      </c>
      <c r="M206" s="13"/>
      <c r="N206" s="13"/>
      <c r="O206" s="13"/>
      <c r="P206" s="13"/>
      <c r="Q206" s="13"/>
      <c r="R206" s="13"/>
      <c r="S206" s="13"/>
      <c r="T206" s="13"/>
      <c r="U206" s="13"/>
      <c r="V206" s="13"/>
      <c r="W206" s="13"/>
      <c r="X206" s="13"/>
      <c r="Y206" s="13"/>
      <c r="Z206" s="13"/>
      <c r="AA206" s="13"/>
      <c r="AB206" s="13"/>
      <c r="AC206" s="13"/>
    </row>
    <row r="207">
      <c r="A207" s="13"/>
      <c r="B207" s="10">
        <v>46105.0</v>
      </c>
      <c r="C207" s="4" t="s">
        <v>113</v>
      </c>
      <c r="D207" s="17" t="s">
        <v>93</v>
      </c>
      <c r="E207" s="4" t="s">
        <v>299</v>
      </c>
      <c r="F207" s="13" t="s">
        <v>5</v>
      </c>
      <c r="G207" s="13" t="str">
        <f t="shared" si="5"/>
        <v/>
      </c>
      <c r="H207" s="13"/>
      <c r="I207" s="13"/>
      <c r="J207" s="13"/>
      <c r="K207" s="13">
        <v>0.0</v>
      </c>
      <c r="L207" s="13">
        <v>0.0</v>
      </c>
      <c r="M207" s="13"/>
      <c r="N207" s="13"/>
      <c r="O207" s="13"/>
      <c r="P207" s="13"/>
      <c r="Q207" s="13"/>
      <c r="R207" s="13"/>
      <c r="S207" s="13"/>
      <c r="T207" s="13"/>
      <c r="U207" s="13"/>
      <c r="V207" s="13"/>
      <c r="W207" s="13"/>
      <c r="X207" s="13"/>
      <c r="Y207" s="13"/>
      <c r="Z207" s="13"/>
      <c r="AA207" s="13"/>
      <c r="AB207" s="13"/>
      <c r="AC207" s="13"/>
    </row>
    <row r="208">
      <c r="A208" s="13"/>
      <c r="B208" s="10">
        <v>46105.0</v>
      </c>
      <c r="C208" s="4" t="s">
        <v>113</v>
      </c>
      <c r="D208" s="17" t="s">
        <v>93</v>
      </c>
      <c r="E208" s="4" t="s">
        <v>299</v>
      </c>
      <c r="F208" s="13" t="s">
        <v>6</v>
      </c>
      <c r="G208" s="13" t="str">
        <f t="shared" si="5"/>
        <v/>
      </c>
      <c r="H208" s="13"/>
      <c r="I208" s="13"/>
      <c r="J208" s="13"/>
      <c r="K208" s="13">
        <v>0.0</v>
      </c>
      <c r="L208" s="13">
        <v>0.0</v>
      </c>
      <c r="M208" s="13"/>
      <c r="N208" s="13"/>
      <c r="O208" s="13"/>
      <c r="P208" s="13"/>
      <c r="Q208" s="13"/>
      <c r="R208" s="13"/>
      <c r="S208" s="13"/>
      <c r="T208" s="13"/>
      <c r="U208" s="13"/>
      <c r="V208" s="13"/>
      <c r="W208" s="13"/>
      <c r="X208" s="13"/>
      <c r="Y208" s="13"/>
      <c r="Z208" s="13"/>
      <c r="AA208" s="13"/>
      <c r="AB208" s="13"/>
      <c r="AC208" s="13"/>
    </row>
    <row r="209">
      <c r="A209" s="13"/>
      <c r="B209" s="10">
        <v>46105.0</v>
      </c>
      <c r="C209" s="4" t="s">
        <v>113</v>
      </c>
      <c r="D209" s="17" t="s">
        <v>93</v>
      </c>
      <c r="E209" s="4" t="s">
        <v>299</v>
      </c>
      <c r="F209" s="13" t="s">
        <v>7</v>
      </c>
      <c r="G209" s="13" t="str">
        <f t="shared" si="5"/>
        <v/>
      </c>
      <c r="H209" s="13"/>
      <c r="I209" s="13"/>
      <c r="J209" s="13"/>
      <c r="K209" s="13">
        <v>0.0</v>
      </c>
      <c r="L209" s="13">
        <v>0.0</v>
      </c>
      <c r="M209" s="13"/>
      <c r="N209" s="13"/>
      <c r="O209" s="13"/>
      <c r="P209" s="13"/>
      <c r="Q209" s="13"/>
      <c r="R209" s="13"/>
      <c r="S209" s="13"/>
      <c r="T209" s="13"/>
      <c r="U209" s="13"/>
      <c r="V209" s="13"/>
      <c r="W209" s="13"/>
      <c r="X209" s="13"/>
      <c r="Y209" s="13"/>
      <c r="Z209" s="13"/>
      <c r="AA209" s="13"/>
      <c r="AB209" s="13"/>
      <c r="AC209" s="13"/>
    </row>
    <row r="210">
      <c r="A210" s="13"/>
      <c r="B210" s="10">
        <v>46105.0</v>
      </c>
      <c r="C210" s="4" t="s">
        <v>113</v>
      </c>
      <c r="D210" s="17" t="s">
        <v>93</v>
      </c>
      <c r="E210" s="4" t="s">
        <v>299</v>
      </c>
      <c r="F210" s="13" t="s">
        <v>8</v>
      </c>
      <c r="G210" s="13" t="str">
        <f t="shared" si="5"/>
        <v/>
      </c>
      <c r="H210" s="13"/>
      <c r="I210" s="13"/>
      <c r="J210" s="13"/>
      <c r="K210" s="13">
        <v>0.0</v>
      </c>
      <c r="L210" s="13">
        <v>0.0</v>
      </c>
      <c r="M210" s="13"/>
      <c r="N210" s="13"/>
      <c r="O210" s="13"/>
      <c r="P210" s="13"/>
      <c r="Q210" s="13"/>
      <c r="R210" s="13"/>
      <c r="S210" s="13"/>
      <c r="T210" s="13"/>
      <c r="U210" s="13"/>
      <c r="V210" s="13"/>
      <c r="W210" s="13"/>
      <c r="X210" s="13"/>
      <c r="Y210" s="13"/>
      <c r="Z210" s="13"/>
      <c r="AA210" s="13"/>
      <c r="AB210" s="13"/>
      <c r="AC210" s="13"/>
    </row>
    <row r="211">
      <c r="A211" s="13"/>
      <c r="B211" s="10">
        <v>46105.0</v>
      </c>
      <c r="C211" s="4" t="s">
        <v>113</v>
      </c>
      <c r="D211" s="17" t="s">
        <v>93</v>
      </c>
      <c r="E211" s="4" t="s">
        <v>299</v>
      </c>
      <c r="F211" s="13" t="s">
        <v>9</v>
      </c>
      <c r="G211" s="13" t="str">
        <f t="shared" si="5"/>
        <v/>
      </c>
      <c r="H211" s="13"/>
      <c r="I211" s="13"/>
      <c r="J211" s="13"/>
      <c r="K211" s="13">
        <v>0.0</v>
      </c>
      <c r="L211" s="13">
        <v>0.0</v>
      </c>
      <c r="M211" s="13"/>
      <c r="N211" s="13"/>
      <c r="O211" s="13"/>
      <c r="P211" s="13"/>
      <c r="Q211" s="13"/>
      <c r="R211" s="13"/>
      <c r="S211" s="13"/>
      <c r="T211" s="13"/>
      <c r="U211" s="13"/>
      <c r="V211" s="13"/>
      <c r="W211" s="13"/>
      <c r="X211" s="13"/>
      <c r="Y211" s="13"/>
      <c r="Z211" s="13"/>
      <c r="AA211" s="13"/>
      <c r="AB211" s="13"/>
      <c r="AC211" s="13"/>
    </row>
    <row r="212">
      <c r="A212" s="13"/>
      <c r="B212" s="10">
        <v>46105.0</v>
      </c>
      <c r="C212" s="4" t="s">
        <v>113</v>
      </c>
      <c r="D212" s="17" t="s">
        <v>93</v>
      </c>
      <c r="E212" s="4" t="s">
        <v>299</v>
      </c>
      <c r="F212" s="13" t="s">
        <v>10</v>
      </c>
      <c r="G212" s="13" t="str">
        <f t="shared" si="5"/>
        <v/>
      </c>
      <c r="H212" s="13"/>
      <c r="I212" s="13"/>
      <c r="J212" s="13"/>
      <c r="K212" s="13">
        <v>0.0</v>
      </c>
      <c r="L212" s="13">
        <v>0.0</v>
      </c>
      <c r="M212" s="13"/>
      <c r="N212" s="13"/>
      <c r="O212" s="13"/>
      <c r="P212" s="13"/>
      <c r="Q212" s="13"/>
      <c r="R212" s="13"/>
      <c r="S212" s="13"/>
      <c r="T212" s="13"/>
      <c r="U212" s="13"/>
      <c r="V212" s="13"/>
      <c r="W212" s="13"/>
      <c r="X212" s="13"/>
      <c r="Y212" s="13"/>
      <c r="Z212" s="13"/>
      <c r="AA212" s="13"/>
      <c r="AB212" s="13"/>
      <c r="AC212" s="13"/>
    </row>
    <row r="213">
      <c r="A213" s="13"/>
      <c r="B213" s="10">
        <v>46105.0</v>
      </c>
      <c r="C213" s="4" t="s">
        <v>113</v>
      </c>
      <c r="D213" s="17" t="s">
        <v>93</v>
      </c>
      <c r="E213" s="4" t="s">
        <v>299</v>
      </c>
      <c r="F213" s="13" t="s">
        <v>11</v>
      </c>
      <c r="G213" s="13" t="str">
        <f t="shared" si="5"/>
        <v/>
      </c>
      <c r="H213" s="13"/>
      <c r="I213" s="13"/>
      <c r="J213" s="13"/>
      <c r="K213" s="13">
        <v>0.0</v>
      </c>
      <c r="L213" s="13">
        <v>0.0</v>
      </c>
      <c r="M213" s="13"/>
      <c r="N213" s="13"/>
      <c r="O213" s="13"/>
      <c r="P213" s="13"/>
      <c r="Q213" s="13"/>
      <c r="R213" s="13"/>
      <c r="S213" s="13"/>
      <c r="T213" s="13"/>
      <c r="U213" s="13"/>
      <c r="V213" s="13"/>
      <c r="W213" s="13"/>
      <c r="X213" s="13"/>
      <c r="Y213" s="13"/>
      <c r="Z213" s="13"/>
      <c r="AA213" s="13"/>
      <c r="AB213" s="13"/>
      <c r="AC213" s="13"/>
    </row>
    <row r="214">
      <c r="A214" s="13"/>
      <c r="B214" s="10">
        <v>46105.0</v>
      </c>
      <c r="C214" s="4" t="s">
        <v>113</v>
      </c>
      <c r="D214" s="17" t="s">
        <v>93</v>
      </c>
      <c r="E214" s="4" t="s">
        <v>299</v>
      </c>
      <c r="F214" s="13" t="s">
        <v>12</v>
      </c>
      <c r="G214" s="13" t="str">
        <f t="shared" si="5"/>
        <v/>
      </c>
      <c r="H214" s="13"/>
      <c r="I214" s="13"/>
      <c r="J214" s="13"/>
      <c r="K214" s="13">
        <v>0.0</v>
      </c>
      <c r="L214" s="13">
        <v>0.0</v>
      </c>
      <c r="M214" s="13"/>
      <c r="N214" s="13"/>
      <c r="O214" s="13"/>
      <c r="P214" s="13"/>
      <c r="Q214" s="13"/>
      <c r="R214" s="13"/>
      <c r="S214" s="13"/>
      <c r="T214" s="13"/>
      <c r="U214" s="13"/>
      <c r="V214" s="13"/>
      <c r="W214" s="13"/>
      <c r="X214" s="13"/>
      <c r="Y214" s="13"/>
      <c r="Z214" s="13"/>
      <c r="AA214" s="13"/>
      <c r="AB214" s="13"/>
      <c r="AC214" s="13"/>
    </row>
    <row r="215">
      <c r="A215" s="13"/>
      <c r="B215" s="10">
        <v>46105.0</v>
      </c>
      <c r="C215" s="4" t="s">
        <v>113</v>
      </c>
      <c r="D215" s="17" t="s">
        <v>93</v>
      </c>
      <c r="E215" s="4" t="s">
        <v>299</v>
      </c>
      <c r="F215" s="13" t="s">
        <v>13</v>
      </c>
      <c r="G215" s="13" t="str">
        <f t="shared" si="5"/>
        <v/>
      </c>
      <c r="H215" s="13"/>
      <c r="I215" s="13"/>
      <c r="J215" s="13"/>
      <c r="K215" s="13">
        <v>0.0</v>
      </c>
      <c r="L215" s="13">
        <v>0.0</v>
      </c>
      <c r="M215" s="13"/>
      <c r="N215" s="13"/>
      <c r="O215" s="13"/>
      <c r="P215" s="13"/>
      <c r="Q215" s="13"/>
      <c r="R215" s="13"/>
      <c r="S215" s="13"/>
      <c r="T215" s="13"/>
      <c r="U215" s="13"/>
      <c r="V215" s="13"/>
      <c r="W215" s="13"/>
      <c r="X215" s="13"/>
      <c r="Y215" s="13"/>
      <c r="Z215" s="13"/>
      <c r="AA215" s="13"/>
      <c r="AB215" s="13"/>
      <c r="AC215" s="13"/>
    </row>
    <row r="216">
      <c r="A216" s="13"/>
      <c r="B216" s="10">
        <v>46105.0</v>
      </c>
      <c r="C216" s="4" t="s">
        <v>113</v>
      </c>
      <c r="D216" s="17" t="s">
        <v>93</v>
      </c>
      <c r="E216" s="4" t="s">
        <v>299</v>
      </c>
      <c r="F216" s="13" t="s">
        <v>14</v>
      </c>
      <c r="G216" s="13" t="str">
        <f t="shared" si="5"/>
        <v/>
      </c>
      <c r="H216" s="13"/>
      <c r="I216" s="13"/>
      <c r="J216" s="13"/>
      <c r="K216" s="13">
        <v>0.0</v>
      </c>
      <c r="L216" s="13">
        <v>0.0</v>
      </c>
      <c r="M216" s="13"/>
      <c r="N216" s="13"/>
      <c r="O216" s="13"/>
      <c r="P216" s="13"/>
      <c r="Q216" s="13"/>
      <c r="R216" s="13"/>
      <c r="S216" s="13"/>
      <c r="T216" s="13"/>
      <c r="U216" s="13"/>
      <c r="V216" s="13"/>
      <c r="W216" s="13"/>
      <c r="X216" s="13"/>
      <c r="Y216" s="13"/>
      <c r="Z216" s="13"/>
      <c r="AA216" s="13"/>
      <c r="AB216" s="13"/>
      <c r="AC216" s="13"/>
    </row>
    <row r="217">
      <c r="A217" s="13"/>
      <c r="B217" s="10">
        <v>46105.0</v>
      </c>
      <c r="C217" s="4" t="s">
        <v>113</v>
      </c>
      <c r="D217" s="17" t="s">
        <v>93</v>
      </c>
      <c r="E217" s="4" t="s">
        <v>299</v>
      </c>
      <c r="F217" s="13" t="s">
        <v>15</v>
      </c>
      <c r="G217" s="13" t="str">
        <f t="shared" si="5"/>
        <v/>
      </c>
      <c r="H217" s="13"/>
      <c r="I217" s="13"/>
      <c r="J217" s="13"/>
      <c r="K217" s="13">
        <v>0.0</v>
      </c>
      <c r="L217" s="13">
        <v>0.0</v>
      </c>
      <c r="M217" s="13"/>
      <c r="N217" s="13"/>
      <c r="O217" s="13"/>
      <c r="P217" s="13"/>
      <c r="Q217" s="13"/>
      <c r="R217" s="13"/>
      <c r="S217" s="13"/>
      <c r="T217" s="13"/>
      <c r="U217" s="13"/>
      <c r="V217" s="13"/>
      <c r="W217" s="13"/>
      <c r="X217" s="13"/>
      <c r="Y217" s="13"/>
      <c r="Z217" s="13"/>
      <c r="AA217" s="13"/>
      <c r="AB217" s="13"/>
      <c r="AC217" s="13"/>
    </row>
    <row r="218">
      <c r="B218" s="10">
        <v>46105.0</v>
      </c>
      <c r="C218" s="4" t="s">
        <v>114</v>
      </c>
      <c r="D218" s="17" t="s">
        <v>93</v>
      </c>
      <c r="E218" s="4" t="s">
        <v>63</v>
      </c>
      <c r="F218" s="13" t="s">
        <v>4</v>
      </c>
      <c r="G218" s="4">
        <v>3.0</v>
      </c>
      <c r="K218" s="13">
        <v>3.0</v>
      </c>
      <c r="L218" s="13">
        <v>60000.0</v>
      </c>
    </row>
    <row r="219">
      <c r="B219" s="10">
        <v>46105.0</v>
      </c>
      <c r="C219" s="13"/>
      <c r="D219" s="17" t="s">
        <v>93</v>
      </c>
      <c r="E219" s="4" t="s">
        <v>63</v>
      </c>
      <c r="F219" s="13" t="s">
        <v>5</v>
      </c>
      <c r="G219" s="13">
        <f t="shared" ref="G219:G224" si="6">I183</f>
        <v>1</v>
      </c>
      <c r="K219" s="13">
        <v>1.0</v>
      </c>
      <c r="L219" s="13">
        <v>20000.0</v>
      </c>
    </row>
    <row r="220">
      <c r="B220" s="10">
        <v>46105.0</v>
      </c>
      <c r="C220" s="13"/>
      <c r="D220" s="17" t="s">
        <v>93</v>
      </c>
      <c r="E220" s="4" t="s">
        <v>63</v>
      </c>
      <c r="F220" s="13" t="s">
        <v>6</v>
      </c>
      <c r="G220" s="13">
        <f t="shared" si="6"/>
        <v>1</v>
      </c>
      <c r="K220" s="13">
        <v>1.0</v>
      </c>
      <c r="L220" s="13">
        <v>20000.0</v>
      </c>
    </row>
    <row r="221">
      <c r="B221" s="10">
        <v>46105.0</v>
      </c>
      <c r="C221" s="13"/>
      <c r="D221" s="17" t="s">
        <v>93</v>
      </c>
      <c r="E221" s="4" t="s">
        <v>63</v>
      </c>
      <c r="F221" s="13" t="s">
        <v>7</v>
      </c>
      <c r="G221" s="13" t="str">
        <f t="shared" si="6"/>
        <v/>
      </c>
      <c r="H221" s="4">
        <v>2.0</v>
      </c>
      <c r="K221" s="13">
        <v>2.0</v>
      </c>
      <c r="L221" s="13">
        <v>40000.0</v>
      </c>
    </row>
    <row r="222">
      <c r="B222" s="10">
        <v>46105.0</v>
      </c>
      <c r="C222" s="13"/>
      <c r="D222" s="17" t="s">
        <v>93</v>
      </c>
      <c r="E222" s="4" t="s">
        <v>63</v>
      </c>
      <c r="F222" s="13" t="s">
        <v>8</v>
      </c>
      <c r="G222" s="13" t="str">
        <f t="shared" si="6"/>
        <v/>
      </c>
      <c r="H222" s="4">
        <v>2.0</v>
      </c>
      <c r="K222" s="13">
        <v>2.0</v>
      </c>
      <c r="L222" s="13">
        <v>40000.0</v>
      </c>
    </row>
    <row r="223">
      <c r="B223" s="10">
        <v>46105.0</v>
      </c>
      <c r="C223" s="13"/>
      <c r="D223" s="17" t="s">
        <v>93</v>
      </c>
      <c r="E223" s="4" t="s">
        <v>63</v>
      </c>
      <c r="F223" s="13" t="s">
        <v>9</v>
      </c>
      <c r="G223" s="13" t="str">
        <f t="shared" si="6"/>
        <v/>
      </c>
      <c r="H223" s="4">
        <v>3.0</v>
      </c>
      <c r="K223" s="13">
        <v>3.0</v>
      </c>
      <c r="L223" s="13">
        <v>60000.0</v>
      </c>
    </row>
    <row r="224">
      <c r="B224" s="10">
        <v>46105.0</v>
      </c>
      <c r="C224" s="13"/>
      <c r="D224" s="17" t="s">
        <v>93</v>
      </c>
      <c r="E224" s="4" t="s">
        <v>63</v>
      </c>
      <c r="F224" s="13" t="s">
        <v>10</v>
      </c>
      <c r="G224" s="13" t="str">
        <f t="shared" si="6"/>
        <v/>
      </c>
      <c r="H224" s="4">
        <v>2.0</v>
      </c>
      <c r="K224" s="13">
        <v>2.0</v>
      </c>
      <c r="L224" s="13">
        <v>40000.0</v>
      </c>
    </row>
    <row r="225">
      <c r="B225" s="10">
        <v>46105.0</v>
      </c>
      <c r="C225" s="13"/>
      <c r="D225" s="17" t="s">
        <v>93</v>
      </c>
      <c r="E225" s="4" t="s">
        <v>63</v>
      </c>
      <c r="F225" s="13" t="s">
        <v>11</v>
      </c>
      <c r="H225" s="4">
        <v>1.0</v>
      </c>
      <c r="K225" s="13">
        <v>1.0</v>
      </c>
      <c r="L225" s="13">
        <v>20000.0</v>
      </c>
    </row>
    <row r="226">
      <c r="B226" s="10">
        <v>46105.0</v>
      </c>
      <c r="C226" s="13"/>
      <c r="D226" s="17" t="s">
        <v>93</v>
      </c>
      <c r="E226" s="4" t="s">
        <v>63</v>
      </c>
      <c r="F226" s="13" t="s">
        <v>12</v>
      </c>
      <c r="G226" s="13" t="str">
        <f t="shared" ref="G226:G229" si="7">I190</f>
        <v/>
      </c>
      <c r="H226" s="4">
        <v>1.0</v>
      </c>
      <c r="K226" s="13">
        <v>1.0</v>
      </c>
      <c r="L226" s="13">
        <v>20000.0</v>
      </c>
    </row>
    <row r="227">
      <c r="B227" s="10">
        <v>46105.0</v>
      </c>
      <c r="C227" s="13"/>
      <c r="D227" s="17" t="s">
        <v>93</v>
      </c>
      <c r="E227" s="4" t="s">
        <v>63</v>
      </c>
      <c r="F227" s="13" t="s">
        <v>13</v>
      </c>
      <c r="G227" s="13">
        <f t="shared" si="7"/>
        <v>2</v>
      </c>
      <c r="K227" s="13">
        <v>2.0</v>
      </c>
      <c r="L227" s="13">
        <v>40000.0</v>
      </c>
    </row>
    <row r="228">
      <c r="B228" s="10">
        <v>46105.0</v>
      </c>
      <c r="C228" s="13"/>
      <c r="D228" s="17" t="s">
        <v>93</v>
      </c>
      <c r="E228" s="4" t="s">
        <v>63</v>
      </c>
      <c r="F228" s="13" t="s">
        <v>14</v>
      </c>
      <c r="G228" s="13">
        <f t="shared" si="7"/>
        <v>1</v>
      </c>
      <c r="K228" s="13">
        <v>1.0</v>
      </c>
      <c r="L228" s="13">
        <v>22000.0</v>
      </c>
    </row>
    <row r="229">
      <c r="B229" s="10">
        <v>46105.0</v>
      </c>
      <c r="C229" s="4" t="s">
        <v>114</v>
      </c>
      <c r="D229" s="17" t="s">
        <v>93</v>
      </c>
      <c r="E229" s="4" t="s">
        <v>63</v>
      </c>
      <c r="F229" s="13" t="s">
        <v>15</v>
      </c>
      <c r="G229" s="13">
        <f t="shared" si="7"/>
        <v>14</v>
      </c>
      <c r="H229" s="4">
        <v>6.0</v>
      </c>
      <c r="I229" s="4">
        <v>1.0</v>
      </c>
      <c r="K229" s="13">
        <v>19.0</v>
      </c>
      <c r="L229" s="13">
        <v>380000.0</v>
      </c>
    </row>
    <row r="230">
      <c r="B230" s="10">
        <v>46105.0</v>
      </c>
      <c r="C230" s="4" t="s">
        <v>113</v>
      </c>
      <c r="D230" s="17" t="s">
        <v>89</v>
      </c>
      <c r="E230" s="4" t="s">
        <v>71</v>
      </c>
      <c r="F230" s="13" t="s">
        <v>4</v>
      </c>
      <c r="G230" s="13" t="str">
        <f t="shared" ref="G230:G308" si="8">I218</f>
        <v/>
      </c>
      <c r="H230" s="4">
        <v>6.0</v>
      </c>
      <c r="K230" s="13">
        <v>6.0</v>
      </c>
      <c r="L230" s="13">
        <v>120000.0</v>
      </c>
    </row>
    <row r="231">
      <c r="B231" s="10">
        <v>46105.0</v>
      </c>
      <c r="C231" s="4" t="s">
        <v>113</v>
      </c>
      <c r="D231" s="17" t="s">
        <v>89</v>
      </c>
      <c r="E231" s="4" t="s">
        <v>71</v>
      </c>
      <c r="F231" s="13" t="s">
        <v>5</v>
      </c>
      <c r="G231" s="13" t="str">
        <f t="shared" si="8"/>
        <v/>
      </c>
      <c r="H231" s="4">
        <v>4.0</v>
      </c>
      <c r="K231" s="13">
        <v>4.0</v>
      </c>
      <c r="L231" s="13">
        <v>80000.0</v>
      </c>
    </row>
    <row r="232">
      <c r="B232" s="10">
        <v>46105.0</v>
      </c>
      <c r="C232" s="4" t="s">
        <v>113</v>
      </c>
      <c r="D232" s="17" t="s">
        <v>89</v>
      </c>
      <c r="E232" s="4" t="s">
        <v>71</v>
      </c>
      <c r="F232" s="13" t="s">
        <v>6</v>
      </c>
      <c r="G232" s="13" t="str">
        <f t="shared" si="8"/>
        <v/>
      </c>
      <c r="H232" s="4">
        <v>4.0</v>
      </c>
      <c r="K232" s="13">
        <v>4.0</v>
      </c>
      <c r="L232" s="13">
        <v>80000.0</v>
      </c>
    </row>
    <row r="233">
      <c r="B233" s="10">
        <v>46105.0</v>
      </c>
      <c r="C233" s="4" t="s">
        <v>113</v>
      </c>
      <c r="D233" s="17" t="s">
        <v>89</v>
      </c>
      <c r="E233" s="4" t="s">
        <v>71</v>
      </c>
      <c r="F233" s="13" t="s">
        <v>7</v>
      </c>
      <c r="G233" s="13" t="str">
        <f t="shared" si="8"/>
        <v/>
      </c>
      <c r="H233" s="4">
        <v>5.0</v>
      </c>
      <c r="K233" s="13">
        <v>5.0</v>
      </c>
      <c r="L233" s="13">
        <v>100000.0</v>
      </c>
    </row>
    <row r="234">
      <c r="B234" s="10">
        <v>46105.0</v>
      </c>
      <c r="C234" s="4" t="s">
        <v>113</v>
      </c>
      <c r="D234" s="17" t="s">
        <v>89</v>
      </c>
      <c r="E234" s="4" t="s">
        <v>71</v>
      </c>
      <c r="F234" s="13" t="s">
        <v>8</v>
      </c>
      <c r="G234" s="13" t="str">
        <f t="shared" si="8"/>
        <v/>
      </c>
      <c r="H234" s="4">
        <v>6.0</v>
      </c>
      <c r="K234" s="13">
        <v>6.0</v>
      </c>
      <c r="L234" s="13">
        <v>120000.0</v>
      </c>
    </row>
    <row r="235">
      <c r="B235" s="10">
        <v>46105.0</v>
      </c>
      <c r="C235" s="4" t="s">
        <v>113</v>
      </c>
      <c r="D235" s="17" t="s">
        <v>89</v>
      </c>
      <c r="E235" s="4" t="s">
        <v>71</v>
      </c>
      <c r="F235" s="13" t="s">
        <v>9</v>
      </c>
      <c r="G235" s="13" t="str">
        <f t="shared" si="8"/>
        <v/>
      </c>
      <c r="H235" s="4">
        <v>6.0</v>
      </c>
      <c r="K235" s="13">
        <v>6.0</v>
      </c>
      <c r="L235" s="13">
        <v>120000.0</v>
      </c>
    </row>
    <row r="236">
      <c r="B236" s="10">
        <v>46105.0</v>
      </c>
      <c r="C236" s="4" t="s">
        <v>113</v>
      </c>
      <c r="D236" s="17" t="s">
        <v>89</v>
      </c>
      <c r="E236" s="4" t="s">
        <v>71</v>
      </c>
      <c r="F236" s="13" t="s">
        <v>10</v>
      </c>
      <c r="G236" s="13" t="str">
        <f t="shared" si="8"/>
        <v/>
      </c>
      <c r="H236" s="4">
        <v>5.0</v>
      </c>
      <c r="K236" s="13">
        <v>5.0</v>
      </c>
      <c r="L236" s="13">
        <v>100000.0</v>
      </c>
    </row>
    <row r="237">
      <c r="B237" s="10">
        <v>46105.0</v>
      </c>
      <c r="C237" s="4" t="s">
        <v>113</v>
      </c>
      <c r="D237" s="17" t="s">
        <v>89</v>
      </c>
      <c r="E237" s="4" t="s">
        <v>71</v>
      </c>
      <c r="F237" s="13" t="s">
        <v>11</v>
      </c>
      <c r="G237" s="13" t="str">
        <f t="shared" si="8"/>
        <v/>
      </c>
      <c r="H237" s="4">
        <v>3.0</v>
      </c>
      <c r="K237" s="13">
        <v>3.0</v>
      </c>
      <c r="L237" s="13">
        <v>60000.0</v>
      </c>
    </row>
    <row r="238">
      <c r="B238" s="10">
        <v>46105.0</v>
      </c>
      <c r="C238" s="4" t="s">
        <v>113</v>
      </c>
      <c r="D238" s="17" t="s">
        <v>89</v>
      </c>
      <c r="E238" s="4" t="s">
        <v>71</v>
      </c>
      <c r="F238" s="13" t="s">
        <v>12</v>
      </c>
      <c r="G238" s="13" t="str">
        <f t="shared" si="8"/>
        <v/>
      </c>
      <c r="H238" s="4">
        <v>2.0</v>
      </c>
      <c r="K238" s="13">
        <v>2.0</v>
      </c>
      <c r="L238" s="13">
        <v>40000.0</v>
      </c>
    </row>
    <row r="239">
      <c r="B239" s="10">
        <v>46105.0</v>
      </c>
      <c r="C239" s="4" t="s">
        <v>113</v>
      </c>
      <c r="D239" s="17" t="s">
        <v>89</v>
      </c>
      <c r="E239" s="4" t="s">
        <v>71</v>
      </c>
      <c r="F239" s="13" t="s">
        <v>13</v>
      </c>
      <c r="G239" s="13" t="str">
        <f t="shared" si="8"/>
        <v/>
      </c>
      <c r="H239" s="4">
        <v>5.0</v>
      </c>
      <c r="K239" s="13">
        <v>5.0</v>
      </c>
      <c r="L239" s="13">
        <v>100000.0</v>
      </c>
    </row>
    <row r="240">
      <c r="B240" s="10">
        <v>46105.0</v>
      </c>
      <c r="C240" s="4" t="s">
        <v>113</v>
      </c>
      <c r="D240" s="17" t="s">
        <v>89</v>
      </c>
      <c r="E240" s="4" t="s">
        <v>71</v>
      </c>
      <c r="F240" s="13" t="s">
        <v>14</v>
      </c>
      <c r="G240" s="13" t="str">
        <f t="shared" si="8"/>
        <v/>
      </c>
      <c r="H240" s="4">
        <v>3.0</v>
      </c>
      <c r="K240" s="13">
        <v>3.0</v>
      </c>
      <c r="L240" s="13">
        <v>66000.0</v>
      </c>
    </row>
    <row r="241">
      <c r="B241" s="10">
        <v>46105.0</v>
      </c>
      <c r="C241" s="4" t="s">
        <v>113</v>
      </c>
      <c r="D241" s="17" t="s">
        <v>89</v>
      </c>
      <c r="E241" s="4" t="s">
        <v>71</v>
      </c>
      <c r="F241" s="13" t="s">
        <v>15</v>
      </c>
      <c r="G241" s="13">
        <f t="shared" si="8"/>
        <v>1</v>
      </c>
      <c r="H241" s="4">
        <v>40.0</v>
      </c>
      <c r="K241" s="13">
        <v>41.0</v>
      </c>
      <c r="L241" s="13">
        <v>820000.0</v>
      </c>
    </row>
    <row r="242">
      <c r="B242" s="10">
        <v>46105.0</v>
      </c>
      <c r="C242" s="4" t="s">
        <v>114</v>
      </c>
      <c r="D242" s="17" t="s">
        <v>89</v>
      </c>
      <c r="E242" s="4" t="s">
        <v>53</v>
      </c>
      <c r="F242" s="13" t="s">
        <v>4</v>
      </c>
      <c r="G242" s="13" t="str">
        <f t="shared" si="8"/>
        <v/>
      </c>
      <c r="H242" s="4">
        <v>5.0</v>
      </c>
      <c r="K242" s="13">
        <v>5.0</v>
      </c>
      <c r="L242" s="13">
        <v>100000.0</v>
      </c>
    </row>
    <row r="243">
      <c r="B243" s="10">
        <v>46105.0</v>
      </c>
      <c r="C243" s="13"/>
      <c r="D243" s="17" t="s">
        <v>89</v>
      </c>
      <c r="E243" s="4" t="s">
        <v>53</v>
      </c>
      <c r="F243" s="13" t="s">
        <v>5</v>
      </c>
      <c r="G243" s="13" t="str">
        <f t="shared" si="8"/>
        <v/>
      </c>
      <c r="H243" s="4">
        <v>2.0</v>
      </c>
      <c r="K243" s="13">
        <v>2.0</v>
      </c>
      <c r="L243" s="13">
        <v>40000.0</v>
      </c>
    </row>
    <row r="244">
      <c r="B244" s="10">
        <v>46105.0</v>
      </c>
      <c r="C244" s="13"/>
      <c r="D244" s="17" t="s">
        <v>89</v>
      </c>
      <c r="E244" s="4" t="s">
        <v>53</v>
      </c>
      <c r="F244" s="13" t="s">
        <v>6</v>
      </c>
      <c r="G244" s="13" t="str">
        <f t="shared" si="8"/>
        <v/>
      </c>
      <c r="H244" s="4">
        <v>2.0</v>
      </c>
      <c r="K244" s="13">
        <v>2.0</v>
      </c>
      <c r="L244" s="13">
        <v>40000.0</v>
      </c>
    </row>
    <row r="245">
      <c r="B245" s="10">
        <v>46105.0</v>
      </c>
      <c r="C245" s="13"/>
      <c r="D245" s="17" t="s">
        <v>89</v>
      </c>
      <c r="E245" s="4" t="s">
        <v>53</v>
      </c>
      <c r="F245" s="13" t="s">
        <v>7</v>
      </c>
      <c r="G245" s="13" t="str">
        <f t="shared" si="8"/>
        <v/>
      </c>
      <c r="H245" s="4">
        <v>2.0</v>
      </c>
      <c r="K245" s="13">
        <v>2.0</v>
      </c>
      <c r="L245" s="13">
        <v>40000.0</v>
      </c>
    </row>
    <row r="246">
      <c r="B246" s="10">
        <v>46105.0</v>
      </c>
      <c r="C246" s="13"/>
      <c r="D246" s="17" t="s">
        <v>89</v>
      </c>
      <c r="E246" s="4" t="s">
        <v>53</v>
      </c>
      <c r="F246" s="13" t="s">
        <v>8</v>
      </c>
      <c r="G246" s="13" t="str">
        <f t="shared" si="8"/>
        <v/>
      </c>
      <c r="H246" s="4">
        <v>3.0</v>
      </c>
      <c r="K246" s="13">
        <v>3.0</v>
      </c>
      <c r="L246" s="13">
        <v>60000.0</v>
      </c>
    </row>
    <row r="247">
      <c r="B247" s="10">
        <v>46105.0</v>
      </c>
      <c r="C247" s="13"/>
      <c r="D247" s="17" t="s">
        <v>89</v>
      </c>
      <c r="E247" s="4" t="s">
        <v>53</v>
      </c>
      <c r="F247" s="13" t="s">
        <v>9</v>
      </c>
      <c r="G247" s="13" t="str">
        <f t="shared" si="8"/>
        <v/>
      </c>
      <c r="H247" s="4">
        <v>5.0</v>
      </c>
      <c r="K247" s="13">
        <v>5.0</v>
      </c>
      <c r="L247" s="13">
        <v>100000.0</v>
      </c>
    </row>
    <row r="248">
      <c r="B248" s="10">
        <v>46105.0</v>
      </c>
      <c r="C248" s="13"/>
      <c r="D248" s="17" t="s">
        <v>89</v>
      </c>
      <c r="E248" s="4" t="s">
        <v>53</v>
      </c>
      <c r="F248" s="13" t="s">
        <v>10</v>
      </c>
      <c r="G248" s="13" t="str">
        <f t="shared" si="8"/>
        <v/>
      </c>
      <c r="H248" s="4">
        <v>3.0</v>
      </c>
      <c r="K248" s="13">
        <v>3.0</v>
      </c>
      <c r="L248" s="13">
        <v>60000.0</v>
      </c>
    </row>
    <row r="249">
      <c r="B249" s="10">
        <v>46105.0</v>
      </c>
      <c r="C249" s="13"/>
      <c r="D249" s="17" t="s">
        <v>89</v>
      </c>
      <c r="E249" s="4" t="s">
        <v>53</v>
      </c>
      <c r="F249" s="13" t="s">
        <v>11</v>
      </c>
      <c r="G249" s="13" t="str">
        <f t="shared" si="8"/>
        <v/>
      </c>
      <c r="H249" s="4">
        <v>2.0</v>
      </c>
      <c r="K249" s="13">
        <v>2.0</v>
      </c>
      <c r="L249" s="13">
        <v>40000.0</v>
      </c>
    </row>
    <row r="250">
      <c r="B250" s="10">
        <v>46105.0</v>
      </c>
      <c r="C250" s="13"/>
      <c r="D250" s="17" t="s">
        <v>89</v>
      </c>
      <c r="E250" s="4" t="s">
        <v>53</v>
      </c>
      <c r="F250" s="13" t="s">
        <v>12</v>
      </c>
      <c r="G250" s="13" t="str">
        <f t="shared" si="8"/>
        <v/>
      </c>
      <c r="H250" s="4">
        <v>2.0</v>
      </c>
      <c r="K250" s="13">
        <v>2.0</v>
      </c>
      <c r="L250" s="13">
        <v>40000.0</v>
      </c>
    </row>
    <row r="251">
      <c r="B251" s="10">
        <v>46105.0</v>
      </c>
      <c r="C251" s="13"/>
      <c r="D251" s="17" t="s">
        <v>89</v>
      </c>
      <c r="E251" s="4" t="s">
        <v>53</v>
      </c>
      <c r="F251" s="13" t="s">
        <v>13</v>
      </c>
      <c r="G251" s="13" t="str">
        <f t="shared" si="8"/>
        <v/>
      </c>
      <c r="H251" s="4">
        <v>2.0</v>
      </c>
      <c r="K251" s="13">
        <v>2.0</v>
      </c>
      <c r="L251" s="13">
        <v>40000.0</v>
      </c>
    </row>
    <row r="252">
      <c r="B252" s="10">
        <v>46105.0</v>
      </c>
      <c r="C252" s="13"/>
      <c r="D252" s="17" t="s">
        <v>89</v>
      </c>
      <c r="E252" s="4" t="s">
        <v>53</v>
      </c>
      <c r="F252" s="13" t="s">
        <v>14</v>
      </c>
      <c r="G252" s="13" t="str">
        <f t="shared" si="8"/>
        <v/>
      </c>
      <c r="H252" s="4">
        <v>2.0</v>
      </c>
      <c r="K252" s="13">
        <v>2.0</v>
      </c>
      <c r="L252" s="13">
        <v>44000.0</v>
      </c>
    </row>
    <row r="253">
      <c r="B253" s="10">
        <v>46105.0</v>
      </c>
      <c r="C253" s="4" t="s">
        <v>114</v>
      </c>
      <c r="D253" s="17" t="s">
        <v>89</v>
      </c>
      <c r="E253" s="4" t="s">
        <v>53</v>
      </c>
      <c r="F253" s="13" t="s">
        <v>15</v>
      </c>
      <c r="G253" s="13" t="str">
        <f t="shared" si="8"/>
        <v/>
      </c>
      <c r="H253" s="4">
        <v>25.0</v>
      </c>
      <c r="K253" s="13">
        <v>25.0</v>
      </c>
      <c r="L253" s="13">
        <v>500000.0</v>
      </c>
    </row>
    <row r="254">
      <c r="A254" s="13"/>
      <c r="B254" s="10">
        <v>46105.0</v>
      </c>
      <c r="C254" s="4" t="s">
        <v>113</v>
      </c>
      <c r="D254" s="17" t="s">
        <v>81</v>
      </c>
      <c r="E254" s="4" t="s">
        <v>299</v>
      </c>
      <c r="F254" s="13" t="s">
        <v>4</v>
      </c>
      <c r="G254" s="13" t="str">
        <f t="shared" si="8"/>
        <v/>
      </c>
      <c r="H254" s="13"/>
      <c r="I254" s="13"/>
      <c r="J254" s="13"/>
      <c r="K254" s="13">
        <v>0.0</v>
      </c>
      <c r="L254" s="13">
        <v>0.0</v>
      </c>
      <c r="M254" s="13"/>
      <c r="N254" s="13"/>
      <c r="O254" s="13"/>
      <c r="P254" s="13"/>
      <c r="Q254" s="13"/>
      <c r="R254" s="13"/>
      <c r="S254" s="13"/>
      <c r="T254" s="13"/>
      <c r="U254" s="13"/>
      <c r="V254" s="13"/>
      <c r="W254" s="13"/>
      <c r="X254" s="13"/>
      <c r="Y254" s="13"/>
      <c r="Z254" s="13"/>
      <c r="AA254" s="13"/>
      <c r="AB254" s="13"/>
      <c r="AC254" s="13"/>
    </row>
    <row r="255">
      <c r="B255" s="10">
        <v>46105.0</v>
      </c>
      <c r="C255" s="13"/>
      <c r="D255" s="17" t="s">
        <v>81</v>
      </c>
      <c r="E255" s="13"/>
      <c r="F255" s="13" t="s">
        <v>5</v>
      </c>
      <c r="G255" s="13" t="str">
        <f t="shared" si="8"/>
        <v/>
      </c>
      <c r="K255" s="13">
        <v>0.0</v>
      </c>
      <c r="L255" s="13">
        <v>0.0</v>
      </c>
    </row>
    <row r="256">
      <c r="B256" s="10">
        <v>46105.0</v>
      </c>
      <c r="C256" s="13"/>
      <c r="D256" s="17" t="s">
        <v>81</v>
      </c>
      <c r="E256" s="13"/>
      <c r="F256" s="13" t="s">
        <v>6</v>
      </c>
      <c r="G256" s="13" t="str">
        <f t="shared" si="8"/>
        <v/>
      </c>
      <c r="K256" s="13">
        <v>0.0</v>
      </c>
      <c r="L256" s="13">
        <v>0.0</v>
      </c>
    </row>
    <row r="257">
      <c r="B257" s="10">
        <v>46105.0</v>
      </c>
      <c r="C257" s="13"/>
      <c r="D257" s="17" t="s">
        <v>81</v>
      </c>
      <c r="E257" s="13"/>
      <c r="F257" s="13" t="s">
        <v>7</v>
      </c>
      <c r="G257" s="13" t="str">
        <f t="shared" si="8"/>
        <v/>
      </c>
      <c r="K257" s="13">
        <v>0.0</v>
      </c>
      <c r="L257" s="13">
        <v>0.0</v>
      </c>
    </row>
    <row r="258">
      <c r="B258" s="10">
        <v>46105.0</v>
      </c>
      <c r="C258" s="13"/>
      <c r="D258" s="17" t="s">
        <v>81</v>
      </c>
      <c r="E258" s="13"/>
      <c r="F258" s="13" t="s">
        <v>8</v>
      </c>
      <c r="G258" s="13" t="str">
        <f t="shared" si="8"/>
        <v/>
      </c>
      <c r="K258" s="13">
        <v>0.0</v>
      </c>
      <c r="L258" s="13">
        <v>0.0</v>
      </c>
    </row>
    <row r="259">
      <c r="B259" s="10">
        <v>46105.0</v>
      </c>
      <c r="C259" s="13"/>
      <c r="D259" s="17" t="s">
        <v>81</v>
      </c>
      <c r="E259" s="13"/>
      <c r="F259" s="13" t="s">
        <v>9</v>
      </c>
      <c r="G259" s="13" t="str">
        <f t="shared" si="8"/>
        <v/>
      </c>
      <c r="K259" s="13">
        <v>0.0</v>
      </c>
      <c r="L259" s="13">
        <v>0.0</v>
      </c>
    </row>
    <row r="260">
      <c r="B260" s="10">
        <v>46105.0</v>
      </c>
      <c r="C260" s="13"/>
      <c r="D260" s="17" t="s">
        <v>81</v>
      </c>
      <c r="E260" s="13"/>
      <c r="F260" s="13" t="s">
        <v>10</v>
      </c>
      <c r="G260" s="13" t="str">
        <f t="shared" si="8"/>
        <v/>
      </c>
      <c r="K260" s="13">
        <v>0.0</v>
      </c>
      <c r="L260" s="13">
        <v>0.0</v>
      </c>
    </row>
    <row r="261">
      <c r="B261" s="10">
        <v>46105.0</v>
      </c>
      <c r="C261" s="13"/>
      <c r="D261" s="17" t="s">
        <v>81</v>
      </c>
      <c r="E261" s="13"/>
      <c r="F261" s="13" t="s">
        <v>11</v>
      </c>
      <c r="G261" s="13" t="str">
        <f t="shared" si="8"/>
        <v/>
      </c>
      <c r="K261" s="13">
        <v>0.0</v>
      </c>
      <c r="L261" s="13">
        <v>0.0</v>
      </c>
    </row>
    <row r="262">
      <c r="B262" s="10">
        <v>46105.0</v>
      </c>
      <c r="C262" s="13"/>
      <c r="D262" s="17" t="s">
        <v>81</v>
      </c>
      <c r="E262" s="13"/>
      <c r="F262" s="13" t="s">
        <v>12</v>
      </c>
      <c r="G262" s="13" t="str">
        <f t="shared" si="8"/>
        <v/>
      </c>
      <c r="K262" s="13">
        <v>0.0</v>
      </c>
      <c r="L262" s="13">
        <v>0.0</v>
      </c>
    </row>
    <row r="263">
      <c r="B263" s="10">
        <v>46105.0</v>
      </c>
      <c r="C263" s="13"/>
      <c r="D263" s="17" t="s">
        <v>81</v>
      </c>
      <c r="E263" s="13"/>
      <c r="F263" s="13" t="s">
        <v>13</v>
      </c>
      <c r="G263" s="13" t="str">
        <f t="shared" si="8"/>
        <v/>
      </c>
      <c r="K263" s="13">
        <v>0.0</v>
      </c>
      <c r="L263" s="13">
        <v>0.0</v>
      </c>
    </row>
    <row r="264">
      <c r="B264" s="10">
        <v>46105.0</v>
      </c>
      <c r="C264" s="13"/>
      <c r="D264" s="17" t="s">
        <v>81</v>
      </c>
      <c r="E264" s="13"/>
      <c r="F264" s="13" t="s">
        <v>14</v>
      </c>
      <c r="G264" s="13" t="str">
        <f t="shared" si="8"/>
        <v/>
      </c>
      <c r="K264" s="13">
        <v>0.0</v>
      </c>
      <c r="L264" s="13">
        <v>0.0</v>
      </c>
    </row>
    <row r="265">
      <c r="A265" s="13"/>
      <c r="B265" s="10">
        <v>46105.0</v>
      </c>
      <c r="C265" s="4" t="s">
        <v>113</v>
      </c>
      <c r="D265" s="17" t="s">
        <v>81</v>
      </c>
      <c r="E265" s="4" t="s">
        <v>299</v>
      </c>
      <c r="F265" s="13" t="s">
        <v>15</v>
      </c>
      <c r="G265" s="13" t="str">
        <f t="shared" si="8"/>
        <v/>
      </c>
      <c r="H265" s="13"/>
      <c r="I265" s="13"/>
      <c r="J265" s="13"/>
      <c r="K265" s="13">
        <v>0.0</v>
      </c>
      <c r="L265" s="13">
        <v>0.0</v>
      </c>
      <c r="M265" s="13"/>
      <c r="N265" s="13"/>
      <c r="O265" s="13"/>
      <c r="P265" s="13"/>
      <c r="Q265" s="13"/>
      <c r="R265" s="13"/>
      <c r="S265" s="13"/>
      <c r="T265" s="13"/>
      <c r="U265" s="13"/>
      <c r="V265" s="13"/>
      <c r="W265" s="13"/>
      <c r="X265" s="13"/>
      <c r="Y265" s="13"/>
      <c r="Z265" s="13"/>
      <c r="AA265" s="13"/>
      <c r="AB265" s="13"/>
      <c r="AC265" s="13"/>
    </row>
    <row r="266">
      <c r="B266" s="10">
        <v>46105.0</v>
      </c>
      <c r="C266" s="4" t="s">
        <v>114</v>
      </c>
      <c r="D266" s="17" t="s">
        <v>81</v>
      </c>
      <c r="E266" s="4" t="s">
        <v>73</v>
      </c>
      <c r="F266" s="13" t="s">
        <v>4</v>
      </c>
      <c r="G266" s="13" t="str">
        <f t="shared" si="8"/>
        <v/>
      </c>
      <c r="H266" s="4">
        <v>3.0</v>
      </c>
      <c r="K266" s="13">
        <v>3.0</v>
      </c>
      <c r="L266" s="13">
        <v>60000.0</v>
      </c>
    </row>
    <row r="267">
      <c r="B267" s="10">
        <v>46105.0</v>
      </c>
      <c r="C267" s="13"/>
      <c r="D267" s="17" t="s">
        <v>81</v>
      </c>
      <c r="E267" s="13"/>
      <c r="F267" s="13" t="s">
        <v>5</v>
      </c>
      <c r="G267" s="13" t="str">
        <f t="shared" si="8"/>
        <v/>
      </c>
      <c r="H267" s="4">
        <v>2.0</v>
      </c>
      <c r="I267" s="4">
        <v>1.0</v>
      </c>
      <c r="K267" s="13">
        <v>1.0</v>
      </c>
      <c r="L267" s="13">
        <v>20000.0</v>
      </c>
    </row>
    <row r="268">
      <c r="B268" s="10">
        <v>46105.0</v>
      </c>
      <c r="C268" s="13"/>
      <c r="D268" s="17" t="s">
        <v>81</v>
      </c>
      <c r="E268" s="13"/>
      <c r="F268" s="13" t="s">
        <v>6</v>
      </c>
      <c r="G268" s="13" t="str">
        <f t="shared" si="8"/>
        <v/>
      </c>
      <c r="H268" s="4">
        <v>2.0</v>
      </c>
      <c r="K268" s="13">
        <v>2.0</v>
      </c>
      <c r="L268" s="13">
        <v>40000.0</v>
      </c>
    </row>
    <row r="269">
      <c r="B269" s="10">
        <v>46105.0</v>
      </c>
      <c r="C269" s="13"/>
      <c r="D269" s="17" t="s">
        <v>81</v>
      </c>
      <c r="E269" s="13"/>
      <c r="F269" s="13" t="s">
        <v>7</v>
      </c>
      <c r="G269" s="13" t="str">
        <f t="shared" si="8"/>
        <v/>
      </c>
      <c r="H269" s="4">
        <v>2.0</v>
      </c>
      <c r="I269" s="4">
        <v>1.0</v>
      </c>
      <c r="K269" s="13">
        <v>1.0</v>
      </c>
      <c r="L269" s="13">
        <v>20000.0</v>
      </c>
    </row>
    <row r="270">
      <c r="B270" s="10">
        <v>46105.0</v>
      </c>
      <c r="C270" s="13"/>
      <c r="D270" s="17" t="s">
        <v>81</v>
      </c>
      <c r="E270" s="13"/>
      <c r="F270" s="13" t="s">
        <v>8</v>
      </c>
      <c r="G270" s="13" t="str">
        <f t="shared" si="8"/>
        <v/>
      </c>
      <c r="H270" s="4">
        <v>3.0</v>
      </c>
      <c r="K270" s="13">
        <v>3.0</v>
      </c>
      <c r="L270" s="13">
        <v>60000.0</v>
      </c>
    </row>
    <row r="271">
      <c r="B271" s="10">
        <v>46105.0</v>
      </c>
      <c r="C271" s="13"/>
      <c r="D271" s="17" t="s">
        <v>81</v>
      </c>
      <c r="E271" s="13"/>
      <c r="F271" s="13" t="s">
        <v>9</v>
      </c>
      <c r="G271" s="13" t="str">
        <f t="shared" si="8"/>
        <v/>
      </c>
      <c r="H271" s="4">
        <v>5.0</v>
      </c>
      <c r="I271" s="4">
        <v>1.0</v>
      </c>
      <c r="K271" s="13">
        <v>4.0</v>
      </c>
      <c r="L271" s="13">
        <v>80000.0</v>
      </c>
    </row>
    <row r="272">
      <c r="B272" s="10">
        <v>46105.0</v>
      </c>
      <c r="C272" s="13"/>
      <c r="D272" s="17" t="s">
        <v>81</v>
      </c>
      <c r="E272" s="13"/>
      <c r="F272" s="13" t="s">
        <v>10</v>
      </c>
      <c r="G272" s="13" t="str">
        <f t="shared" si="8"/>
        <v/>
      </c>
      <c r="H272" s="4">
        <v>2.0</v>
      </c>
      <c r="K272" s="13">
        <v>2.0</v>
      </c>
      <c r="L272" s="13">
        <v>40000.0</v>
      </c>
    </row>
    <row r="273">
      <c r="B273" s="10">
        <v>46105.0</v>
      </c>
      <c r="C273" s="13"/>
      <c r="D273" s="17" t="s">
        <v>81</v>
      </c>
      <c r="E273" s="13"/>
      <c r="F273" s="13" t="s">
        <v>11</v>
      </c>
      <c r="G273" s="13" t="str">
        <f t="shared" si="8"/>
        <v/>
      </c>
      <c r="H273" s="4">
        <v>1.0</v>
      </c>
      <c r="K273" s="13">
        <v>1.0</v>
      </c>
      <c r="L273" s="13">
        <v>20000.0</v>
      </c>
    </row>
    <row r="274">
      <c r="B274" s="10">
        <v>46105.0</v>
      </c>
      <c r="C274" s="13"/>
      <c r="D274" s="17" t="s">
        <v>81</v>
      </c>
      <c r="E274" s="13"/>
      <c r="F274" s="13" t="s">
        <v>12</v>
      </c>
      <c r="G274" s="13" t="str">
        <f t="shared" si="8"/>
        <v/>
      </c>
      <c r="H274" s="4">
        <v>2.0</v>
      </c>
      <c r="K274" s="13">
        <v>2.0</v>
      </c>
      <c r="L274" s="13">
        <v>40000.0</v>
      </c>
    </row>
    <row r="275">
      <c r="B275" s="10">
        <v>46105.0</v>
      </c>
      <c r="C275" s="13"/>
      <c r="D275" s="17" t="s">
        <v>81</v>
      </c>
      <c r="E275" s="13"/>
      <c r="F275" s="13" t="s">
        <v>13</v>
      </c>
      <c r="G275" s="13" t="str">
        <f t="shared" si="8"/>
        <v/>
      </c>
      <c r="H275" s="4">
        <v>3.0</v>
      </c>
      <c r="K275" s="13">
        <v>3.0</v>
      </c>
      <c r="L275" s="13">
        <v>60000.0</v>
      </c>
    </row>
    <row r="276">
      <c r="B276" s="10">
        <v>46105.0</v>
      </c>
      <c r="C276" s="13"/>
      <c r="D276" s="17" t="s">
        <v>81</v>
      </c>
      <c r="E276" s="13"/>
      <c r="F276" s="13" t="s">
        <v>14</v>
      </c>
      <c r="G276" s="13" t="str">
        <f t="shared" si="8"/>
        <v/>
      </c>
      <c r="H276" s="4">
        <v>1.0</v>
      </c>
      <c r="K276" s="13">
        <v>1.0</v>
      </c>
      <c r="L276" s="13">
        <v>22000.0</v>
      </c>
    </row>
    <row r="277">
      <c r="B277" s="10">
        <v>46105.0</v>
      </c>
      <c r="C277" s="4" t="s">
        <v>114</v>
      </c>
      <c r="D277" s="17" t="s">
        <v>81</v>
      </c>
      <c r="E277" s="4" t="s">
        <v>73</v>
      </c>
      <c r="F277" s="13" t="s">
        <v>15</v>
      </c>
      <c r="G277" s="13" t="str">
        <f t="shared" si="8"/>
        <v/>
      </c>
      <c r="H277" s="4">
        <v>20.0</v>
      </c>
      <c r="I277" s="4">
        <v>2.0</v>
      </c>
      <c r="K277" s="13">
        <v>18.0</v>
      </c>
      <c r="L277" s="13">
        <v>360000.0</v>
      </c>
    </row>
    <row r="278">
      <c r="B278" s="10">
        <v>46105.0</v>
      </c>
      <c r="C278" s="4" t="s">
        <v>113</v>
      </c>
      <c r="D278" s="17" t="s">
        <v>300</v>
      </c>
      <c r="E278" s="13"/>
      <c r="F278" s="13" t="s">
        <v>4</v>
      </c>
      <c r="G278" s="13" t="str">
        <f t="shared" si="8"/>
        <v/>
      </c>
      <c r="K278" s="13">
        <v>0.0</v>
      </c>
      <c r="L278" s="13">
        <v>0.0</v>
      </c>
    </row>
    <row r="279">
      <c r="B279" s="10">
        <v>46105.0</v>
      </c>
      <c r="C279" s="13"/>
      <c r="D279" s="17" t="s">
        <v>300</v>
      </c>
      <c r="E279" s="13"/>
      <c r="F279" s="13" t="s">
        <v>5</v>
      </c>
      <c r="G279" s="13">
        <f t="shared" si="8"/>
        <v>1</v>
      </c>
      <c r="K279" s="13">
        <v>1.0</v>
      </c>
      <c r="L279" s="13">
        <v>20000.0</v>
      </c>
    </row>
    <row r="280">
      <c r="B280" s="10">
        <v>46105.0</v>
      </c>
      <c r="C280" s="13"/>
      <c r="D280" s="17" t="s">
        <v>300</v>
      </c>
      <c r="E280" s="13"/>
      <c r="F280" s="13" t="s">
        <v>6</v>
      </c>
      <c r="G280" s="13" t="str">
        <f t="shared" si="8"/>
        <v/>
      </c>
      <c r="K280" s="13">
        <v>0.0</v>
      </c>
      <c r="L280" s="13">
        <v>0.0</v>
      </c>
    </row>
    <row r="281">
      <c r="B281" s="10">
        <v>46105.0</v>
      </c>
      <c r="C281" s="13"/>
      <c r="D281" s="17" t="s">
        <v>300</v>
      </c>
      <c r="E281" s="13"/>
      <c r="F281" s="13" t="s">
        <v>7</v>
      </c>
      <c r="G281" s="13">
        <f t="shared" si="8"/>
        <v>1</v>
      </c>
      <c r="K281" s="13">
        <v>1.0</v>
      </c>
      <c r="L281" s="13">
        <v>20000.0</v>
      </c>
    </row>
    <row r="282">
      <c r="B282" s="10">
        <v>46105.0</v>
      </c>
      <c r="C282" s="13"/>
      <c r="D282" s="17" t="s">
        <v>300</v>
      </c>
      <c r="E282" s="13"/>
      <c r="F282" s="13" t="s">
        <v>8</v>
      </c>
      <c r="G282" s="13" t="str">
        <f t="shared" si="8"/>
        <v/>
      </c>
      <c r="K282" s="13">
        <v>0.0</v>
      </c>
      <c r="L282" s="13">
        <v>0.0</v>
      </c>
    </row>
    <row r="283">
      <c r="B283" s="10">
        <v>46105.0</v>
      </c>
      <c r="C283" s="13"/>
      <c r="D283" s="17" t="s">
        <v>300</v>
      </c>
      <c r="E283" s="13"/>
      <c r="F283" s="13" t="s">
        <v>9</v>
      </c>
      <c r="G283" s="13">
        <f t="shared" si="8"/>
        <v>1</v>
      </c>
      <c r="K283" s="13">
        <v>1.0</v>
      </c>
      <c r="L283" s="13">
        <v>20000.0</v>
      </c>
    </row>
    <row r="284">
      <c r="B284" s="10">
        <v>46105.0</v>
      </c>
      <c r="C284" s="13"/>
      <c r="D284" s="17" t="s">
        <v>300</v>
      </c>
      <c r="E284" s="13"/>
      <c r="F284" s="13" t="s">
        <v>10</v>
      </c>
      <c r="G284" s="13" t="str">
        <f t="shared" si="8"/>
        <v/>
      </c>
      <c r="K284" s="13">
        <v>0.0</v>
      </c>
      <c r="L284" s="13">
        <v>0.0</v>
      </c>
    </row>
    <row r="285">
      <c r="B285" s="10">
        <v>46105.0</v>
      </c>
      <c r="C285" s="13"/>
      <c r="D285" s="17" t="s">
        <v>300</v>
      </c>
      <c r="E285" s="13"/>
      <c r="F285" s="13" t="s">
        <v>11</v>
      </c>
      <c r="G285" s="13" t="str">
        <f t="shared" si="8"/>
        <v/>
      </c>
      <c r="K285" s="13">
        <v>0.0</v>
      </c>
      <c r="L285" s="13">
        <v>0.0</v>
      </c>
    </row>
    <row r="286">
      <c r="B286" s="10">
        <v>46105.0</v>
      </c>
      <c r="C286" s="13"/>
      <c r="D286" s="17" t="s">
        <v>300</v>
      </c>
      <c r="E286" s="13"/>
      <c r="F286" s="13" t="s">
        <v>12</v>
      </c>
      <c r="G286" s="13" t="str">
        <f t="shared" si="8"/>
        <v/>
      </c>
      <c r="K286" s="13">
        <v>0.0</v>
      </c>
      <c r="L286" s="13">
        <v>0.0</v>
      </c>
    </row>
    <row r="287">
      <c r="B287" s="10">
        <v>46105.0</v>
      </c>
      <c r="C287" s="13"/>
      <c r="D287" s="17" t="s">
        <v>300</v>
      </c>
      <c r="E287" s="13"/>
      <c r="F287" s="13" t="s">
        <v>13</v>
      </c>
      <c r="G287" s="13" t="str">
        <f t="shared" si="8"/>
        <v/>
      </c>
      <c r="K287" s="13">
        <v>0.0</v>
      </c>
      <c r="L287" s="13">
        <v>0.0</v>
      </c>
    </row>
    <row r="288">
      <c r="B288" s="10">
        <v>46105.0</v>
      </c>
      <c r="C288" s="13"/>
      <c r="D288" s="17" t="s">
        <v>300</v>
      </c>
      <c r="E288" s="13"/>
      <c r="F288" s="13" t="s">
        <v>14</v>
      </c>
      <c r="G288" s="13" t="str">
        <f t="shared" si="8"/>
        <v/>
      </c>
      <c r="K288" s="13">
        <v>0.0</v>
      </c>
      <c r="L288" s="13">
        <v>0.0</v>
      </c>
    </row>
    <row r="289">
      <c r="B289" s="10">
        <v>46105.0</v>
      </c>
      <c r="C289" s="4" t="s">
        <v>113</v>
      </c>
      <c r="D289" s="17" t="s">
        <v>300</v>
      </c>
      <c r="E289" s="13"/>
      <c r="F289" s="13" t="s">
        <v>15</v>
      </c>
      <c r="G289" s="13">
        <f t="shared" si="8"/>
        <v>2</v>
      </c>
      <c r="K289" s="13">
        <v>2.0</v>
      </c>
      <c r="L289" s="13">
        <v>40000.0</v>
      </c>
    </row>
    <row r="290">
      <c r="B290" s="10">
        <v>46105.0</v>
      </c>
      <c r="C290" s="4" t="s">
        <v>114</v>
      </c>
      <c r="D290" s="17" t="s">
        <v>300</v>
      </c>
      <c r="E290" s="4" t="s">
        <v>62</v>
      </c>
      <c r="F290" s="13" t="s">
        <v>4</v>
      </c>
      <c r="G290" s="13" t="str">
        <f t="shared" si="8"/>
        <v/>
      </c>
      <c r="H290" s="4">
        <v>2.0</v>
      </c>
      <c r="K290" s="13">
        <v>2.0</v>
      </c>
      <c r="L290" s="13">
        <v>40000.0</v>
      </c>
    </row>
    <row r="291">
      <c r="B291" s="10">
        <v>46105.0</v>
      </c>
      <c r="C291" s="13"/>
      <c r="D291" s="17" t="s">
        <v>300</v>
      </c>
      <c r="E291" s="13"/>
      <c r="F291" s="13" t="s">
        <v>5</v>
      </c>
      <c r="G291" s="13" t="str">
        <f t="shared" si="8"/>
        <v/>
      </c>
      <c r="H291" s="4">
        <v>2.0</v>
      </c>
      <c r="K291" s="13">
        <v>2.0</v>
      </c>
      <c r="L291" s="13">
        <v>40000.0</v>
      </c>
    </row>
    <row r="292">
      <c r="B292" s="10">
        <v>46105.0</v>
      </c>
      <c r="C292" s="13"/>
      <c r="D292" s="17" t="s">
        <v>300</v>
      </c>
      <c r="E292" s="13"/>
      <c r="F292" s="13" t="s">
        <v>6</v>
      </c>
      <c r="G292" s="13" t="str">
        <f t="shared" si="8"/>
        <v/>
      </c>
      <c r="H292" s="4">
        <v>1.0</v>
      </c>
      <c r="K292" s="13">
        <v>1.0</v>
      </c>
      <c r="L292" s="13">
        <v>20000.0</v>
      </c>
    </row>
    <row r="293">
      <c r="B293" s="10">
        <v>46105.0</v>
      </c>
      <c r="C293" s="13"/>
      <c r="D293" s="17" t="s">
        <v>300</v>
      </c>
      <c r="E293" s="13"/>
      <c r="F293" s="13" t="s">
        <v>7</v>
      </c>
      <c r="G293" s="13" t="str">
        <f t="shared" si="8"/>
        <v/>
      </c>
      <c r="H293" s="4">
        <v>2.0</v>
      </c>
      <c r="K293" s="13">
        <v>2.0</v>
      </c>
      <c r="L293" s="13">
        <v>40000.0</v>
      </c>
    </row>
    <row r="294">
      <c r="B294" s="10">
        <v>46105.0</v>
      </c>
      <c r="C294" s="13"/>
      <c r="D294" s="17" t="s">
        <v>300</v>
      </c>
      <c r="E294" s="13"/>
      <c r="F294" s="13" t="s">
        <v>8</v>
      </c>
      <c r="G294" s="13" t="str">
        <f t="shared" si="8"/>
        <v/>
      </c>
      <c r="H294" s="4">
        <v>2.0</v>
      </c>
      <c r="K294" s="13">
        <v>2.0</v>
      </c>
      <c r="L294" s="13">
        <v>40000.0</v>
      </c>
    </row>
    <row r="295">
      <c r="B295" s="10">
        <v>46105.0</v>
      </c>
      <c r="C295" s="13"/>
      <c r="D295" s="17" t="s">
        <v>300</v>
      </c>
      <c r="E295" s="13"/>
      <c r="F295" s="13" t="s">
        <v>9</v>
      </c>
      <c r="G295" s="13" t="str">
        <f t="shared" si="8"/>
        <v/>
      </c>
      <c r="H295" s="4">
        <v>3.0</v>
      </c>
      <c r="K295" s="13">
        <v>3.0</v>
      </c>
      <c r="L295" s="13">
        <v>60000.0</v>
      </c>
    </row>
    <row r="296">
      <c r="B296" s="10">
        <v>46105.0</v>
      </c>
      <c r="C296" s="13"/>
      <c r="D296" s="17" t="s">
        <v>300</v>
      </c>
      <c r="E296" s="13"/>
      <c r="F296" s="13" t="s">
        <v>10</v>
      </c>
      <c r="G296" s="13" t="str">
        <f t="shared" si="8"/>
        <v/>
      </c>
      <c r="H296" s="4">
        <v>2.0</v>
      </c>
      <c r="K296" s="13">
        <v>2.0</v>
      </c>
      <c r="L296" s="13">
        <v>40000.0</v>
      </c>
    </row>
    <row r="297">
      <c r="B297" s="10">
        <v>46105.0</v>
      </c>
      <c r="C297" s="13"/>
      <c r="D297" s="17" t="s">
        <v>300</v>
      </c>
      <c r="E297" s="13"/>
      <c r="F297" s="13" t="s">
        <v>11</v>
      </c>
      <c r="G297" s="13" t="str">
        <f t="shared" si="8"/>
        <v/>
      </c>
      <c r="K297" s="13">
        <v>0.0</v>
      </c>
      <c r="L297" s="13">
        <v>0.0</v>
      </c>
    </row>
    <row r="298">
      <c r="B298" s="10">
        <v>46105.0</v>
      </c>
      <c r="C298" s="13"/>
      <c r="D298" s="17" t="s">
        <v>300</v>
      </c>
      <c r="E298" s="13"/>
      <c r="F298" s="13" t="s">
        <v>12</v>
      </c>
      <c r="G298" s="13" t="str">
        <f t="shared" si="8"/>
        <v/>
      </c>
      <c r="K298" s="13">
        <v>0.0</v>
      </c>
      <c r="L298" s="13">
        <v>0.0</v>
      </c>
    </row>
    <row r="299">
      <c r="B299" s="10">
        <v>46105.0</v>
      </c>
      <c r="C299" s="13"/>
      <c r="D299" s="17" t="s">
        <v>300</v>
      </c>
      <c r="E299" s="13"/>
      <c r="F299" s="13" t="s">
        <v>13</v>
      </c>
      <c r="G299" s="13" t="str">
        <f t="shared" si="8"/>
        <v/>
      </c>
      <c r="H299" s="4">
        <v>1.0</v>
      </c>
      <c r="K299" s="13">
        <v>1.0</v>
      </c>
      <c r="L299" s="13">
        <v>20000.0</v>
      </c>
    </row>
    <row r="300">
      <c r="B300" s="10">
        <v>46105.0</v>
      </c>
      <c r="C300" s="13"/>
      <c r="D300" s="17" t="s">
        <v>300</v>
      </c>
      <c r="E300" s="13"/>
      <c r="F300" s="13" t="s">
        <v>14</v>
      </c>
      <c r="G300" s="13" t="str">
        <f t="shared" si="8"/>
        <v/>
      </c>
      <c r="K300" s="13">
        <v>0.0</v>
      </c>
      <c r="L300" s="13">
        <v>0.0</v>
      </c>
    </row>
    <row r="301">
      <c r="B301" s="10">
        <v>46105.0</v>
      </c>
      <c r="C301" s="4" t="s">
        <v>114</v>
      </c>
      <c r="D301" s="17" t="s">
        <v>300</v>
      </c>
      <c r="E301" s="4" t="s">
        <v>62</v>
      </c>
      <c r="F301" s="13" t="s">
        <v>15</v>
      </c>
      <c r="G301" s="13" t="str">
        <f t="shared" si="8"/>
        <v/>
      </c>
      <c r="H301" s="4">
        <v>15.0</v>
      </c>
      <c r="K301" s="13">
        <v>15.0</v>
      </c>
      <c r="L301" s="13">
        <v>300000.0</v>
      </c>
    </row>
    <row r="302">
      <c r="B302" s="10">
        <v>46105.0</v>
      </c>
      <c r="C302" s="13"/>
      <c r="D302" s="13"/>
      <c r="E302" s="4" t="s">
        <v>301</v>
      </c>
      <c r="F302" s="13" t="s">
        <v>4</v>
      </c>
      <c r="G302" s="13" t="str">
        <f t="shared" si="8"/>
        <v/>
      </c>
      <c r="K302" s="13">
        <v>0.0</v>
      </c>
      <c r="L302" s="13">
        <v>0.0</v>
      </c>
    </row>
    <row r="303">
      <c r="B303" s="10">
        <v>46105.0</v>
      </c>
      <c r="C303" s="13"/>
      <c r="D303" s="13"/>
      <c r="E303" s="4" t="s">
        <v>301</v>
      </c>
      <c r="F303" s="13" t="s">
        <v>5</v>
      </c>
      <c r="G303" s="13" t="str">
        <f t="shared" si="8"/>
        <v/>
      </c>
      <c r="H303" s="4">
        <v>1.0</v>
      </c>
      <c r="K303" s="13">
        <v>1.0</v>
      </c>
      <c r="L303" s="13">
        <v>20000.0</v>
      </c>
    </row>
    <row r="304">
      <c r="B304" s="10">
        <v>46105.0</v>
      </c>
      <c r="C304" s="13"/>
      <c r="D304" s="13"/>
      <c r="E304" s="4" t="s">
        <v>301</v>
      </c>
      <c r="F304" s="13" t="s">
        <v>6</v>
      </c>
      <c r="G304" s="13" t="str">
        <f t="shared" si="8"/>
        <v/>
      </c>
      <c r="K304" s="13">
        <v>0.0</v>
      </c>
      <c r="L304" s="13">
        <v>0.0</v>
      </c>
    </row>
    <row r="305">
      <c r="B305" s="10">
        <v>46105.0</v>
      </c>
      <c r="C305" s="13"/>
      <c r="D305" s="13"/>
      <c r="E305" s="4" t="s">
        <v>301</v>
      </c>
      <c r="F305" s="13" t="s">
        <v>7</v>
      </c>
      <c r="G305" s="13" t="str">
        <f t="shared" si="8"/>
        <v/>
      </c>
      <c r="K305" s="13">
        <v>0.0</v>
      </c>
      <c r="L305" s="13">
        <v>0.0</v>
      </c>
    </row>
    <row r="306">
      <c r="B306" s="10">
        <v>46105.0</v>
      </c>
      <c r="C306" s="13"/>
      <c r="D306" s="13"/>
      <c r="E306" s="4" t="s">
        <v>301</v>
      </c>
      <c r="F306" s="13" t="s">
        <v>8</v>
      </c>
      <c r="G306" s="13" t="str">
        <f t="shared" si="8"/>
        <v/>
      </c>
      <c r="H306" s="4">
        <v>1.0</v>
      </c>
      <c r="K306" s="13">
        <v>1.0</v>
      </c>
      <c r="L306" s="13">
        <v>20000.0</v>
      </c>
    </row>
    <row r="307">
      <c r="B307" s="10">
        <v>46105.0</v>
      </c>
      <c r="C307" s="13"/>
      <c r="D307" s="13"/>
      <c r="E307" s="4" t="s">
        <v>301</v>
      </c>
      <c r="F307" s="13" t="s">
        <v>9</v>
      </c>
      <c r="G307" s="13" t="str">
        <f t="shared" si="8"/>
        <v/>
      </c>
      <c r="H307" s="4">
        <v>7.0</v>
      </c>
      <c r="K307" s="13">
        <v>7.0</v>
      </c>
      <c r="L307" s="13">
        <v>140000.0</v>
      </c>
    </row>
    <row r="308">
      <c r="B308" s="10">
        <v>46105.0</v>
      </c>
      <c r="C308" s="13"/>
      <c r="D308" s="13"/>
      <c r="E308" s="4" t="s">
        <v>301</v>
      </c>
      <c r="F308" s="13" t="s">
        <v>10</v>
      </c>
      <c r="G308" s="13" t="str">
        <f t="shared" si="8"/>
        <v/>
      </c>
      <c r="H308" s="4">
        <v>3.0</v>
      </c>
      <c r="K308" s="13">
        <v>3.0</v>
      </c>
      <c r="L308" s="13">
        <v>60000.0</v>
      </c>
    </row>
    <row r="309">
      <c r="B309" s="10">
        <v>46105.0</v>
      </c>
      <c r="C309" s="13"/>
      <c r="D309" s="13"/>
      <c r="E309" s="4" t="s">
        <v>301</v>
      </c>
      <c r="F309" s="13" t="s">
        <v>11</v>
      </c>
      <c r="G309" s="4">
        <f>I189</f>
        <v>1</v>
      </c>
      <c r="H309" s="4">
        <v>2.0</v>
      </c>
      <c r="K309" s="13">
        <v>3.0</v>
      </c>
      <c r="L309" s="13">
        <v>60000.0</v>
      </c>
    </row>
    <row r="310">
      <c r="B310" s="10">
        <v>46105.0</v>
      </c>
      <c r="C310" s="13"/>
      <c r="D310" s="13"/>
      <c r="E310" s="4" t="s">
        <v>301</v>
      </c>
      <c r="F310" s="13" t="s">
        <v>12</v>
      </c>
      <c r="G310" s="13" t="str">
        <f t="shared" ref="G310:G313" si="9">I298</f>
        <v/>
      </c>
      <c r="K310" s="13">
        <v>0.0</v>
      </c>
      <c r="L310" s="13">
        <v>0.0</v>
      </c>
    </row>
    <row r="311">
      <c r="B311" s="10">
        <v>46105.0</v>
      </c>
      <c r="C311" s="13"/>
      <c r="D311" s="13"/>
      <c r="E311" s="4" t="s">
        <v>301</v>
      </c>
      <c r="F311" s="13" t="s">
        <v>13</v>
      </c>
      <c r="G311" s="13" t="str">
        <f t="shared" si="9"/>
        <v/>
      </c>
      <c r="H311" s="4">
        <v>2.0</v>
      </c>
      <c r="K311" s="13">
        <v>2.0</v>
      </c>
      <c r="L311" s="13">
        <v>40000.0</v>
      </c>
    </row>
    <row r="312">
      <c r="B312" s="10">
        <v>46105.0</v>
      </c>
      <c r="C312" s="13"/>
      <c r="D312" s="13"/>
      <c r="E312" s="4" t="s">
        <v>301</v>
      </c>
      <c r="F312" s="13" t="s">
        <v>14</v>
      </c>
      <c r="G312" s="13" t="str">
        <f t="shared" si="9"/>
        <v/>
      </c>
      <c r="K312" s="13">
        <v>0.0</v>
      </c>
      <c r="L312" s="13">
        <v>0.0</v>
      </c>
    </row>
    <row r="313">
      <c r="B313" s="10">
        <v>46105.0</v>
      </c>
      <c r="C313" s="13"/>
      <c r="D313" s="13"/>
      <c r="E313" s="4" t="s">
        <v>301</v>
      </c>
      <c r="F313" s="13" t="s">
        <v>15</v>
      </c>
      <c r="G313" s="13" t="str">
        <f t="shared" si="9"/>
        <v/>
      </c>
      <c r="H313" s="4">
        <v>4.0</v>
      </c>
      <c r="K313" s="13">
        <v>4.0</v>
      </c>
      <c r="L313" s="13">
        <v>80000.0</v>
      </c>
    </row>
    <row r="314">
      <c r="B314" s="10">
        <v>46105.0</v>
      </c>
      <c r="C314" s="4" t="s">
        <v>114</v>
      </c>
      <c r="D314" s="4" t="s">
        <v>80</v>
      </c>
      <c r="E314" s="4" t="s">
        <v>57</v>
      </c>
      <c r="F314" s="13" t="s">
        <v>4</v>
      </c>
      <c r="H314" s="4">
        <v>5.0</v>
      </c>
      <c r="K314" s="13">
        <v>5.0</v>
      </c>
      <c r="L314" s="13">
        <v>100000.0</v>
      </c>
    </row>
    <row r="315">
      <c r="B315" s="10">
        <v>46105.0</v>
      </c>
      <c r="C315" s="4" t="s">
        <v>114</v>
      </c>
      <c r="D315" s="4" t="s">
        <v>80</v>
      </c>
      <c r="E315" s="4" t="s">
        <v>57</v>
      </c>
      <c r="F315" s="13" t="s">
        <v>5</v>
      </c>
      <c r="H315" s="4">
        <v>1.0</v>
      </c>
      <c r="K315" s="13">
        <v>1.0</v>
      </c>
      <c r="L315" s="13">
        <v>20000.0</v>
      </c>
    </row>
    <row r="316">
      <c r="B316" s="10">
        <v>46105.0</v>
      </c>
      <c r="C316" s="4" t="s">
        <v>114</v>
      </c>
      <c r="D316" s="4" t="s">
        <v>80</v>
      </c>
      <c r="E316" s="4" t="s">
        <v>57</v>
      </c>
      <c r="F316" s="13" t="s">
        <v>6</v>
      </c>
      <c r="H316" s="4">
        <v>1.0</v>
      </c>
      <c r="K316" s="13">
        <v>1.0</v>
      </c>
      <c r="L316" s="13">
        <v>20000.0</v>
      </c>
    </row>
    <row r="317">
      <c r="B317" s="10">
        <v>46105.0</v>
      </c>
      <c r="C317" s="4" t="s">
        <v>114</v>
      </c>
      <c r="D317" s="4" t="s">
        <v>80</v>
      </c>
      <c r="E317" s="4" t="s">
        <v>57</v>
      </c>
      <c r="F317" s="13" t="s">
        <v>7</v>
      </c>
      <c r="H317" s="4">
        <v>1.0</v>
      </c>
      <c r="K317" s="13">
        <v>1.0</v>
      </c>
      <c r="L317" s="13">
        <v>20000.0</v>
      </c>
    </row>
    <row r="318">
      <c r="B318" s="10">
        <v>46105.0</v>
      </c>
      <c r="C318" s="4" t="s">
        <v>114</v>
      </c>
      <c r="D318" s="4" t="s">
        <v>80</v>
      </c>
      <c r="E318" s="4" t="s">
        <v>57</v>
      </c>
      <c r="F318" s="13" t="s">
        <v>8</v>
      </c>
      <c r="H318" s="4">
        <v>2.0</v>
      </c>
      <c r="K318" s="13">
        <v>2.0</v>
      </c>
      <c r="L318" s="13">
        <v>40000.0</v>
      </c>
    </row>
    <row r="319">
      <c r="B319" s="10">
        <v>46105.0</v>
      </c>
      <c r="C319" s="4" t="s">
        <v>114</v>
      </c>
      <c r="D319" s="4" t="s">
        <v>80</v>
      </c>
      <c r="E319" s="4" t="s">
        <v>57</v>
      </c>
      <c r="F319" s="13" t="s">
        <v>9</v>
      </c>
      <c r="H319" s="4">
        <v>2.0</v>
      </c>
      <c r="K319" s="13">
        <v>2.0</v>
      </c>
      <c r="L319" s="13">
        <v>40000.0</v>
      </c>
    </row>
    <row r="320">
      <c r="B320" s="10">
        <v>46105.0</v>
      </c>
      <c r="C320" s="4" t="s">
        <v>114</v>
      </c>
      <c r="D320" s="4" t="s">
        <v>80</v>
      </c>
      <c r="E320" s="4" t="s">
        <v>57</v>
      </c>
      <c r="F320" s="13" t="s">
        <v>10</v>
      </c>
      <c r="H320" s="4">
        <v>2.0</v>
      </c>
      <c r="K320" s="13">
        <v>2.0</v>
      </c>
      <c r="L320" s="13">
        <v>40000.0</v>
      </c>
    </row>
    <row r="321">
      <c r="B321" s="10">
        <v>46105.0</v>
      </c>
      <c r="C321" s="4" t="s">
        <v>114</v>
      </c>
      <c r="D321" s="4" t="s">
        <v>80</v>
      </c>
      <c r="E321" s="4" t="s">
        <v>57</v>
      </c>
      <c r="F321" s="13" t="s">
        <v>11</v>
      </c>
      <c r="K321" s="13">
        <v>0.0</v>
      </c>
      <c r="L321" s="13">
        <v>0.0</v>
      </c>
    </row>
    <row r="322">
      <c r="B322" s="10">
        <v>46105.0</v>
      </c>
      <c r="C322" s="4" t="s">
        <v>114</v>
      </c>
      <c r="D322" s="4" t="s">
        <v>80</v>
      </c>
      <c r="E322" s="4" t="s">
        <v>57</v>
      </c>
      <c r="F322" s="13" t="s">
        <v>12</v>
      </c>
      <c r="H322" s="4">
        <v>1.0</v>
      </c>
      <c r="K322" s="13">
        <v>1.0</v>
      </c>
      <c r="L322" s="13">
        <v>20000.0</v>
      </c>
    </row>
    <row r="323">
      <c r="B323" s="10">
        <v>46105.0</v>
      </c>
      <c r="C323" s="4" t="s">
        <v>114</v>
      </c>
      <c r="D323" s="4" t="s">
        <v>80</v>
      </c>
      <c r="E323" s="4" t="s">
        <v>57</v>
      </c>
      <c r="F323" s="13" t="s">
        <v>13</v>
      </c>
      <c r="H323" s="4">
        <v>1.0</v>
      </c>
      <c r="K323" s="13">
        <v>1.0</v>
      </c>
      <c r="L323" s="13">
        <v>20000.0</v>
      </c>
    </row>
    <row r="324">
      <c r="B324" s="10">
        <v>46105.0</v>
      </c>
      <c r="C324" s="4" t="s">
        <v>114</v>
      </c>
      <c r="D324" s="4" t="s">
        <v>80</v>
      </c>
      <c r="E324" s="4" t="s">
        <v>57</v>
      </c>
      <c r="F324" s="13" t="s">
        <v>14</v>
      </c>
      <c r="H324" s="4">
        <v>1.0</v>
      </c>
      <c r="K324" s="13">
        <v>1.0</v>
      </c>
      <c r="L324" s="13">
        <v>22000.0</v>
      </c>
    </row>
    <row r="325">
      <c r="B325" s="10">
        <v>46105.0</v>
      </c>
      <c r="C325" s="4" t="s">
        <v>114</v>
      </c>
      <c r="D325" s="4" t="s">
        <v>80</v>
      </c>
      <c r="E325" s="4" t="s">
        <v>57</v>
      </c>
      <c r="F325" s="13" t="s">
        <v>15</v>
      </c>
      <c r="H325" s="4">
        <v>11.0</v>
      </c>
      <c r="K325" s="13">
        <v>11.0</v>
      </c>
      <c r="L325" s="13">
        <v>220000.0</v>
      </c>
    </row>
    <row r="326">
      <c r="B326" s="11">
        <f>B325+1</f>
        <v>46106</v>
      </c>
      <c r="C326" s="4" t="s">
        <v>113</v>
      </c>
      <c r="D326" s="4" t="s">
        <v>89</v>
      </c>
      <c r="E326" s="4" t="s">
        <v>82</v>
      </c>
      <c r="F326" s="13" t="s">
        <v>4</v>
      </c>
      <c r="H326" s="4">
        <v>10.0</v>
      </c>
      <c r="I326" s="4">
        <v>0.0</v>
      </c>
      <c r="K326" s="13">
        <v>10.0</v>
      </c>
      <c r="L326" s="13">
        <v>200000.0</v>
      </c>
    </row>
    <row r="327">
      <c r="B327" s="11">
        <v>46106.0</v>
      </c>
      <c r="C327" s="13"/>
      <c r="D327" s="4" t="s">
        <v>89</v>
      </c>
      <c r="E327" s="4" t="s">
        <v>82</v>
      </c>
      <c r="F327" s="13" t="s">
        <v>5</v>
      </c>
      <c r="H327" s="4">
        <v>5.0</v>
      </c>
      <c r="I327" s="4">
        <v>0.0</v>
      </c>
      <c r="K327" s="13">
        <v>5.0</v>
      </c>
      <c r="L327" s="13">
        <v>100000.0</v>
      </c>
    </row>
    <row r="328">
      <c r="B328" s="11">
        <v>46106.0</v>
      </c>
      <c r="C328" s="13"/>
      <c r="D328" s="4" t="s">
        <v>89</v>
      </c>
      <c r="E328" s="4" t="s">
        <v>82</v>
      </c>
      <c r="F328" s="13" t="s">
        <v>6</v>
      </c>
      <c r="H328" s="4">
        <v>4.0</v>
      </c>
      <c r="I328" s="4">
        <v>0.0</v>
      </c>
      <c r="K328" s="13">
        <v>4.0</v>
      </c>
      <c r="L328" s="13">
        <v>80000.0</v>
      </c>
    </row>
    <row r="329">
      <c r="B329" s="11">
        <v>46106.0</v>
      </c>
      <c r="C329" s="13"/>
      <c r="D329" s="4" t="s">
        <v>89</v>
      </c>
      <c r="E329" s="4" t="s">
        <v>82</v>
      </c>
      <c r="F329" s="13" t="s">
        <v>7</v>
      </c>
      <c r="H329" s="4">
        <v>5.0</v>
      </c>
      <c r="I329" s="4">
        <v>0.0</v>
      </c>
      <c r="K329" s="13">
        <v>5.0</v>
      </c>
      <c r="L329" s="13">
        <v>100000.0</v>
      </c>
    </row>
    <row r="330">
      <c r="B330" s="11">
        <v>46106.0</v>
      </c>
      <c r="C330" s="13"/>
      <c r="D330" s="4" t="s">
        <v>89</v>
      </c>
      <c r="E330" s="4" t="s">
        <v>82</v>
      </c>
      <c r="F330" s="13" t="s">
        <v>8</v>
      </c>
      <c r="H330" s="4">
        <v>8.0</v>
      </c>
      <c r="I330" s="4">
        <v>0.0</v>
      </c>
      <c r="K330" s="13">
        <v>8.0</v>
      </c>
      <c r="L330" s="13">
        <v>160000.0</v>
      </c>
    </row>
    <row r="331">
      <c r="B331" s="11">
        <v>46106.0</v>
      </c>
      <c r="C331" s="13"/>
      <c r="D331" s="4" t="s">
        <v>89</v>
      </c>
      <c r="E331" s="4" t="s">
        <v>82</v>
      </c>
      <c r="F331" s="13" t="s">
        <v>9</v>
      </c>
      <c r="H331" s="4">
        <v>8.0</v>
      </c>
      <c r="I331" s="4">
        <v>0.0</v>
      </c>
      <c r="K331" s="13">
        <v>8.0</v>
      </c>
      <c r="L331" s="13">
        <v>160000.0</v>
      </c>
    </row>
    <row r="332">
      <c r="B332" s="11">
        <v>46106.0</v>
      </c>
      <c r="C332" s="13"/>
      <c r="D332" s="4" t="s">
        <v>89</v>
      </c>
      <c r="E332" s="4" t="s">
        <v>86</v>
      </c>
      <c r="F332" s="13" t="s">
        <v>10</v>
      </c>
      <c r="H332" s="4">
        <v>5.0</v>
      </c>
      <c r="I332" s="4">
        <v>0.0</v>
      </c>
      <c r="K332" s="13">
        <v>5.0</v>
      </c>
      <c r="L332" s="13">
        <v>100000.0</v>
      </c>
    </row>
    <row r="333">
      <c r="B333" s="11">
        <v>46106.0</v>
      </c>
      <c r="C333" s="13"/>
      <c r="D333" s="4" t="s">
        <v>89</v>
      </c>
      <c r="E333" s="4" t="s">
        <v>86</v>
      </c>
      <c r="F333" s="13" t="s">
        <v>11</v>
      </c>
      <c r="H333" s="4">
        <v>3.0</v>
      </c>
      <c r="I333" s="4">
        <v>0.0</v>
      </c>
      <c r="K333" s="13">
        <v>3.0</v>
      </c>
      <c r="L333" s="13">
        <v>60000.0</v>
      </c>
    </row>
    <row r="334">
      <c r="B334" s="11">
        <v>46106.0</v>
      </c>
      <c r="C334" s="13"/>
      <c r="D334" s="4" t="s">
        <v>89</v>
      </c>
      <c r="E334" s="4" t="s">
        <v>86</v>
      </c>
      <c r="F334" s="13" t="s">
        <v>12</v>
      </c>
      <c r="H334" s="4">
        <v>4.0</v>
      </c>
      <c r="I334" s="4">
        <v>0.0</v>
      </c>
      <c r="K334" s="13">
        <v>4.0</v>
      </c>
      <c r="L334" s="13">
        <v>80000.0</v>
      </c>
    </row>
    <row r="335">
      <c r="B335" s="11">
        <v>46106.0</v>
      </c>
      <c r="C335" s="13"/>
      <c r="D335" s="4" t="s">
        <v>89</v>
      </c>
      <c r="E335" s="4" t="s">
        <v>86</v>
      </c>
      <c r="F335" s="13" t="s">
        <v>13</v>
      </c>
      <c r="H335" s="4">
        <v>5.0</v>
      </c>
      <c r="I335" s="4">
        <v>0.0</v>
      </c>
      <c r="K335" s="13">
        <v>5.0</v>
      </c>
      <c r="L335" s="13">
        <v>100000.0</v>
      </c>
    </row>
    <row r="336">
      <c r="B336" s="11">
        <v>46106.0</v>
      </c>
      <c r="C336" s="13"/>
      <c r="D336" s="4" t="s">
        <v>89</v>
      </c>
      <c r="E336" s="4" t="s">
        <v>86</v>
      </c>
      <c r="F336" s="13" t="s">
        <v>14</v>
      </c>
      <c r="H336" s="4">
        <v>4.0</v>
      </c>
      <c r="I336" s="4">
        <v>0.0</v>
      </c>
      <c r="K336" s="13">
        <v>4.0</v>
      </c>
      <c r="L336" s="13">
        <v>88000.0</v>
      </c>
    </row>
    <row r="337">
      <c r="B337" s="11">
        <v>46106.0</v>
      </c>
      <c r="C337" s="4" t="s">
        <v>113</v>
      </c>
      <c r="D337" s="4" t="s">
        <v>89</v>
      </c>
      <c r="E337" s="4" t="s">
        <v>86</v>
      </c>
      <c r="F337" s="13" t="s">
        <v>15</v>
      </c>
      <c r="G337" s="4">
        <v>7.0</v>
      </c>
      <c r="H337" s="4">
        <v>33.0</v>
      </c>
      <c r="I337" s="4">
        <v>0.0</v>
      </c>
      <c r="K337" s="13">
        <v>40.0</v>
      </c>
      <c r="L337" s="13">
        <v>800000.0</v>
      </c>
    </row>
    <row r="338">
      <c r="B338" s="11">
        <v>46106.0</v>
      </c>
      <c r="C338" s="4" t="s">
        <v>114</v>
      </c>
      <c r="D338" s="4" t="s">
        <v>89</v>
      </c>
      <c r="E338" s="4" t="s">
        <v>86</v>
      </c>
      <c r="F338" s="13" t="s">
        <v>4</v>
      </c>
      <c r="H338" s="4">
        <v>5.0</v>
      </c>
      <c r="K338" s="13">
        <v>5.0</v>
      </c>
      <c r="L338" s="13">
        <v>100000.0</v>
      </c>
    </row>
    <row r="339">
      <c r="B339" s="11">
        <v>46106.0</v>
      </c>
      <c r="C339" s="4" t="s">
        <v>114</v>
      </c>
      <c r="D339" s="4" t="s">
        <v>89</v>
      </c>
      <c r="E339" s="4" t="s">
        <v>86</v>
      </c>
      <c r="F339" s="13" t="s">
        <v>5</v>
      </c>
      <c r="H339" s="4">
        <v>3.0</v>
      </c>
      <c r="K339" s="13">
        <v>3.0</v>
      </c>
      <c r="L339" s="13">
        <v>60000.0</v>
      </c>
    </row>
    <row r="340">
      <c r="B340" s="11">
        <v>46106.0</v>
      </c>
      <c r="C340" s="4" t="s">
        <v>114</v>
      </c>
      <c r="D340" s="4" t="s">
        <v>89</v>
      </c>
      <c r="E340" s="4" t="s">
        <v>86</v>
      </c>
      <c r="F340" s="13" t="s">
        <v>6</v>
      </c>
      <c r="H340" s="4">
        <v>1.0</v>
      </c>
      <c r="K340" s="13">
        <v>1.0</v>
      </c>
      <c r="L340" s="13">
        <v>20000.0</v>
      </c>
    </row>
    <row r="341">
      <c r="B341" s="11">
        <v>46106.0</v>
      </c>
      <c r="C341" s="4" t="s">
        <v>114</v>
      </c>
      <c r="D341" s="4" t="s">
        <v>89</v>
      </c>
      <c r="E341" s="4" t="s">
        <v>86</v>
      </c>
      <c r="F341" s="13" t="s">
        <v>7</v>
      </c>
      <c r="K341" s="13">
        <v>0.0</v>
      </c>
      <c r="L341" s="13">
        <v>0.0</v>
      </c>
    </row>
    <row r="342">
      <c r="B342" s="11">
        <v>46106.0</v>
      </c>
      <c r="C342" s="4" t="s">
        <v>114</v>
      </c>
      <c r="D342" s="4" t="s">
        <v>89</v>
      </c>
      <c r="E342" s="4" t="s">
        <v>86</v>
      </c>
      <c r="F342" s="13" t="s">
        <v>8</v>
      </c>
      <c r="H342" s="4">
        <v>3.0</v>
      </c>
      <c r="K342" s="13">
        <v>3.0</v>
      </c>
      <c r="L342" s="13">
        <v>60000.0</v>
      </c>
    </row>
    <row r="343">
      <c r="B343" s="11">
        <v>46106.0</v>
      </c>
      <c r="C343" s="4" t="s">
        <v>114</v>
      </c>
      <c r="D343" s="4" t="s">
        <v>89</v>
      </c>
      <c r="E343" s="4" t="s">
        <v>86</v>
      </c>
      <c r="F343" s="13" t="s">
        <v>9</v>
      </c>
      <c r="H343" s="4">
        <v>5.0</v>
      </c>
      <c r="K343" s="13">
        <v>5.0</v>
      </c>
      <c r="L343" s="13">
        <v>100000.0</v>
      </c>
    </row>
    <row r="344">
      <c r="B344" s="11">
        <v>46106.0</v>
      </c>
      <c r="C344" s="4" t="s">
        <v>114</v>
      </c>
      <c r="D344" s="4" t="s">
        <v>89</v>
      </c>
      <c r="E344" s="4" t="s">
        <v>86</v>
      </c>
      <c r="F344" s="13" t="s">
        <v>10</v>
      </c>
      <c r="H344" s="4">
        <v>2.0</v>
      </c>
      <c r="K344" s="13">
        <v>2.0</v>
      </c>
      <c r="L344" s="13">
        <v>40000.0</v>
      </c>
    </row>
    <row r="345">
      <c r="B345" s="11">
        <v>46106.0</v>
      </c>
      <c r="C345" s="4" t="s">
        <v>114</v>
      </c>
      <c r="D345" s="4" t="s">
        <v>89</v>
      </c>
      <c r="E345" s="4" t="s">
        <v>86</v>
      </c>
      <c r="F345" s="13" t="s">
        <v>11</v>
      </c>
      <c r="K345" s="13">
        <v>0.0</v>
      </c>
      <c r="L345" s="13">
        <v>0.0</v>
      </c>
    </row>
    <row r="346">
      <c r="B346" s="11">
        <v>46106.0</v>
      </c>
      <c r="C346" s="4" t="s">
        <v>114</v>
      </c>
      <c r="D346" s="4" t="s">
        <v>89</v>
      </c>
      <c r="E346" s="4" t="s">
        <v>86</v>
      </c>
      <c r="F346" s="13" t="s">
        <v>12</v>
      </c>
      <c r="H346" s="4">
        <v>2.0</v>
      </c>
      <c r="K346" s="13">
        <v>2.0</v>
      </c>
      <c r="L346" s="13">
        <v>40000.0</v>
      </c>
    </row>
    <row r="347">
      <c r="B347" s="11">
        <v>46106.0</v>
      </c>
      <c r="C347" s="4" t="s">
        <v>114</v>
      </c>
      <c r="D347" s="4" t="s">
        <v>89</v>
      </c>
      <c r="E347" s="4" t="s">
        <v>86</v>
      </c>
      <c r="F347" s="13" t="s">
        <v>13</v>
      </c>
      <c r="H347" s="4">
        <v>3.0</v>
      </c>
      <c r="K347" s="13">
        <v>3.0</v>
      </c>
      <c r="L347" s="13">
        <v>60000.0</v>
      </c>
    </row>
    <row r="348">
      <c r="B348" s="11">
        <v>46106.0</v>
      </c>
      <c r="C348" s="4" t="s">
        <v>114</v>
      </c>
      <c r="D348" s="4" t="s">
        <v>89</v>
      </c>
      <c r="E348" s="4" t="s">
        <v>86</v>
      </c>
      <c r="F348" s="13" t="s">
        <v>14</v>
      </c>
      <c r="H348" s="4">
        <v>2.0</v>
      </c>
      <c r="K348" s="13">
        <v>2.0</v>
      </c>
      <c r="L348" s="13">
        <v>44000.0</v>
      </c>
    </row>
    <row r="349">
      <c r="B349" s="11">
        <v>46106.0</v>
      </c>
      <c r="C349" s="4" t="s">
        <v>114</v>
      </c>
      <c r="D349" s="4" t="s">
        <v>89</v>
      </c>
      <c r="E349" s="4" t="s">
        <v>86</v>
      </c>
      <c r="F349" s="13" t="s">
        <v>15</v>
      </c>
      <c r="H349" s="4">
        <v>25.0</v>
      </c>
      <c r="K349" s="13">
        <v>25.0</v>
      </c>
      <c r="L349" s="13">
        <v>500000.0</v>
      </c>
    </row>
    <row r="350">
      <c r="B350" s="11">
        <v>46106.0</v>
      </c>
      <c r="C350" s="4" t="s">
        <v>113</v>
      </c>
      <c r="D350" s="4" t="s">
        <v>81</v>
      </c>
      <c r="E350" s="4" t="s">
        <v>53</v>
      </c>
      <c r="F350" s="13" t="s">
        <v>4</v>
      </c>
      <c r="H350" s="4">
        <v>5.0</v>
      </c>
      <c r="K350" s="13">
        <v>5.0</v>
      </c>
      <c r="L350" s="13">
        <v>100000.0</v>
      </c>
    </row>
    <row r="351">
      <c r="B351" s="11">
        <v>46106.0</v>
      </c>
      <c r="C351" s="4" t="s">
        <v>113</v>
      </c>
      <c r="D351" s="4" t="s">
        <v>81</v>
      </c>
      <c r="E351" s="4" t="s">
        <v>53</v>
      </c>
      <c r="F351" s="13" t="s">
        <v>5</v>
      </c>
      <c r="H351" s="4">
        <v>3.0</v>
      </c>
      <c r="K351" s="13">
        <v>3.0</v>
      </c>
      <c r="L351" s="13">
        <v>60000.0</v>
      </c>
    </row>
    <row r="352">
      <c r="B352" s="11">
        <v>46106.0</v>
      </c>
      <c r="C352" s="4" t="s">
        <v>113</v>
      </c>
      <c r="D352" s="4" t="s">
        <v>81</v>
      </c>
      <c r="E352" s="4" t="s">
        <v>56</v>
      </c>
      <c r="F352" s="13" t="s">
        <v>6</v>
      </c>
      <c r="H352" s="4">
        <v>3.0</v>
      </c>
      <c r="K352" s="13">
        <v>3.0</v>
      </c>
      <c r="L352" s="13">
        <v>60000.0</v>
      </c>
    </row>
    <row r="353">
      <c r="B353" s="11">
        <v>46106.0</v>
      </c>
      <c r="C353" s="4" t="s">
        <v>113</v>
      </c>
      <c r="D353" s="4" t="s">
        <v>81</v>
      </c>
      <c r="E353" s="4" t="s">
        <v>56</v>
      </c>
      <c r="F353" s="13" t="s">
        <v>7</v>
      </c>
      <c r="H353" s="4">
        <v>3.0</v>
      </c>
      <c r="K353" s="13">
        <v>3.0</v>
      </c>
      <c r="L353" s="13">
        <v>60000.0</v>
      </c>
    </row>
    <row r="354">
      <c r="B354" s="11">
        <v>46106.0</v>
      </c>
      <c r="C354" s="4" t="s">
        <v>113</v>
      </c>
      <c r="D354" s="4" t="s">
        <v>81</v>
      </c>
      <c r="E354" s="4" t="s">
        <v>56</v>
      </c>
      <c r="F354" s="13" t="s">
        <v>8</v>
      </c>
      <c r="H354" s="4">
        <v>5.0</v>
      </c>
      <c r="K354" s="13">
        <v>5.0</v>
      </c>
      <c r="L354" s="13">
        <v>100000.0</v>
      </c>
    </row>
    <row r="355">
      <c r="B355" s="11">
        <v>46106.0</v>
      </c>
      <c r="C355" s="4" t="s">
        <v>113</v>
      </c>
      <c r="D355" s="4" t="s">
        <v>81</v>
      </c>
      <c r="E355" s="4" t="s">
        <v>56</v>
      </c>
      <c r="F355" s="13" t="s">
        <v>9</v>
      </c>
      <c r="H355" s="4">
        <v>5.0</v>
      </c>
      <c r="K355" s="13">
        <v>5.0</v>
      </c>
      <c r="L355" s="13">
        <v>100000.0</v>
      </c>
    </row>
    <row r="356">
      <c r="B356" s="11">
        <v>46106.0</v>
      </c>
      <c r="C356" s="4" t="s">
        <v>113</v>
      </c>
      <c r="D356" s="4" t="s">
        <v>81</v>
      </c>
      <c r="E356" s="4" t="s">
        <v>56</v>
      </c>
      <c r="F356" s="13" t="s">
        <v>10</v>
      </c>
      <c r="H356" s="4">
        <v>3.0</v>
      </c>
      <c r="K356" s="13">
        <v>3.0</v>
      </c>
      <c r="L356" s="13">
        <v>60000.0</v>
      </c>
    </row>
    <row r="357">
      <c r="B357" s="11">
        <v>46106.0</v>
      </c>
      <c r="C357" s="4" t="s">
        <v>113</v>
      </c>
      <c r="D357" s="4" t="s">
        <v>81</v>
      </c>
      <c r="E357" s="4" t="s">
        <v>56</v>
      </c>
      <c r="F357" s="13" t="s">
        <v>11</v>
      </c>
      <c r="H357" s="4">
        <v>3.0</v>
      </c>
      <c r="K357" s="13">
        <v>3.0</v>
      </c>
      <c r="L357" s="13">
        <v>60000.0</v>
      </c>
    </row>
    <row r="358">
      <c r="B358" s="11">
        <v>46106.0</v>
      </c>
      <c r="C358" s="4" t="s">
        <v>113</v>
      </c>
      <c r="D358" s="4" t="s">
        <v>81</v>
      </c>
      <c r="E358" s="4" t="s">
        <v>53</v>
      </c>
      <c r="F358" s="13" t="s">
        <v>12</v>
      </c>
      <c r="H358" s="4">
        <v>3.0</v>
      </c>
      <c r="K358" s="13">
        <v>3.0</v>
      </c>
      <c r="L358" s="13">
        <v>60000.0</v>
      </c>
    </row>
    <row r="359">
      <c r="B359" s="11">
        <v>46106.0</v>
      </c>
      <c r="C359" s="4" t="s">
        <v>113</v>
      </c>
      <c r="D359" s="4" t="s">
        <v>81</v>
      </c>
      <c r="E359" s="4" t="s">
        <v>53</v>
      </c>
      <c r="F359" s="13" t="s">
        <v>13</v>
      </c>
      <c r="H359" s="4">
        <v>4.0</v>
      </c>
      <c r="I359" s="4">
        <v>1.0</v>
      </c>
      <c r="K359" s="13">
        <v>3.0</v>
      </c>
      <c r="L359" s="13">
        <v>60000.0</v>
      </c>
    </row>
    <row r="360">
      <c r="B360" s="11">
        <v>46106.0</v>
      </c>
      <c r="C360" s="4" t="s">
        <v>113</v>
      </c>
      <c r="D360" s="4" t="s">
        <v>81</v>
      </c>
      <c r="E360" s="4" t="s">
        <v>53</v>
      </c>
      <c r="F360" s="13" t="s">
        <v>14</v>
      </c>
      <c r="H360" s="4">
        <v>3.0</v>
      </c>
      <c r="K360" s="13">
        <v>3.0</v>
      </c>
      <c r="L360" s="13">
        <v>66000.0</v>
      </c>
    </row>
    <row r="361">
      <c r="B361" s="11">
        <v>46106.0</v>
      </c>
      <c r="C361" s="4" t="s">
        <v>113</v>
      </c>
      <c r="D361" s="4" t="s">
        <v>81</v>
      </c>
      <c r="E361" s="4" t="s">
        <v>53</v>
      </c>
      <c r="F361" s="13" t="s">
        <v>15</v>
      </c>
      <c r="H361" s="4">
        <v>30.0</v>
      </c>
      <c r="I361" s="4">
        <v>2.0</v>
      </c>
      <c r="K361" s="13">
        <v>28.0</v>
      </c>
      <c r="L361" s="13">
        <v>560000.0</v>
      </c>
    </row>
    <row r="362">
      <c r="B362" s="11">
        <v>46106.0</v>
      </c>
      <c r="C362" s="4" t="s">
        <v>114</v>
      </c>
      <c r="D362" s="4" t="s">
        <v>81</v>
      </c>
      <c r="E362" s="4" t="s">
        <v>71</v>
      </c>
      <c r="F362" s="13" t="s">
        <v>4</v>
      </c>
      <c r="G362" s="13" t="str">
        <f t="shared" ref="G362:G373" si="10">I350</f>
        <v/>
      </c>
      <c r="H362" s="4">
        <v>3.0</v>
      </c>
      <c r="K362" s="13">
        <v>3.0</v>
      </c>
      <c r="L362" s="13">
        <v>60000.0</v>
      </c>
    </row>
    <row r="363">
      <c r="B363" s="11">
        <v>46106.0</v>
      </c>
      <c r="C363" s="4" t="s">
        <v>114</v>
      </c>
      <c r="D363" s="4" t="s">
        <v>81</v>
      </c>
      <c r="E363" s="4" t="s">
        <v>71</v>
      </c>
      <c r="F363" s="13" t="s">
        <v>5</v>
      </c>
      <c r="G363" s="13" t="str">
        <f t="shared" si="10"/>
        <v/>
      </c>
      <c r="H363" s="4">
        <v>2.0</v>
      </c>
      <c r="K363" s="13">
        <v>2.0</v>
      </c>
      <c r="L363" s="13">
        <v>40000.0</v>
      </c>
    </row>
    <row r="364">
      <c r="B364" s="11">
        <v>46106.0</v>
      </c>
      <c r="C364" s="4" t="s">
        <v>114</v>
      </c>
      <c r="D364" s="4" t="s">
        <v>81</v>
      </c>
      <c r="E364" s="4" t="s">
        <v>71</v>
      </c>
      <c r="F364" s="13" t="s">
        <v>6</v>
      </c>
      <c r="G364" s="13" t="str">
        <f t="shared" si="10"/>
        <v/>
      </c>
      <c r="H364" s="4">
        <v>2.0</v>
      </c>
      <c r="K364" s="13">
        <v>2.0</v>
      </c>
      <c r="L364" s="13">
        <v>40000.0</v>
      </c>
    </row>
    <row r="365">
      <c r="B365" s="11">
        <v>46106.0</v>
      </c>
      <c r="C365" s="4" t="s">
        <v>114</v>
      </c>
      <c r="D365" s="4" t="s">
        <v>81</v>
      </c>
      <c r="E365" s="4" t="s">
        <v>71</v>
      </c>
      <c r="F365" s="13" t="s">
        <v>7</v>
      </c>
      <c r="G365" s="13" t="str">
        <f t="shared" si="10"/>
        <v/>
      </c>
      <c r="H365" s="4">
        <v>2.0</v>
      </c>
      <c r="K365" s="13">
        <v>2.0</v>
      </c>
      <c r="L365" s="13">
        <v>40000.0</v>
      </c>
    </row>
    <row r="366">
      <c r="B366" s="11">
        <v>46106.0</v>
      </c>
      <c r="C366" s="4" t="s">
        <v>114</v>
      </c>
      <c r="D366" s="4" t="s">
        <v>81</v>
      </c>
      <c r="E366" s="4" t="s">
        <v>71</v>
      </c>
      <c r="F366" s="13" t="s">
        <v>8</v>
      </c>
      <c r="G366" s="13" t="str">
        <f t="shared" si="10"/>
        <v/>
      </c>
      <c r="H366" s="4">
        <v>3.0</v>
      </c>
      <c r="K366" s="13">
        <v>3.0</v>
      </c>
      <c r="L366" s="13">
        <v>60000.0</v>
      </c>
    </row>
    <row r="367">
      <c r="B367" s="11">
        <v>46106.0</v>
      </c>
      <c r="C367" s="4" t="s">
        <v>114</v>
      </c>
      <c r="D367" s="4" t="s">
        <v>81</v>
      </c>
      <c r="E367" s="4" t="s">
        <v>71</v>
      </c>
      <c r="F367" s="13" t="s">
        <v>9</v>
      </c>
      <c r="G367" s="13" t="str">
        <f t="shared" si="10"/>
        <v/>
      </c>
      <c r="H367" s="4">
        <v>4.0</v>
      </c>
      <c r="K367" s="13">
        <v>4.0</v>
      </c>
      <c r="L367" s="13">
        <v>80000.0</v>
      </c>
    </row>
    <row r="368">
      <c r="B368" s="11">
        <v>46106.0</v>
      </c>
      <c r="C368" s="4" t="s">
        <v>114</v>
      </c>
      <c r="D368" s="4" t="s">
        <v>81</v>
      </c>
      <c r="E368" s="4" t="s">
        <v>71</v>
      </c>
      <c r="F368" s="13" t="s">
        <v>10</v>
      </c>
      <c r="G368" s="13" t="str">
        <f t="shared" si="10"/>
        <v/>
      </c>
      <c r="H368" s="4">
        <v>2.0</v>
      </c>
      <c r="K368" s="13">
        <v>2.0</v>
      </c>
      <c r="L368" s="13">
        <v>40000.0</v>
      </c>
    </row>
    <row r="369">
      <c r="B369" s="11">
        <v>46106.0</v>
      </c>
      <c r="C369" s="4" t="s">
        <v>114</v>
      </c>
      <c r="D369" s="4" t="s">
        <v>81</v>
      </c>
      <c r="E369" s="4" t="s">
        <v>71</v>
      </c>
      <c r="F369" s="13" t="s">
        <v>11</v>
      </c>
      <c r="G369" s="13" t="str">
        <f t="shared" si="10"/>
        <v/>
      </c>
      <c r="H369" s="4">
        <v>2.0</v>
      </c>
      <c r="K369" s="13">
        <v>2.0</v>
      </c>
      <c r="L369" s="13">
        <v>40000.0</v>
      </c>
    </row>
    <row r="370">
      <c r="B370" s="11">
        <v>46106.0</v>
      </c>
      <c r="C370" s="4" t="s">
        <v>114</v>
      </c>
      <c r="D370" s="4" t="s">
        <v>81</v>
      </c>
      <c r="E370" s="4" t="s">
        <v>71</v>
      </c>
      <c r="F370" s="13" t="s">
        <v>12</v>
      </c>
      <c r="G370" s="13" t="str">
        <f t="shared" si="10"/>
        <v/>
      </c>
      <c r="K370" s="13">
        <v>0.0</v>
      </c>
      <c r="L370" s="13">
        <v>0.0</v>
      </c>
    </row>
    <row r="371">
      <c r="B371" s="11">
        <v>46106.0</v>
      </c>
      <c r="C371" s="4" t="s">
        <v>114</v>
      </c>
      <c r="D371" s="4" t="s">
        <v>81</v>
      </c>
      <c r="E371" s="4" t="s">
        <v>71</v>
      </c>
      <c r="F371" s="13" t="s">
        <v>13</v>
      </c>
      <c r="G371" s="13">
        <f t="shared" si="10"/>
        <v>1</v>
      </c>
      <c r="H371" s="4">
        <v>1.0</v>
      </c>
      <c r="K371" s="13">
        <v>2.0</v>
      </c>
      <c r="L371" s="13">
        <v>40000.0</v>
      </c>
    </row>
    <row r="372">
      <c r="B372" s="11">
        <v>46106.0</v>
      </c>
      <c r="C372" s="4" t="s">
        <v>114</v>
      </c>
      <c r="D372" s="4" t="s">
        <v>81</v>
      </c>
      <c r="E372" s="4" t="s">
        <v>71</v>
      </c>
      <c r="F372" s="13" t="s">
        <v>14</v>
      </c>
      <c r="G372" s="13" t="str">
        <f t="shared" si="10"/>
        <v/>
      </c>
      <c r="H372" s="4">
        <v>2.0</v>
      </c>
      <c r="K372" s="13">
        <v>2.0</v>
      </c>
      <c r="L372" s="13">
        <v>44000.0</v>
      </c>
    </row>
    <row r="373">
      <c r="B373" s="11">
        <v>46106.0</v>
      </c>
      <c r="C373" s="4" t="s">
        <v>114</v>
      </c>
      <c r="D373" s="4" t="s">
        <v>81</v>
      </c>
      <c r="E373" s="4" t="s">
        <v>71</v>
      </c>
      <c r="F373" s="13" t="s">
        <v>15</v>
      </c>
      <c r="G373" s="13">
        <f t="shared" si="10"/>
        <v>2</v>
      </c>
      <c r="H373" s="4">
        <v>20.0</v>
      </c>
      <c r="K373" s="13">
        <v>22.0</v>
      </c>
      <c r="L373" s="13">
        <v>440000.0</v>
      </c>
    </row>
    <row r="374">
      <c r="B374" s="11">
        <v>46106.0</v>
      </c>
      <c r="C374" s="4" t="s">
        <v>113</v>
      </c>
      <c r="D374" s="4" t="s">
        <v>93</v>
      </c>
      <c r="E374" s="4" t="s">
        <v>62</v>
      </c>
      <c r="F374" s="13" t="s">
        <v>4</v>
      </c>
      <c r="H374" s="4">
        <v>6.0</v>
      </c>
      <c r="K374" s="13">
        <v>6.0</v>
      </c>
      <c r="L374" s="13">
        <v>120000.0</v>
      </c>
    </row>
    <row r="375">
      <c r="B375" s="11">
        <v>46106.0</v>
      </c>
      <c r="C375" s="13"/>
      <c r="D375" s="13"/>
      <c r="E375" s="4" t="s">
        <v>62</v>
      </c>
      <c r="F375" s="13" t="s">
        <v>5</v>
      </c>
      <c r="H375" s="4">
        <v>4.0</v>
      </c>
      <c r="K375" s="13">
        <v>4.0</v>
      </c>
      <c r="L375" s="13">
        <v>80000.0</v>
      </c>
    </row>
    <row r="376">
      <c r="B376" s="11">
        <v>46106.0</v>
      </c>
      <c r="C376" s="13"/>
      <c r="D376" s="13"/>
      <c r="E376" s="4" t="s">
        <v>62</v>
      </c>
      <c r="F376" s="13" t="s">
        <v>6</v>
      </c>
      <c r="H376" s="4">
        <v>4.0</v>
      </c>
      <c r="K376" s="13">
        <v>4.0</v>
      </c>
      <c r="L376" s="13">
        <v>80000.0</v>
      </c>
    </row>
    <row r="377">
      <c r="B377" s="11">
        <v>46106.0</v>
      </c>
      <c r="C377" s="13"/>
      <c r="D377" s="13"/>
      <c r="E377" s="4" t="s">
        <v>62</v>
      </c>
      <c r="F377" s="13" t="s">
        <v>7</v>
      </c>
      <c r="H377" s="4">
        <v>3.0</v>
      </c>
      <c r="K377" s="13">
        <v>3.0</v>
      </c>
      <c r="L377" s="13">
        <v>60000.0</v>
      </c>
    </row>
    <row r="378">
      <c r="B378" s="11">
        <v>46106.0</v>
      </c>
      <c r="C378" s="13"/>
      <c r="D378" s="13"/>
      <c r="E378" s="4" t="s">
        <v>62</v>
      </c>
      <c r="F378" s="13" t="s">
        <v>8</v>
      </c>
      <c r="H378" s="4">
        <v>5.0</v>
      </c>
      <c r="K378" s="13">
        <v>5.0</v>
      </c>
      <c r="L378" s="13">
        <v>100000.0</v>
      </c>
    </row>
    <row r="379">
      <c r="B379" s="11">
        <v>46106.0</v>
      </c>
      <c r="C379" s="13"/>
      <c r="D379" s="13"/>
      <c r="E379" s="4" t="s">
        <v>62</v>
      </c>
      <c r="F379" s="13" t="s">
        <v>9</v>
      </c>
      <c r="H379" s="4">
        <v>6.0</v>
      </c>
      <c r="K379" s="13">
        <v>6.0</v>
      </c>
      <c r="L379" s="13">
        <v>120000.0</v>
      </c>
    </row>
    <row r="380">
      <c r="B380" s="11">
        <v>46106.0</v>
      </c>
      <c r="C380" s="13"/>
      <c r="D380" s="13"/>
      <c r="E380" s="4" t="s">
        <v>62</v>
      </c>
      <c r="F380" s="13" t="s">
        <v>10</v>
      </c>
      <c r="H380" s="4">
        <v>4.0</v>
      </c>
      <c r="K380" s="13">
        <v>4.0</v>
      </c>
      <c r="L380" s="13">
        <v>80000.0</v>
      </c>
    </row>
    <row r="381">
      <c r="B381" s="11">
        <v>46106.0</v>
      </c>
      <c r="C381" s="13"/>
      <c r="D381" s="13"/>
      <c r="E381" s="4" t="s">
        <v>62</v>
      </c>
      <c r="F381" s="13" t="s">
        <v>11</v>
      </c>
      <c r="H381" s="4">
        <v>2.0</v>
      </c>
      <c r="K381" s="13">
        <v>2.0</v>
      </c>
      <c r="L381" s="13">
        <v>40000.0</v>
      </c>
    </row>
    <row r="382">
      <c r="B382" s="11">
        <v>46106.0</v>
      </c>
      <c r="C382" s="13"/>
      <c r="D382" s="13"/>
      <c r="E382" s="4" t="s">
        <v>62</v>
      </c>
      <c r="F382" s="13" t="s">
        <v>12</v>
      </c>
      <c r="H382" s="4">
        <v>3.0</v>
      </c>
      <c r="K382" s="13">
        <v>3.0</v>
      </c>
      <c r="L382" s="13">
        <v>60000.0</v>
      </c>
    </row>
    <row r="383">
      <c r="B383" s="11">
        <v>46106.0</v>
      </c>
      <c r="C383" s="13"/>
      <c r="D383" s="13"/>
      <c r="E383" s="4" t="s">
        <v>62</v>
      </c>
      <c r="F383" s="13" t="s">
        <v>13</v>
      </c>
      <c r="H383" s="4">
        <v>5.0</v>
      </c>
      <c r="K383" s="13">
        <v>5.0</v>
      </c>
      <c r="L383" s="13">
        <v>100000.0</v>
      </c>
    </row>
    <row r="384">
      <c r="B384" s="11">
        <v>46106.0</v>
      </c>
      <c r="C384" s="13"/>
      <c r="D384" s="13"/>
      <c r="E384" s="4" t="s">
        <v>62</v>
      </c>
      <c r="F384" s="13" t="s">
        <v>14</v>
      </c>
      <c r="H384" s="4">
        <v>3.0</v>
      </c>
      <c r="K384" s="13">
        <v>3.0</v>
      </c>
      <c r="L384" s="13">
        <v>66000.0</v>
      </c>
    </row>
    <row r="385">
      <c r="B385" s="11">
        <v>46106.0</v>
      </c>
      <c r="C385" s="4" t="s">
        <v>113</v>
      </c>
      <c r="D385" s="4" t="s">
        <v>93</v>
      </c>
      <c r="E385" s="4" t="s">
        <v>62</v>
      </c>
      <c r="F385" s="13" t="s">
        <v>15</v>
      </c>
      <c r="H385" s="4">
        <v>25.0</v>
      </c>
      <c r="K385" s="13">
        <v>25.0</v>
      </c>
      <c r="L385" s="13">
        <v>500000.0</v>
      </c>
    </row>
    <row r="386">
      <c r="B386" s="11">
        <v>46106.0</v>
      </c>
      <c r="C386" s="4" t="s">
        <v>114</v>
      </c>
      <c r="D386" s="4" t="s">
        <v>93</v>
      </c>
      <c r="E386" s="4" t="s">
        <v>95</v>
      </c>
      <c r="F386" s="13" t="s">
        <v>4</v>
      </c>
      <c r="H386" s="4">
        <v>5.0</v>
      </c>
      <c r="K386" s="13">
        <v>5.0</v>
      </c>
      <c r="L386" s="13">
        <v>100000.0</v>
      </c>
    </row>
    <row r="387">
      <c r="B387" s="11">
        <v>46106.0</v>
      </c>
      <c r="C387" s="13"/>
      <c r="D387" s="13"/>
      <c r="E387" s="4" t="s">
        <v>95</v>
      </c>
      <c r="F387" s="13" t="s">
        <v>5</v>
      </c>
      <c r="H387" s="4">
        <v>4.0</v>
      </c>
      <c r="K387" s="13">
        <v>4.0</v>
      </c>
      <c r="L387" s="13">
        <v>80000.0</v>
      </c>
    </row>
    <row r="388">
      <c r="B388" s="11">
        <v>46106.0</v>
      </c>
      <c r="C388" s="13"/>
      <c r="D388" s="13"/>
      <c r="E388" s="4" t="s">
        <v>95</v>
      </c>
      <c r="F388" s="13" t="s">
        <v>6</v>
      </c>
      <c r="K388" s="13">
        <v>0.0</v>
      </c>
      <c r="L388" s="13">
        <v>0.0</v>
      </c>
    </row>
    <row r="389">
      <c r="B389" s="11">
        <v>46106.0</v>
      </c>
      <c r="C389" s="13"/>
      <c r="D389" s="13"/>
      <c r="E389" s="4" t="s">
        <v>95</v>
      </c>
      <c r="F389" s="13" t="s">
        <v>7</v>
      </c>
      <c r="H389" s="4">
        <v>3.0</v>
      </c>
      <c r="K389" s="13">
        <v>3.0</v>
      </c>
      <c r="L389" s="13">
        <v>60000.0</v>
      </c>
    </row>
    <row r="390">
      <c r="B390" s="11">
        <v>46106.0</v>
      </c>
      <c r="C390" s="13"/>
      <c r="D390" s="13"/>
      <c r="E390" s="4" t="s">
        <v>95</v>
      </c>
      <c r="F390" s="13" t="s">
        <v>8</v>
      </c>
      <c r="H390" s="4">
        <v>2.0</v>
      </c>
      <c r="K390" s="13">
        <v>2.0</v>
      </c>
      <c r="L390" s="13">
        <v>40000.0</v>
      </c>
    </row>
    <row r="391">
      <c r="B391" s="11">
        <v>46106.0</v>
      </c>
      <c r="C391" s="13"/>
      <c r="D391" s="13"/>
      <c r="E391" s="4" t="s">
        <v>95</v>
      </c>
      <c r="F391" s="13" t="s">
        <v>9</v>
      </c>
      <c r="H391" s="4">
        <v>4.0</v>
      </c>
      <c r="K391" s="13">
        <v>4.0</v>
      </c>
      <c r="L391" s="13">
        <v>80000.0</v>
      </c>
    </row>
    <row r="392">
      <c r="B392" s="11">
        <v>46106.0</v>
      </c>
      <c r="C392" s="13"/>
      <c r="D392" s="13"/>
      <c r="E392" s="4" t="s">
        <v>95</v>
      </c>
      <c r="F392" s="13" t="s">
        <v>10</v>
      </c>
      <c r="K392" s="13">
        <v>0.0</v>
      </c>
      <c r="L392" s="13">
        <v>0.0</v>
      </c>
    </row>
    <row r="393">
      <c r="B393" s="11">
        <v>46106.0</v>
      </c>
      <c r="C393" s="13"/>
      <c r="D393" s="13"/>
      <c r="E393" s="4" t="s">
        <v>95</v>
      </c>
      <c r="F393" s="13" t="s">
        <v>11</v>
      </c>
      <c r="K393" s="13">
        <v>0.0</v>
      </c>
      <c r="L393" s="13">
        <v>0.0</v>
      </c>
    </row>
    <row r="394">
      <c r="B394" s="11">
        <v>46106.0</v>
      </c>
      <c r="C394" s="13"/>
      <c r="D394" s="13"/>
      <c r="E394" s="4" t="s">
        <v>95</v>
      </c>
      <c r="F394" s="13" t="s">
        <v>12</v>
      </c>
      <c r="K394" s="13">
        <v>0.0</v>
      </c>
      <c r="L394" s="13">
        <v>0.0</v>
      </c>
    </row>
    <row r="395">
      <c r="B395" s="11">
        <v>46106.0</v>
      </c>
      <c r="C395" s="13"/>
      <c r="D395" s="13"/>
      <c r="E395" s="4" t="s">
        <v>95</v>
      </c>
      <c r="F395" s="13" t="s">
        <v>13</v>
      </c>
      <c r="H395" s="4">
        <v>4.0</v>
      </c>
      <c r="K395" s="13">
        <v>4.0</v>
      </c>
      <c r="L395" s="13">
        <v>80000.0</v>
      </c>
    </row>
    <row r="396">
      <c r="B396" s="11">
        <v>46106.0</v>
      </c>
      <c r="C396" s="13"/>
      <c r="D396" s="13"/>
      <c r="E396" s="4" t="s">
        <v>95</v>
      </c>
      <c r="F396" s="13" t="s">
        <v>14</v>
      </c>
      <c r="K396" s="13">
        <v>0.0</v>
      </c>
      <c r="L396" s="13">
        <v>0.0</v>
      </c>
    </row>
    <row r="397">
      <c r="B397" s="11">
        <v>46106.0</v>
      </c>
      <c r="C397" s="4" t="s">
        <v>114</v>
      </c>
      <c r="D397" s="4" t="s">
        <v>93</v>
      </c>
      <c r="E397" s="4" t="s">
        <v>95</v>
      </c>
      <c r="F397" s="13" t="s">
        <v>15</v>
      </c>
      <c r="H397" s="4">
        <v>20.0</v>
      </c>
      <c r="K397" s="13">
        <v>20.0</v>
      </c>
      <c r="L397" s="13">
        <v>400000.0</v>
      </c>
    </row>
    <row r="398">
      <c r="B398" s="11">
        <v>46106.0</v>
      </c>
      <c r="C398" s="4" t="s">
        <v>113</v>
      </c>
      <c r="D398" s="4" t="s">
        <v>80</v>
      </c>
      <c r="E398" s="4" t="s">
        <v>57</v>
      </c>
      <c r="F398" s="13" t="s">
        <v>4</v>
      </c>
      <c r="H398" s="4">
        <v>5.0</v>
      </c>
      <c r="I398" s="4">
        <v>5.0</v>
      </c>
      <c r="K398" s="13">
        <v>0.0</v>
      </c>
      <c r="L398" s="13">
        <v>0.0</v>
      </c>
    </row>
    <row r="399">
      <c r="B399" s="11">
        <v>46106.0</v>
      </c>
      <c r="C399" s="4" t="s">
        <v>113</v>
      </c>
      <c r="D399" s="4" t="s">
        <v>80</v>
      </c>
      <c r="E399" s="4" t="s">
        <v>85</v>
      </c>
      <c r="F399" s="13" t="s">
        <v>5</v>
      </c>
      <c r="H399" s="4">
        <v>4.0</v>
      </c>
      <c r="I399" s="4">
        <v>1.0</v>
      </c>
      <c r="K399" s="13">
        <v>3.0</v>
      </c>
      <c r="L399" s="13">
        <v>60000.0</v>
      </c>
    </row>
    <row r="400">
      <c r="B400" s="11">
        <v>46106.0</v>
      </c>
      <c r="C400" s="13"/>
      <c r="D400" s="13"/>
      <c r="E400" s="4" t="s">
        <v>85</v>
      </c>
      <c r="F400" s="13" t="s">
        <v>6</v>
      </c>
      <c r="H400" s="4">
        <v>4.0</v>
      </c>
      <c r="I400" s="4">
        <v>2.0</v>
      </c>
      <c r="K400" s="13">
        <v>2.0</v>
      </c>
      <c r="L400" s="13">
        <v>40000.0</v>
      </c>
    </row>
    <row r="401">
      <c r="B401" s="11">
        <v>46106.0</v>
      </c>
      <c r="C401" s="13"/>
      <c r="D401" s="13"/>
      <c r="E401" s="4" t="s">
        <v>85</v>
      </c>
      <c r="F401" s="13" t="s">
        <v>7</v>
      </c>
      <c r="H401" s="4">
        <v>3.0</v>
      </c>
      <c r="I401" s="4">
        <v>3.0</v>
      </c>
      <c r="K401" s="13">
        <v>0.0</v>
      </c>
      <c r="L401" s="13">
        <v>0.0</v>
      </c>
    </row>
    <row r="402">
      <c r="B402" s="11">
        <v>46106.0</v>
      </c>
      <c r="C402" s="13"/>
      <c r="D402" s="13"/>
      <c r="E402" s="4" t="s">
        <v>85</v>
      </c>
      <c r="F402" s="13" t="s">
        <v>8</v>
      </c>
      <c r="H402" s="4">
        <v>5.0</v>
      </c>
      <c r="K402" s="13">
        <v>5.0</v>
      </c>
      <c r="L402" s="13">
        <v>100000.0</v>
      </c>
    </row>
    <row r="403">
      <c r="B403" s="11">
        <v>46106.0</v>
      </c>
      <c r="C403" s="13"/>
      <c r="D403" s="13"/>
      <c r="E403" s="4" t="s">
        <v>85</v>
      </c>
      <c r="F403" s="13" t="s">
        <v>9</v>
      </c>
      <c r="H403" s="4">
        <v>5.0</v>
      </c>
      <c r="I403" s="4">
        <v>1.0</v>
      </c>
      <c r="K403" s="13">
        <v>4.0</v>
      </c>
      <c r="L403" s="13">
        <v>80000.0</v>
      </c>
    </row>
    <row r="404">
      <c r="B404" s="11">
        <v>46106.0</v>
      </c>
      <c r="C404" s="13"/>
      <c r="D404" s="13"/>
      <c r="E404" s="4" t="s">
        <v>85</v>
      </c>
      <c r="F404" s="13" t="s">
        <v>10</v>
      </c>
      <c r="H404" s="4">
        <v>4.0</v>
      </c>
      <c r="I404" s="4">
        <v>4.0</v>
      </c>
      <c r="K404" s="13">
        <v>0.0</v>
      </c>
      <c r="L404" s="13">
        <v>0.0</v>
      </c>
    </row>
    <row r="405">
      <c r="B405" s="11">
        <v>46106.0</v>
      </c>
      <c r="C405" s="13"/>
      <c r="D405" s="13"/>
      <c r="E405" s="4" t="s">
        <v>57</v>
      </c>
      <c r="F405" s="13" t="s">
        <v>11</v>
      </c>
      <c r="H405" s="4">
        <v>2.0</v>
      </c>
      <c r="I405" s="4">
        <v>1.0</v>
      </c>
      <c r="K405" s="13">
        <v>1.0</v>
      </c>
      <c r="L405" s="13">
        <v>20000.0</v>
      </c>
    </row>
    <row r="406">
      <c r="B406" s="11">
        <v>46106.0</v>
      </c>
      <c r="C406" s="13"/>
      <c r="D406" s="13"/>
      <c r="E406" s="4" t="s">
        <v>57</v>
      </c>
      <c r="F406" s="13" t="s">
        <v>12</v>
      </c>
      <c r="H406" s="4">
        <v>2.0</v>
      </c>
      <c r="K406" s="13">
        <v>2.0</v>
      </c>
      <c r="L406" s="13">
        <v>40000.0</v>
      </c>
    </row>
    <row r="407">
      <c r="B407" s="11">
        <v>46106.0</v>
      </c>
      <c r="C407" s="4" t="s">
        <v>113</v>
      </c>
      <c r="D407" s="13"/>
      <c r="E407" s="4" t="s">
        <v>57</v>
      </c>
      <c r="F407" s="13" t="s">
        <v>13</v>
      </c>
      <c r="H407" s="4">
        <v>1.0</v>
      </c>
      <c r="K407" s="13">
        <v>1.0</v>
      </c>
      <c r="L407" s="13">
        <v>20000.0</v>
      </c>
    </row>
    <row r="408">
      <c r="B408" s="11">
        <v>46106.0</v>
      </c>
      <c r="C408" s="4" t="s">
        <v>113</v>
      </c>
      <c r="D408" s="4" t="s">
        <v>80</v>
      </c>
      <c r="E408" s="4" t="s">
        <v>57</v>
      </c>
      <c r="F408" s="13" t="s">
        <v>14</v>
      </c>
      <c r="H408" s="4">
        <v>3.0</v>
      </c>
      <c r="I408" s="4">
        <v>1.0</v>
      </c>
      <c r="K408" s="13">
        <v>2.0</v>
      </c>
      <c r="L408" s="13">
        <v>44000.0</v>
      </c>
    </row>
    <row r="409">
      <c r="B409" s="11">
        <v>46106.0</v>
      </c>
      <c r="C409" s="4" t="s">
        <v>113</v>
      </c>
      <c r="D409" s="4" t="s">
        <v>80</v>
      </c>
      <c r="E409" s="4" t="s">
        <v>57</v>
      </c>
      <c r="F409" s="13" t="s">
        <v>15</v>
      </c>
      <c r="H409" s="4">
        <v>30.0</v>
      </c>
      <c r="I409" s="4">
        <v>8.0</v>
      </c>
      <c r="K409" s="13">
        <v>22.0</v>
      </c>
      <c r="L409" s="13">
        <v>440000.0</v>
      </c>
    </row>
    <row r="410">
      <c r="B410" s="11">
        <v>46106.0</v>
      </c>
      <c r="C410" s="4" t="s">
        <v>114</v>
      </c>
      <c r="D410" s="4" t="s">
        <v>80</v>
      </c>
      <c r="E410" s="4" t="s">
        <v>82</v>
      </c>
      <c r="F410" s="13" t="s">
        <v>4</v>
      </c>
      <c r="G410" s="13">
        <f t="shared" ref="G410:G469" si="11">I398</f>
        <v>5</v>
      </c>
      <c r="K410" s="13">
        <v>5.0</v>
      </c>
      <c r="L410" s="13">
        <v>100000.0</v>
      </c>
    </row>
    <row r="411">
      <c r="B411" s="11">
        <v>46106.0</v>
      </c>
      <c r="C411" s="4" t="s">
        <v>114</v>
      </c>
      <c r="D411" s="4" t="s">
        <v>80</v>
      </c>
      <c r="E411" s="4" t="s">
        <v>82</v>
      </c>
      <c r="F411" s="13" t="s">
        <v>5</v>
      </c>
      <c r="G411" s="13">
        <f t="shared" si="11"/>
        <v>1</v>
      </c>
      <c r="K411" s="13">
        <v>1.0</v>
      </c>
      <c r="L411" s="13">
        <v>20000.0</v>
      </c>
    </row>
    <row r="412">
      <c r="B412" s="11">
        <v>46106.0</v>
      </c>
      <c r="C412" s="4" t="s">
        <v>114</v>
      </c>
      <c r="D412" s="4" t="s">
        <v>80</v>
      </c>
      <c r="E412" s="4" t="s">
        <v>82</v>
      </c>
      <c r="F412" s="13" t="s">
        <v>6</v>
      </c>
      <c r="G412" s="13">
        <f t="shared" si="11"/>
        <v>2</v>
      </c>
      <c r="I412" s="4">
        <v>1.0</v>
      </c>
      <c r="K412" s="13">
        <v>1.0</v>
      </c>
      <c r="L412" s="13">
        <v>20000.0</v>
      </c>
    </row>
    <row r="413">
      <c r="B413" s="11">
        <v>46106.0</v>
      </c>
      <c r="C413" s="4" t="s">
        <v>114</v>
      </c>
      <c r="D413" s="4" t="s">
        <v>80</v>
      </c>
      <c r="E413" s="4" t="s">
        <v>82</v>
      </c>
      <c r="F413" s="13" t="s">
        <v>7</v>
      </c>
      <c r="G413" s="13">
        <f t="shared" si="11"/>
        <v>3</v>
      </c>
      <c r="I413" s="4">
        <v>1.0</v>
      </c>
      <c r="K413" s="13">
        <v>2.0</v>
      </c>
      <c r="L413" s="13">
        <v>40000.0</v>
      </c>
    </row>
    <row r="414">
      <c r="B414" s="11">
        <v>46106.0</v>
      </c>
      <c r="C414" s="4" t="s">
        <v>114</v>
      </c>
      <c r="D414" s="4" t="s">
        <v>80</v>
      </c>
      <c r="E414" s="4" t="s">
        <v>82</v>
      </c>
      <c r="F414" s="13" t="s">
        <v>8</v>
      </c>
      <c r="G414" s="13" t="str">
        <f t="shared" si="11"/>
        <v/>
      </c>
      <c r="H414" s="4">
        <v>2.0</v>
      </c>
      <c r="K414" s="13">
        <v>2.0</v>
      </c>
      <c r="L414" s="13">
        <v>40000.0</v>
      </c>
    </row>
    <row r="415">
      <c r="B415" s="11">
        <v>46106.0</v>
      </c>
      <c r="C415" s="4" t="s">
        <v>114</v>
      </c>
      <c r="D415" s="4" t="s">
        <v>80</v>
      </c>
      <c r="E415" s="4" t="s">
        <v>82</v>
      </c>
      <c r="F415" s="13" t="s">
        <v>9</v>
      </c>
      <c r="G415" s="13">
        <f t="shared" si="11"/>
        <v>1</v>
      </c>
      <c r="K415" s="13">
        <v>1.0</v>
      </c>
      <c r="L415" s="13">
        <v>20000.0</v>
      </c>
    </row>
    <row r="416">
      <c r="B416" s="11">
        <v>46106.0</v>
      </c>
      <c r="C416" s="4" t="s">
        <v>114</v>
      </c>
      <c r="D416" s="4" t="s">
        <v>80</v>
      </c>
      <c r="E416" s="4" t="s">
        <v>82</v>
      </c>
      <c r="F416" s="13" t="s">
        <v>10</v>
      </c>
      <c r="G416" s="13">
        <f t="shared" si="11"/>
        <v>4</v>
      </c>
      <c r="K416" s="13">
        <v>4.0</v>
      </c>
      <c r="L416" s="13">
        <v>80000.0</v>
      </c>
    </row>
    <row r="417">
      <c r="B417" s="11">
        <v>46106.0</v>
      </c>
      <c r="C417" s="4" t="s">
        <v>114</v>
      </c>
      <c r="D417" s="4" t="s">
        <v>80</v>
      </c>
      <c r="E417" s="4" t="s">
        <v>82</v>
      </c>
      <c r="F417" s="13" t="s">
        <v>11</v>
      </c>
      <c r="G417" s="13">
        <f t="shared" si="11"/>
        <v>1</v>
      </c>
      <c r="K417" s="13">
        <v>1.0</v>
      </c>
      <c r="L417" s="13">
        <v>20000.0</v>
      </c>
    </row>
    <row r="418">
      <c r="B418" s="11">
        <v>46106.0</v>
      </c>
      <c r="C418" s="4" t="s">
        <v>114</v>
      </c>
      <c r="D418" s="4" t="s">
        <v>80</v>
      </c>
      <c r="E418" s="4" t="s">
        <v>82</v>
      </c>
      <c r="F418" s="13" t="s">
        <v>12</v>
      </c>
      <c r="G418" s="13" t="str">
        <f t="shared" si="11"/>
        <v/>
      </c>
      <c r="K418" s="13">
        <v>0.0</v>
      </c>
      <c r="L418" s="13">
        <v>0.0</v>
      </c>
    </row>
    <row r="419">
      <c r="B419" s="11">
        <v>46106.0</v>
      </c>
      <c r="C419" s="4" t="s">
        <v>114</v>
      </c>
      <c r="D419" s="4" t="s">
        <v>80</v>
      </c>
      <c r="E419" s="4" t="s">
        <v>82</v>
      </c>
      <c r="F419" s="13" t="s">
        <v>13</v>
      </c>
      <c r="G419" s="13" t="str">
        <f t="shared" si="11"/>
        <v/>
      </c>
      <c r="K419" s="13">
        <v>0.0</v>
      </c>
      <c r="L419" s="13">
        <v>0.0</v>
      </c>
    </row>
    <row r="420">
      <c r="B420" s="11">
        <v>46106.0</v>
      </c>
      <c r="C420" s="4" t="s">
        <v>114</v>
      </c>
      <c r="D420" s="4" t="s">
        <v>80</v>
      </c>
      <c r="E420" s="4" t="s">
        <v>82</v>
      </c>
      <c r="F420" s="13" t="s">
        <v>14</v>
      </c>
      <c r="G420" s="13">
        <f t="shared" si="11"/>
        <v>1</v>
      </c>
      <c r="K420" s="13">
        <v>1.0</v>
      </c>
      <c r="L420" s="13">
        <v>22000.0</v>
      </c>
    </row>
    <row r="421">
      <c r="B421" s="11">
        <v>46106.0</v>
      </c>
      <c r="C421" s="4" t="s">
        <v>114</v>
      </c>
      <c r="D421" s="4" t="s">
        <v>80</v>
      </c>
      <c r="E421" s="4" t="s">
        <v>82</v>
      </c>
      <c r="F421" s="13" t="s">
        <v>15</v>
      </c>
      <c r="G421" s="13">
        <f t="shared" si="11"/>
        <v>8</v>
      </c>
      <c r="H421" s="4">
        <v>12.0</v>
      </c>
      <c r="I421" s="4">
        <v>3.0</v>
      </c>
      <c r="K421" s="13">
        <v>17.0</v>
      </c>
      <c r="L421" s="13">
        <v>340000.0</v>
      </c>
    </row>
    <row r="422">
      <c r="A422" s="13"/>
      <c r="B422" s="11">
        <v>46106.0</v>
      </c>
      <c r="C422" s="4" t="s">
        <v>113</v>
      </c>
      <c r="D422" s="4" t="s">
        <v>302</v>
      </c>
      <c r="E422" s="4" t="s">
        <v>299</v>
      </c>
      <c r="F422" s="13" t="s">
        <v>4</v>
      </c>
      <c r="G422" s="13" t="str">
        <f t="shared" si="11"/>
        <v/>
      </c>
      <c r="H422" s="13"/>
      <c r="I422" s="13"/>
      <c r="J422" s="13"/>
      <c r="K422" s="13">
        <v>0.0</v>
      </c>
      <c r="L422" s="13">
        <v>0.0</v>
      </c>
      <c r="M422" s="13"/>
      <c r="N422" s="13"/>
      <c r="O422" s="13"/>
      <c r="P422" s="13"/>
      <c r="Q422" s="13"/>
      <c r="R422" s="13"/>
      <c r="S422" s="13"/>
      <c r="T422" s="13"/>
      <c r="U422" s="13"/>
      <c r="V422" s="13"/>
      <c r="W422" s="13"/>
      <c r="X422" s="13"/>
      <c r="Y422" s="13"/>
      <c r="Z422" s="13"/>
      <c r="AA422" s="13"/>
      <c r="AB422" s="13"/>
      <c r="AC422" s="13"/>
    </row>
    <row r="423">
      <c r="B423" s="11">
        <v>46106.0</v>
      </c>
      <c r="C423" s="13"/>
      <c r="D423" s="13"/>
      <c r="E423" s="13"/>
      <c r="F423" s="13" t="s">
        <v>5</v>
      </c>
      <c r="G423" s="13" t="str">
        <f t="shared" si="11"/>
        <v/>
      </c>
      <c r="K423" s="13">
        <v>0.0</v>
      </c>
      <c r="L423" s="13">
        <v>0.0</v>
      </c>
    </row>
    <row r="424">
      <c r="B424" s="11">
        <v>46106.0</v>
      </c>
      <c r="C424" s="13"/>
      <c r="D424" s="13"/>
      <c r="E424" s="13"/>
      <c r="F424" s="13" t="s">
        <v>6</v>
      </c>
      <c r="G424" s="13">
        <f t="shared" si="11"/>
        <v>1</v>
      </c>
      <c r="K424" s="13">
        <v>1.0</v>
      </c>
      <c r="L424" s="13">
        <v>20000.0</v>
      </c>
    </row>
    <row r="425">
      <c r="B425" s="11">
        <v>46106.0</v>
      </c>
      <c r="C425" s="13"/>
      <c r="D425" s="13"/>
      <c r="E425" s="13"/>
      <c r="F425" s="13" t="s">
        <v>7</v>
      </c>
      <c r="G425" s="13">
        <f t="shared" si="11"/>
        <v>1</v>
      </c>
      <c r="K425" s="13">
        <v>1.0</v>
      </c>
      <c r="L425" s="13">
        <v>20000.0</v>
      </c>
    </row>
    <row r="426">
      <c r="B426" s="11">
        <v>46106.0</v>
      </c>
      <c r="C426" s="13"/>
      <c r="D426" s="13"/>
      <c r="E426" s="13"/>
      <c r="F426" s="13" t="s">
        <v>8</v>
      </c>
      <c r="G426" s="13" t="str">
        <f t="shared" si="11"/>
        <v/>
      </c>
      <c r="K426" s="13">
        <v>0.0</v>
      </c>
      <c r="L426" s="13">
        <v>0.0</v>
      </c>
    </row>
    <row r="427">
      <c r="B427" s="11">
        <v>46106.0</v>
      </c>
      <c r="C427" s="13"/>
      <c r="D427" s="13"/>
      <c r="E427" s="13"/>
      <c r="F427" s="13" t="s">
        <v>9</v>
      </c>
      <c r="G427" s="13" t="str">
        <f t="shared" si="11"/>
        <v/>
      </c>
      <c r="K427" s="13">
        <v>0.0</v>
      </c>
      <c r="L427" s="13">
        <v>0.0</v>
      </c>
    </row>
    <row r="428">
      <c r="B428" s="11">
        <v>46106.0</v>
      </c>
      <c r="C428" s="13"/>
      <c r="D428" s="13"/>
      <c r="E428" s="13"/>
      <c r="F428" s="13" t="s">
        <v>10</v>
      </c>
      <c r="G428" s="13" t="str">
        <f t="shared" si="11"/>
        <v/>
      </c>
      <c r="K428" s="13">
        <v>0.0</v>
      </c>
      <c r="L428" s="13">
        <v>0.0</v>
      </c>
    </row>
    <row r="429">
      <c r="B429" s="11">
        <v>46106.0</v>
      </c>
      <c r="C429" s="13"/>
      <c r="D429" s="13"/>
      <c r="E429" s="13"/>
      <c r="F429" s="13" t="s">
        <v>11</v>
      </c>
      <c r="G429" s="13" t="str">
        <f t="shared" si="11"/>
        <v/>
      </c>
      <c r="K429" s="13">
        <v>0.0</v>
      </c>
      <c r="L429" s="13">
        <v>0.0</v>
      </c>
    </row>
    <row r="430">
      <c r="B430" s="11">
        <v>46106.0</v>
      </c>
      <c r="C430" s="13"/>
      <c r="D430" s="13"/>
      <c r="E430" s="13"/>
      <c r="F430" s="13" t="s">
        <v>12</v>
      </c>
      <c r="G430" s="13" t="str">
        <f t="shared" si="11"/>
        <v/>
      </c>
      <c r="K430" s="13">
        <v>0.0</v>
      </c>
      <c r="L430" s="13">
        <v>0.0</v>
      </c>
    </row>
    <row r="431">
      <c r="B431" s="11">
        <v>46106.0</v>
      </c>
      <c r="C431" s="13"/>
      <c r="D431" s="13"/>
      <c r="E431" s="13"/>
      <c r="F431" s="13" t="s">
        <v>13</v>
      </c>
      <c r="G431" s="13" t="str">
        <f t="shared" si="11"/>
        <v/>
      </c>
      <c r="K431" s="13">
        <v>0.0</v>
      </c>
      <c r="L431" s="13">
        <v>0.0</v>
      </c>
    </row>
    <row r="432">
      <c r="B432" s="11">
        <v>46106.0</v>
      </c>
      <c r="C432" s="13"/>
      <c r="D432" s="13"/>
      <c r="E432" s="13"/>
      <c r="F432" s="13" t="s">
        <v>14</v>
      </c>
      <c r="G432" s="13" t="str">
        <f t="shared" si="11"/>
        <v/>
      </c>
      <c r="K432" s="13">
        <v>0.0</v>
      </c>
      <c r="L432" s="13">
        <v>0.0</v>
      </c>
    </row>
    <row r="433">
      <c r="B433" s="11">
        <v>46106.0</v>
      </c>
      <c r="C433" s="4" t="s">
        <v>113</v>
      </c>
      <c r="D433" s="4" t="s">
        <v>302</v>
      </c>
      <c r="E433" s="4" t="s">
        <v>56</v>
      </c>
      <c r="F433" s="13" t="s">
        <v>15</v>
      </c>
      <c r="G433" s="13">
        <f t="shared" si="11"/>
        <v>3</v>
      </c>
      <c r="K433" s="13">
        <v>3.0</v>
      </c>
      <c r="L433" s="13">
        <v>60000.0</v>
      </c>
    </row>
    <row r="434">
      <c r="B434" s="11">
        <v>46106.0</v>
      </c>
      <c r="C434" s="4" t="s">
        <v>114</v>
      </c>
      <c r="D434" s="4" t="s">
        <v>302</v>
      </c>
      <c r="E434" s="4" t="s">
        <v>62</v>
      </c>
      <c r="F434" s="13" t="s">
        <v>4</v>
      </c>
      <c r="G434" s="13" t="str">
        <f t="shared" si="11"/>
        <v/>
      </c>
      <c r="H434" s="4">
        <v>5.0</v>
      </c>
      <c r="I434" s="4">
        <v>5.0</v>
      </c>
      <c r="K434" s="13">
        <v>0.0</v>
      </c>
      <c r="L434" s="13">
        <v>0.0</v>
      </c>
    </row>
    <row r="435">
      <c r="B435" s="11">
        <v>46106.0</v>
      </c>
      <c r="C435" s="13"/>
      <c r="D435" s="13"/>
      <c r="E435" s="13"/>
      <c r="F435" s="13" t="s">
        <v>5</v>
      </c>
      <c r="G435" s="13" t="str">
        <f t="shared" si="11"/>
        <v/>
      </c>
      <c r="H435" s="4">
        <v>3.0</v>
      </c>
      <c r="I435" s="4">
        <v>2.0</v>
      </c>
      <c r="K435" s="13">
        <v>1.0</v>
      </c>
      <c r="L435" s="13">
        <v>20000.0</v>
      </c>
    </row>
    <row r="436">
      <c r="B436" s="11">
        <v>46106.0</v>
      </c>
      <c r="C436" s="13"/>
      <c r="D436" s="13"/>
      <c r="E436" s="13"/>
      <c r="F436" s="13" t="s">
        <v>6</v>
      </c>
      <c r="G436" s="13" t="str">
        <f t="shared" si="11"/>
        <v/>
      </c>
      <c r="H436" s="4">
        <v>3.0</v>
      </c>
      <c r="I436" s="4">
        <v>2.0</v>
      </c>
      <c r="K436" s="13">
        <v>1.0</v>
      </c>
      <c r="L436" s="13">
        <v>20000.0</v>
      </c>
    </row>
    <row r="437">
      <c r="B437" s="11">
        <v>46106.0</v>
      </c>
      <c r="C437" s="13"/>
      <c r="D437" s="13"/>
      <c r="E437" s="13"/>
      <c r="F437" s="13" t="s">
        <v>7</v>
      </c>
      <c r="G437" s="13" t="str">
        <f t="shared" si="11"/>
        <v/>
      </c>
      <c r="H437" s="4">
        <v>3.0</v>
      </c>
      <c r="I437" s="4">
        <v>3.0</v>
      </c>
      <c r="K437" s="13">
        <v>0.0</v>
      </c>
      <c r="L437" s="13">
        <v>0.0</v>
      </c>
    </row>
    <row r="438">
      <c r="B438" s="11">
        <v>46106.0</v>
      </c>
      <c r="C438" s="13"/>
      <c r="D438" s="13"/>
      <c r="E438" s="13"/>
      <c r="F438" s="13" t="s">
        <v>8</v>
      </c>
      <c r="G438" s="13" t="str">
        <f t="shared" si="11"/>
        <v/>
      </c>
      <c r="H438" s="4">
        <v>1.0</v>
      </c>
      <c r="K438" s="13">
        <v>1.0</v>
      </c>
      <c r="L438" s="13">
        <v>20000.0</v>
      </c>
    </row>
    <row r="439">
      <c r="B439" s="11">
        <v>46106.0</v>
      </c>
      <c r="C439" s="13"/>
      <c r="D439" s="13"/>
      <c r="E439" s="13"/>
      <c r="F439" s="13" t="s">
        <v>9</v>
      </c>
      <c r="G439" s="13" t="str">
        <f t="shared" si="11"/>
        <v/>
      </c>
      <c r="K439" s="13">
        <v>0.0</v>
      </c>
      <c r="L439" s="13">
        <v>0.0</v>
      </c>
    </row>
    <row r="440">
      <c r="B440" s="11">
        <v>46106.0</v>
      </c>
      <c r="C440" s="13"/>
      <c r="D440" s="13"/>
      <c r="E440" s="13"/>
      <c r="F440" s="13" t="s">
        <v>10</v>
      </c>
      <c r="G440" s="13" t="str">
        <f t="shared" si="11"/>
        <v/>
      </c>
      <c r="H440" s="4">
        <v>1.0</v>
      </c>
      <c r="K440" s="13">
        <v>1.0</v>
      </c>
      <c r="L440" s="13">
        <v>20000.0</v>
      </c>
    </row>
    <row r="441">
      <c r="B441" s="11">
        <v>46106.0</v>
      </c>
      <c r="C441" s="13"/>
      <c r="D441" s="13"/>
      <c r="E441" s="13"/>
      <c r="F441" s="13" t="s">
        <v>11</v>
      </c>
      <c r="G441" s="13" t="str">
        <f t="shared" si="11"/>
        <v/>
      </c>
      <c r="K441" s="13">
        <v>0.0</v>
      </c>
      <c r="L441" s="13">
        <v>0.0</v>
      </c>
    </row>
    <row r="442">
      <c r="B442" s="11">
        <v>46106.0</v>
      </c>
      <c r="C442" s="13"/>
      <c r="D442" s="13"/>
      <c r="E442" s="13"/>
      <c r="F442" s="13" t="s">
        <v>12</v>
      </c>
      <c r="G442" s="13" t="str">
        <f t="shared" si="11"/>
        <v/>
      </c>
      <c r="K442" s="13">
        <v>0.0</v>
      </c>
      <c r="L442" s="13">
        <v>0.0</v>
      </c>
    </row>
    <row r="443">
      <c r="B443" s="11">
        <v>46106.0</v>
      </c>
      <c r="C443" s="13"/>
      <c r="D443" s="13"/>
      <c r="E443" s="13"/>
      <c r="F443" s="13" t="s">
        <v>13</v>
      </c>
      <c r="G443" s="13" t="str">
        <f t="shared" si="11"/>
        <v/>
      </c>
      <c r="H443" s="4">
        <v>3.0</v>
      </c>
      <c r="I443" s="4">
        <v>3.0</v>
      </c>
      <c r="K443" s="13">
        <v>0.0</v>
      </c>
      <c r="L443" s="13">
        <v>0.0</v>
      </c>
    </row>
    <row r="444">
      <c r="B444" s="11">
        <v>46106.0</v>
      </c>
      <c r="C444" s="4" t="s">
        <v>114</v>
      </c>
      <c r="D444" s="4" t="s">
        <v>302</v>
      </c>
      <c r="E444" s="4" t="s">
        <v>62</v>
      </c>
      <c r="F444" s="13" t="s">
        <v>14</v>
      </c>
      <c r="G444" s="13" t="str">
        <f t="shared" si="11"/>
        <v/>
      </c>
      <c r="K444" s="13">
        <v>0.0</v>
      </c>
      <c r="L444" s="13">
        <v>0.0</v>
      </c>
    </row>
    <row r="445">
      <c r="B445" s="11">
        <v>46106.0</v>
      </c>
      <c r="C445" s="4" t="s">
        <v>114</v>
      </c>
      <c r="D445" s="4" t="s">
        <v>302</v>
      </c>
      <c r="E445" s="4" t="s">
        <v>62</v>
      </c>
      <c r="F445" s="13" t="s">
        <v>15</v>
      </c>
      <c r="G445" s="13" t="str">
        <f t="shared" si="11"/>
        <v/>
      </c>
      <c r="H445" s="4">
        <v>10.0</v>
      </c>
      <c r="I445" s="4">
        <v>6.0</v>
      </c>
      <c r="K445" s="13">
        <v>4.0</v>
      </c>
      <c r="L445" s="13">
        <v>80000.0</v>
      </c>
    </row>
    <row r="446">
      <c r="A446" s="13"/>
      <c r="B446" s="11">
        <v>46106.0</v>
      </c>
      <c r="C446" s="4" t="s">
        <v>113</v>
      </c>
      <c r="D446" s="4" t="s">
        <v>304</v>
      </c>
      <c r="E446" s="4" t="s">
        <v>299</v>
      </c>
      <c r="F446" s="13" t="s">
        <v>4</v>
      </c>
      <c r="G446" s="13">
        <f t="shared" si="11"/>
        <v>5</v>
      </c>
      <c r="H446" s="13"/>
      <c r="I446" s="13"/>
      <c r="J446" s="13"/>
      <c r="K446" s="13">
        <v>0.0</v>
      </c>
      <c r="L446" s="13">
        <v>0.0</v>
      </c>
      <c r="M446" s="13"/>
      <c r="N446" s="13"/>
      <c r="O446" s="13"/>
      <c r="P446" s="13"/>
      <c r="Q446" s="13"/>
      <c r="R446" s="13"/>
      <c r="S446" s="13"/>
      <c r="T446" s="13"/>
      <c r="U446" s="13"/>
      <c r="V446" s="13"/>
      <c r="W446" s="13"/>
      <c r="X446" s="13"/>
      <c r="Y446" s="13"/>
      <c r="Z446" s="13"/>
      <c r="AA446" s="13"/>
      <c r="AB446" s="13"/>
      <c r="AC446" s="13"/>
    </row>
    <row r="447">
      <c r="A447" s="13"/>
      <c r="B447" s="11">
        <v>46106.0</v>
      </c>
      <c r="C447" s="13"/>
      <c r="D447" s="13"/>
      <c r="E447" s="4" t="s">
        <v>299</v>
      </c>
      <c r="F447" s="13" t="s">
        <v>5</v>
      </c>
      <c r="G447" s="13">
        <f t="shared" si="11"/>
        <v>2</v>
      </c>
      <c r="H447" s="13"/>
      <c r="I447" s="13"/>
      <c r="J447" s="13"/>
      <c r="K447" s="13">
        <v>0.0</v>
      </c>
      <c r="L447" s="13">
        <v>0.0</v>
      </c>
      <c r="M447" s="13"/>
      <c r="N447" s="13"/>
      <c r="O447" s="13"/>
      <c r="P447" s="13"/>
      <c r="Q447" s="13"/>
      <c r="R447" s="13"/>
      <c r="S447" s="13"/>
      <c r="T447" s="13"/>
      <c r="U447" s="13"/>
      <c r="V447" s="13"/>
      <c r="W447" s="13"/>
      <c r="X447" s="13"/>
      <c r="Y447" s="13"/>
      <c r="Z447" s="13"/>
      <c r="AA447" s="13"/>
      <c r="AB447" s="13"/>
      <c r="AC447" s="13"/>
    </row>
    <row r="448">
      <c r="A448" s="13"/>
      <c r="B448" s="11">
        <v>46106.0</v>
      </c>
      <c r="C448" s="13"/>
      <c r="D448" s="13"/>
      <c r="E448" s="4" t="s">
        <v>299</v>
      </c>
      <c r="F448" s="13" t="s">
        <v>6</v>
      </c>
      <c r="G448" s="13">
        <f t="shared" si="11"/>
        <v>2</v>
      </c>
      <c r="H448" s="13"/>
      <c r="I448" s="13"/>
      <c r="J448" s="13"/>
      <c r="K448" s="13">
        <v>0.0</v>
      </c>
      <c r="L448" s="13">
        <v>0.0</v>
      </c>
      <c r="M448" s="13"/>
      <c r="N448" s="13"/>
      <c r="O448" s="13"/>
      <c r="P448" s="13"/>
      <c r="Q448" s="13"/>
      <c r="R448" s="13"/>
      <c r="S448" s="13"/>
      <c r="T448" s="13"/>
      <c r="U448" s="13"/>
      <c r="V448" s="13"/>
      <c r="W448" s="13"/>
      <c r="X448" s="13"/>
      <c r="Y448" s="13"/>
      <c r="Z448" s="13"/>
      <c r="AA448" s="13"/>
      <c r="AB448" s="13"/>
      <c r="AC448" s="13"/>
    </row>
    <row r="449">
      <c r="A449" s="13"/>
      <c r="B449" s="11">
        <v>46106.0</v>
      </c>
      <c r="C449" s="13"/>
      <c r="D449" s="13"/>
      <c r="E449" s="4" t="s">
        <v>299</v>
      </c>
      <c r="F449" s="13" t="s">
        <v>7</v>
      </c>
      <c r="G449" s="13">
        <f t="shared" si="11"/>
        <v>3</v>
      </c>
      <c r="H449" s="13"/>
      <c r="I449" s="13"/>
      <c r="J449" s="13"/>
      <c r="K449" s="13">
        <v>0.0</v>
      </c>
      <c r="L449" s="13">
        <v>0.0</v>
      </c>
      <c r="M449" s="13"/>
      <c r="N449" s="13"/>
      <c r="O449" s="13"/>
      <c r="P449" s="13"/>
      <c r="Q449" s="13"/>
      <c r="R449" s="13"/>
      <c r="S449" s="13"/>
      <c r="T449" s="13"/>
      <c r="U449" s="13"/>
      <c r="V449" s="13"/>
      <c r="W449" s="13"/>
      <c r="X449" s="13"/>
      <c r="Y449" s="13"/>
      <c r="Z449" s="13"/>
      <c r="AA449" s="13"/>
      <c r="AB449" s="13"/>
      <c r="AC449" s="13"/>
    </row>
    <row r="450">
      <c r="A450" s="13"/>
      <c r="B450" s="11">
        <v>46106.0</v>
      </c>
      <c r="C450" s="13"/>
      <c r="D450" s="13"/>
      <c r="E450" s="4" t="s">
        <v>299</v>
      </c>
      <c r="F450" s="13" t="s">
        <v>8</v>
      </c>
      <c r="G450" s="13" t="str">
        <f t="shared" si="11"/>
        <v/>
      </c>
      <c r="H450" s="13"/>
      <c r="I450" s="13"/>
      <c r="J450" s="13"/>
      <c r="K450" s="13">
        <v>0.0</v>
      </c>
      <c r="L450" s="13">
        <v>0.0</v>
      </c>
      <c r="M450" s="13"/>
      <c r="N450" s="13"/>
      <c r="O450" s="13"/>
      <c r="P450" s="13"/>
      <c r="Q450" s="13"/>
      <c r="R450" s="13"/>
      <c r="S450" s="13"/>
      <c r="T450" s="13"/>
      <c r="U450" s="13"/>
      <c r="V450" s="13"/>
      <c r="W450" s="13"/>
      <c r="X450" s="13"/>
      <c r="Y450" s="13"/>
      <c r="Z450" s="13"/>
      <c r="AA450" s="13"/>
      <c r="AB450" s="13"/>
      <c r="AC450" s="13"/>
    </row>
    <row r="451">
      <c r="A451" s="13"/>
      <c r="B451" s="11">
        <v>46106.0</v>
      </c>
      <c r="C451" s="13"/>
      <c r="D451" s="13"/>
      <c r="E451" s="4" t="s">
        <v>299</v>
      </c>
      <c r="F451" s="13" t="s">
        <v>9</v>
      </c>
      <c r="G451" s="13" t="str">
        <f t="shared" si="11"/>
        <v/>
      </c>
      <c r="H451" s="13"/>
      <c r="I451" s="13"/>
      <c r="J451" s="13"/>
      <c r="K451" s="13">
        <v>0.0</v>
      </c>
      <c r="L451" s="13">
        <v>0.0</v>
      </c>
      <c r="M451" s="13"/>
      <c r="N451" s="13"/>
      <c r="O451" s="13"/>
      <c r="P451" s="13"/>
      <c r="Q451" s="13"/>
      <c r="R451" s="13"/>
      <c r="S451" s="13"/>
      <c r="T451" s="13"/>
      <c r="U451" s="13"/>
      <c r="V451" s="13"/>
      <c r="W451" s="13"/>
      <c r="X451" s="13"/>
      <c r="Y451" s="13"/>
      <c r="Z451" s="13"/>
      <c r="AA451" s="13"/>
      <c r="AB451" s="13"/>
      <c r="AC451" s="13"/>
    </row>
    <row r="452">
      <c r="A452" s="13"/>
      <c r="B452" s="11">
        <v>46106.0</v>
      </c>
      <c r="C452" s="13"/>
      <c r="D452" s="13"/>
      <c r="E452" s="4" t="s">
        <v>299</v>
      </c>
      <c r="F452" s="13" t="s">
        <v>10</v>
      </c>
      <c r="G452" s="13" t="str">
        <f t="shared" si="11"/>
        <v/>
      </c>
      <c r="H452" s="13"/>
      <c r="I452" s="13"/>
      <c r="J452" s="13"/>
      <c r="K452" s="13">
        <v>0.0</v>
      </c>
      <c r="L452" s="13">
        <v>0.0</v>
      </c>
      <c r="M452" s="13"/>
      <c r="N452" s="13"/>
      <c r="O452" s="13"/>
      <c r="P452" s="13"/>
      <c r="Q452" s="13"/>
      <c r="R452" s="13"/>
      <c r="S452" s="13"/>
      <c r="T452" s="13"/>
      <c r="U452" s="13"/>
      <c r="V452" s="13"/>
      <c r="W452" s="13"/>
      <c r="X452" s="13"/>
      <c r="Y452" s="13"/>
      <c r="Z452" s="13"/>
      <c r="AA452" s="13"/>
      <c r="AB452" s="13"/>
      <c r="AC452" s="13"/>
    </row>
    <row r="453">
      <c r="A453" s="13"/>
      <c r="B453" s="11">
        <v>46106.0</v>
      </c>
      <c r="C453" s="13"/>
      <c r="D453" s="13"/>
      <c r="E453" s="4" t="s">
        <v>299</v>
      </c>
      <c r="F453" s="13" t="s">
        <v>11</v>
      </c>
      <c r="G453" s="13" t="str">
        <f t="shared" si="11"/>
        <v/>
      </c>
      <c r="H453" s="13"/>
      <c r="I453" s="13"/>
      <c r="J453" s="13"/>
      <c r="K453" s="13">
        <v>0.0</v>
      </c>
      <c r="L453" s="13">
        <v>0.0</v>
      </c>
      <c r="M453" s="13"/>
      <c r="N453" s="13"/>
      <c r="O453" s="13"/>
      <c r="P453" s="13"/>
      <c r="Q453" s="13"/>
      <c r="R453" s="13"/>
      <c r="S453" s="13"/>
      <c r="T453" s="13"/>
      <c r="U453" s="13"/>
      <c r="V453" s="13"/>
      <c r="W453" s="13"/>
      <c r="X453" s="13"/>
      <c r="Y453" s="13"/>
      <c r="Z453" s="13"/>
      <c r="AA453" s="13"/>
      <c r="AB453" s="13"/>
      <c r="AC453" s="13"/>
    </row>
    <row r="454">
      <c r="A454" s="13"/>
      <c r="B454" s="11">
        <v>46106.0</v>
      </c>
      <c r="C454" s="13"/>
      <c r="D454" s="13"/>
      <c r="E454" s="4" t="s">
        <v>299</v>
      </c>
      <c r="F454" s="13" t="s">
        <v>12</v>
      </c>
      <c r="G454" s="13" t="str">
        <f t="shared" si="11"/>
        <v/>
      </c>
      <c r="H454" s="13"/>
      <c r="I454" s="13"/>
      <c r="J454" s="13"/>
      <c r="K454" s="13">
        <v>0.0</v>
      </c>
      <c r="L454" s="13">
        <v>0.0</v>
      </c>
      <c r="M454" s="13"/>
      <c r="N454" s="13"/>
      <c r="O454" s="13"/>
      <c r="P454" s="13"/>
      <c r="Q454" s="13"/>
      <c r="R454" s="13"/>
      <c r="S454" s="13"/>
      <c r="T454" s="13"/>
      <c r="U454" s="13"/>
      <c r="V454" s="13"/>
      <c r="W454" s="13"/>
      <c r="X454" s="13"/>
      <c r="Y454" s="13"/>
      <c r="Z454" s="13"/>
      <c r="AA454" s="13"/>
      <c r="AB454" s="13"/>
      <c r="AC454" s="13"/>
    </row>
    <row r="455">
      <c r="A455" s="13"/>
      <c r="B455" s="11">
        <v>46106.0</v>
      </c>
      <c r="C455" s="13"/>
      <c r="D455" s="13"/>
      <c r="E455" s="4" t="s">
        <v>299</v>
      </c>
      <c r="F455" s="13" t="s">
        <v>13</v>
      </c>
      <c r="G455" s="13">
        <f t="shared" si="11"/>
        <v>3</v>
      </c>
      <c r="H455" s="13"/>
      <c r="I455" s="13"/>
      <c r="J455" s="13"/>
      <c r="K455" s="13">
        <v>0.0</v>
      </c>
      <c r="L455" s="13">
        <v>0.0</v>
      </c>
      <c r="M455" s="13"/>
      <c r="N455" s="13"/>
      <c r="O455" s="13"/>
      <c r="P455" s="13"/>
      <c r="Q455" s="13"/>
      <c r="R455" s="13"/>
      <c r="S455" s="13"/>
      <c r="T455" s="13"/>
      <c r="U455" s="13"/>
      <c r="V455" s="13"/>
      <c r="W455" s="13"/>
      <c r="X455" s="13"/>
      <c r="Y455" s="13"/>
      <c r="Z455" s="13"/>
      <c r="AA455" s="13"/>
      <c r="AB455" s="13"/>
      <c r="AC455" s="13"/>
    </row>
    <row r="456">
      <c r="A456" s="13"/>
      <c r="B456" s="11">
        <v>46106.0</v>
      </c>
      <c r="C456" s="13"/>
      <c r="D456" s="13"/>
      <c r="E456" s="4" t="s">
        <v>299</v>
      </c>
      <c r="F456" s="13" t="s">
        <v>14</v>
      </c>
      <c r="G456" s="13" t="str">
        <f t="shared" si="11"/>
        <v/>
      </c>
      <c r="H456" s="13"/>
      <c r="I456" s="13"/>
      <c r="J456" s="13"/>
      <c r="K456" s="13">
        <v>0.0</v>
      </c>
      <c r="L456" s="13">
        <v>0.0</v>
      </c>
      <c r="M456" s="13"/>
      <c r="N456" s="13"/>
      <c r="O456" s="13"/>
      <c r="P456" s="13"/>
      <c r="Q456" s="13"/>
      <c r="R456" s="13"/>
      <c r="S456" s="13"/>
      <c r="T456" s="13"/>
      <c r="U456" s="13"/>
      <c r="V456" s="13"/>
      <c r="W456" s="13"/>
      <c r="X456" s="13"/>
      <c r="Y456" s="13"/>
      <c r="Z456" s="13"/>
      <c r="AA456" s="13"/>
      <c r="AB456" s="13"/>
      <c r="AC456" s="13"/>
    </row>
    <row r="457">
      <c r="A457" s="13"/>
      <c r="B457" s="11">
        <v>46106.0</v>
      </c>
      <c r="C457" s="4" t="s">
        <v>113</v>
      </c>
      <c r="D457" s="4" t="s">
        <v>304</v>
      </c>
      <c r="E457" s="4" t="s">
        <v>299</v>
      </c>
      <c r="F457" s="13" t="s">
        <v>15</v>
      </c>
      <c r="G457" s="13">
        <f t="shared" si="11"/>
        <v>6</v>
      </c>
      <c r="H457" s="13"/>
      <c r="I457" s="13"/>
      <c r="J457" s="13"/>
      <c r="K457" s="13">
        <v>0.0</v>
      </c>
      <c r="L457" s="13">
        <v>0.0</v>
      </c>
      <c r="M457" s="13"/>
      <c r="N457" s="13"/>
      <c r="O457" s="13"/>
      <c r="P457" s="13"/>
      <c r="Q457" s="13"/>
      <c r="R457" s="13"/>
      <c r="S457" s="13"/>
      <c r="T457" s="13"/>
      <c r="U457" s="13"/>
      <c r="V457" s="13"/>
      <c r="W457" s="13"/>
      <c r="X457" s="13"/>
      <c r="Y457" s="13"/>
      <c r="Z457" s="13"/>
      <c r="AA457" s="13"/>
      <c r="AB457" s="13"/>
      <c r="AC457" s="13"/>
    </row>
    <row r="458">
      <c r="B458" s="11">
        <v>46106.0</v>
      </c>
      <c r="C458" s="4" t="s">
        <v>114</v>
      </c>
      <c r="D458" s="4" t="s">
        <v>304</v>
      </c>
      <c r="E458" s="4" t="s">
        <v>57</v>
      </c>
      <c r="F458" s="13" t="s">
        <v>4</v>
      </c>
      <c r="G458" s="13" t="str">
        <f t="shared" si="11"/>
        <v/>
      </c>
      <c r="H458" s="4">
        <v>3.0</v>
      </c>
      <c r="K458" s="13">
        <v>3.0</v>
      </c>
      <c r="L458" s="13">
        <v>60000.0</v>
      </c>
    </row>
    <row r="459">
      <c r="B459" s="11">
        <v>46106.0</v>
      </c>
      <c r="C459" s="4" t="s">
        <v>114</v>
      </c>
      <c r="D459" s="4" t="s">
        <v>304</v>
      </c>
      <c r="E459" s="4" t="s">
        <v>53</v>
      </c>
      <c r="F459" s="13" t="s">
        <v>5</v>
      </c>
      <c r="G459" s="13" t="str">
        <f t="shared" si="11"/>
        <v/>
      </c>
      <c r="H459" s="4">
        <v>3.0</v>
      </c>
      <c r="K459" s="13">
        <v>3.0</v>
      </c>
      <c r="L459" s="13">
        <v>60000.0</v>
      </c>
    </row>
    <row r="460">
      <c r="B460" s="11">
        <v>46106.0</v>
      </c>
      <c r="C460" s="4" t="s">
        <v>114</v>
      </c>
      <c r="D460" s="4" t="s">
        <v>304</v>
      </c>
      <c r="E460" s="4" t="s">
        <v>53</v>
      </c>
      <c r="F460" s="13" t="s">
        <v>6</v>
      </c>
      <c r="G460" s="13" t="str">
        <f t="shared" si="11"/>
        <v/>
      </c>
      <c r="H460" s="4">
        <v>3.0</v>
      </c>
      <c r="I460" s="4">
        <v>1.0</v>
      </c>
      <c r="K460" s="13">
        <v>2.0</v>
      </c>
      <c r="L460" s="13">
        <v>40000.0</v>
      </c>
    </row>
    <row r="461">
      <c r="B461" s="11">
        <v>46106.0</v>
      </c>
      <c r="C461" s="4" t="s">
        <v>114</v>
      </c>
      <c r="D461" s="4" t="s">
        <v>304</v>
      </c>
      <c r="E461" s="4" t="s">
        <v>53</v>
      </c>
      <c r="F461" s="13" t="s">
        <v>7</v>
      </c>
      <c r="G461" s="13" t="str">
        <f t="shared" si="11"/>
        <v/>
      </c>
      <c r="K461" s="13">
        <v>0.0</v>
      </c>
      <c r="L461" s="13">
        <v>0.0</v>
      </c>
    </row>
    <row r="462">
      <c r="B462" s="11">
        <v>46106.0</v>
      </c>
      <c r="C462" s="4" t="s">
        <v>114</v>
      </c>
      <c r="D462" s="4" t="s">
        <v>304</v>
      </c>
      <c r="E462" s="4" t="s">
        <v>57</v>
      </c>
      <c r="F462" s="13" t="s">
        <v>8</v>
      </c>
      <c r="G462" s="13" t="str">
        <f t="shared" si="11"/>
        <v/>
      </c>
      <c r="H462" s="4">
        <v>3.0</v>
      </c>
      <c r="K462" s="13">
        <v>3.0</v>
      </c>
      <c r="L462" s="13">
        <v>60000.0</v>
      </c>
    </row>
    <row r="463">
      <c r="B463" s="11">
        <v>46106.0</v>
      </c>
      <c r="C463" s="4" t="s">
        <v>114</v>
      </c>
      <c r="D463" s="4" t="s">
        <v>304</v>
      </c>
      <c r="E463" s="4" t="s">
        <v>53</v>
      </c>
      <c r="F463" s="13" t="s">
        <v>9</v>
      </c>
      <c r="G463" s="13" t="str">
        <f t="shared" si="11"/>
        <v/>
      </c>
      <c r="H463" s="4">
        <v>3.0</v>
      </c>
      <c r="K463" s="13">
        <v>3.0</v>
      </c>
      <c r="L463" s="13">
        <v>60000.0</v>
      </c>
    </row>
    <row r="464">
      <c r="B464" s="11">
        <v>46106.0</v>
      </c>
      <c r="C464" s="4" t="s">
        <v>114</v>
      </c>
      <c r="D464" s="4" t="s">
        <v>304</v>
      </c>
      <c r="E464" s="4" t="s">
        <v>57</v>
      </c>
      <c r="F464" s="13" t="s">
        <v>10</v>
      </c>
      <c r="G464" s="13" t="str">
        <f t="shared" si="11"/>
        <v/>
      </c>
      <c r="H464" s="4">
        <v>3.0</v>
      </c>
      <c r="I464" s="4">
        <v>2.0</v>
      </c>
      <c r="K464" s="13">
        <v>1.0</v>
      </c>
      <c r="L464" s="13">
        <v>20000.0</v>
      </c>
    </row>
    <row r="465">
      <c r="B465" s="11">
        <v>46106.0</v>
      </c>
      <c r="C465" s="4" t="s">
        <v>114</v>
      </c>
      <c r="D465" s="4" t="s">
        <v>304</v>
      </c>
      <c r="E465" s="4" t="s">
        <v>53</v>
      </c>
      <c r="F465" s="13" t="s">
        <v>11</v>
      </c>
      <c r="G465" s="13" t="str">
        <f t="shared" si="11"/>
        <v/>
      </c>
      <c r="H465" s="4">
        <v>2.0</v>
      </c>
      <c r="I465" s="4">
        <v>1.0</v>
      </c>
      <c r="K465" s="13">
        <v>1.0</v>
      </c>
      <c r="L465" s="13">
        <v>20000.0</v>
      </c>
    </row>
    <row r="466">
      <c r="B466" s="11">
        <v>46106.0</v>
      </c>
      <c r="C466" s="4" t="s">
        <v>114</v>
      </c>
      <c r="D466" s="4" t="s">
        <v>304</v>
      </c>
      <c r="E466" s="4" t="s">
        <v>57</v>
      </c>
      <c r="F466" s="13" t="s">
        <v>12</v>
      </c>
      <c r="G466" s="13" t="str">
        <f t="shared" si="11"/>
        <v/>
      </c>
      <c r="K466" s="13">
        <v>0.0</v>
      </c>
      <c r="L466" s="13">
        <v>0.0</v>
      </c>
    </row>
    <row r="467">
      <c r="B467" s="11">
        <v>46106.0</v>
      </c>
      <c r="C467" s="4" t="s">
        <v>114</v>
      </c>
      <c r="D467" s="4" t="s">
        <v>304</v>
      </c>
      <c r="E467" s="4" t="s">
        <v>57</v>
      </c>
      <c r="F467" s="13" t="s">
        <v>13</v>
      </c>
      <c r="G467" s="13" t="str">
        <f t="shared" si="11"/>
        <v/>
      </c>
      <c r="H467" s="4">
        <v>2.0</v>
      </c>
      <c r="K467" s="13">
        <v>2.0</v>
      </c>
      <c r="L467" s="13">
        <v>40000.0</v>
      </c>
    </row>
    <row r="468">
      <c r="B468" s="11">
        <v>46106.0</v>
      </c>
      <c r="C468" s="4" t="s">
        <v>114</v>
      </c>
      <c r="D468" s="4" t="s">
        <v>304</v>
      </c>
      <c r="E468" s="4" t="s">
        <v>57</v>
      </c>
      <c r="F468" s="13" t="s">
        <v>14</v>
      </c>
      <c r="G468" s="13" t="str">
        <f t="shared" si="11"/>
        <v/>
      </c>
      <c r="H468" s="4">
        <v>2.0</v>
      </c>
      <c r="K468" s="13">
        <v>2.0</v>
      </c>
      <c r="L468" s="13">
        <v>44000.0</v>
      </c>
    </row>
    <row r="469">
      <c r="B469" s="11">
        <v>46106.0</v>
      </c>
      <c r="C469" s="4" t="s">
        <v>114</v>
      </c>
      <c r="D469" s="4" t="s">
        <v>304</v>
      </c>
      <c r="E469" s="4" t="s">
        <v>57</v>
      </c>
      <c r="F469" s="13" t="s">
        <v>15</v>
      </c>
      <c r="G469" s="13" t="str">
        <f t="shared" si="11"/>
        <v/>
      </c>
      <c r="H469" s="4">
        <v>25.0</v>
      </c>
      <c r="I469" s="4">
        <v>11.0</v>
      </c>
      <c r="K469" s="13">
        <v>14.0</v>
      </c>
      <c r="L469" s="13">
        <v>280000.0</v>
      </c>
    </row>
    <row r="470">
      <c r="B470" s="11">
        <f>B469+1</f>
        <v>46107</v>
      </c>
      <c r="C470" s="4" t="s">
        <v>113</v>
      </c>
      <c r="D470" s="4" t="s">
        <v>89</v>
      </c>
      <c r="E470" s="4" t="s">
        <v>82</v>
      </c>
      <c r="F470" s="13" t="s">
        <v>4</v>
      </c>
      <c r="H470" s="4">
        <v>5.0</v>
      </c>
      <c r="K470" s="13">
        <v>5.0</v>
      </c>
      <c r="L470" s="13">
        <v>100000.0</v>
      </c>
    </row>
    <row r="471">
      <c r="B471" s="11">
        <v>46107.0</v>
      </c>
      <c r="C471" s="4" t="s">
        <v>113</v>
      </c>
      <c r="D471" s="4" t="s">
        <v>89</v>
      </c>
      <c r="E471" s="4" t="s">
        <v>82</v>
      </c>
      <c r="F471" s="13" t="s">
        <v>5</v>
      </c>
      <c r="H471" s="4">
        <v>5.0</v>
      </c>
      <c r="K471" s="13">
        <v>5.0</v>
      </c>
      <c r="L471" s="13">
        <v>100000.0</v>
      </c>
    </row>
    <row r="472">
      <c r="B472" s="11">
        <v>46107.0</v>
      </c>
      <c r="C472" s="4" t="s">
        <v>113</v>
      </c>
      <c r="D472" s="4" t="s">
        <v>89</v>
      </c>
      <c r="E472" s="4" t="s">
        <v>82</v>
      </c>
      <c r="F472" s="13" t="s">
        <v>6</v>
      </c>
      <c r="H472" s="4">
        <v>4.0</v>
      </c>
      <c r="K472" s="13">
        <v>4.0</v>
      </c>
      <c r="L472" s="13">
        <v>80000.0</v>
      </c>
    </row>
    <row r="473">
      <c r="B473" s="11">
        <v>46107.0</v>
      </c>
      <c r="C473" s="4" t="s">
        <v>113</v>
      </c>
      <c r="D473" s="4" t="s">
        <v>89</v>
      </c>
      <c r="E473" s="4" t="s">
        <v>82</v>
      </c>
      <c r="F473" s="13" t="s">
        <v>7</v>
      </c>
      <c r="H473" s="4">
        <v>5.0</v>
      </c>
      <c r="K473" s="13">
        <v>5.0</v>
      </c>
      <c r="L473" s="13">
        <v>100000.0</v>
      </c>
    </row>
    <row r="474">
      <c r="B474" s="11">
        <v>46107.0</v>
      </c>
      <c r="C474" s="4" t="s">
        <v>113</v>
      </c>
      <c r="D474" s="4" t="s">
        <v>89</v>
      </c>
      <c r="E474" s="4" t="s">
        <v>82</v>
      </c>
      <c r="F474" s="13" t="s">
        <v>8</v>
      </c>
      <c r="H474" s="4">
        <v>5.0</v>
      </c>
      <c r="K474" s="13">
        <v>5.0</v>
      </c>
      <c r="L474" s="13">
        <v>100000.0</v>
      </c>
    </row>
    <row r="475">
      <c r="B475" s="11">
        <v>46107.0</v>
      </c>
      <c r="C475" s="4" t="s">
        <v>113</v>
      </c>
      <c r="D475" s="4" t="s">
        <v>89</v>
      </c>
      <c r="E475" s="4" t="s">
        <v>82</v>
      </c>
      <c r="F475" s="13" t="s">
        <v>9</v>
      </c>
      <c r="H475" s="4">
        <v>6.0</v>
      </c>
      <c r="K475" s="13">
        <v>6.0</v>
      </c>
      <c r="L475" s="13">
        <v>120000.0</v>
      </c>
    </row>
    <row r="476">
      <c r="B476" s="11">
        <v>46107.0</v>
      </c>
      <c r="C476" s="4" t="s">
        <v>113</v>
      </c>
      <c r="D476" s="4" t="s">
        <v>89</v>
      </c>
      <c r="E476" s="4" t="s">
        <v>82</v>
      </c>
      <c r="F476" s="13" t="s">
        <v>10</v>
      </c>
      <c r="H476" s="4">
        <v>5.0</v>
      </c>
      <c r="K476" s="13">
        <v>5.0</v>
      </c>
      <c r="L476" s="13">
        <v>100000.0</v>
      </c>
    </row>
    <row r="477">
      <c r="B477" s="11">
        <v>46107.0</v>
      </c>
      <c r="C477" s="4" t="s">
        <v>113</v>
      </c>
      <c r="D477" s="4" t="s">
        <v>89</v>
      </c>
      <c r="E477" s="4" t="s">
        <v>82</v>
      </c>
      <c r="F477" s="13" t="s">
        <v>11</v>
      </c>
      <c r="H477" s="4">
        <v>3.0</v>
      </c>
      <c r="K477" s="13">
        <v>3.0</v>
      </c>
      <c r="L477" s="13">
        <v>60000.0</v>
      </c>
    </row>
    <row r="478">
      <c r="B478" s="11">
        <v>46107.0</v>
      </c>
      <c r="C478" s="4" t="s">
        <v>113</v>
      </c>
      <c r="D478" s="4" t="s">
        <v>89</v>
      </c>
      <c r="E478" s="4" t="s">
        <v>82</v>
      </c>
      <c r="F478" s="13" t="s">
        <v>12</v>
      </c>
      <c r="H478" s="4">
        <v>4.0</v>
      </c>
      <c r="K478" s="13">
        <v>4.0</v>
      </c>
      <c r="L478" s="13">
        <v>80000.0</v>
      </c>
    </row>
    <row r="479">
      <c r="B479" s="11">
        <v>46107.0</v>
      </c>
      <c r="C479" s="4" t="s">
        <v>113</v>
      </c>
      <c r="D479" s="4" t="s">
        <v>89</v>
      </c>
      <c r="E479" s="4" t="s">
        <v>82</v>
      </c>
      <c r="F479" s="13" t="s">
        <v>13</v>
      </c>
      <c r="H479" s="4">
        <v>5.0</v>
      </c>
      <c r="K479" s="13">
        <v>5.0</v>
      </c>
      <c r="L479" s="13">
        <v>100000.0</v>
      </c>
    </row>
    <row r="480">
      <c r="B480" s="11">
        <v>46107.0</v>
      </c>
      <c r="C480" s="4" t="s">
        <v>113</v>
      </c>
      <c r="D480" s="4" t="s">
        <v>89</v>
      </c>
      <c r="E480" s="4" t="s">
        <v>82</v>
      </c>
      <c r="F480" s="13" t="s">
        <v>14</v>
      </c>
      <c r="H480" s="4">
        <v>4.0</v>
      </c>
      <c r="K480" s="13">
        <v>4.0</v>
      </c>
      <c r="L480" s="13">
        <v>88000.0</v>
      </c>
    </row>
    <row r="481">
      <c r="B481" s="11">
        <v>46107.0</v>
      </c>
      <c r="C481" s="4" t="s">
        <v>113</v>
      </c>
      <c r="D481" s="4" t="s">
        <v>89</v>
      </c>
      <c r="E481" s="4" t="s">
        <v>82</v>
      </c>
      <c r="F481" s="13" t="s">
        <v>15</v>
      </c>
      <c r="H481" s="4">
        <v>30.0</v>
      </c>
      <c r="K481" s="13">
        <v>30.0</v>
      </c>
      <c r="L481" s="13">
        <v>600000.0</v>
      </c>
    </row>
    <row r="482">
      <c r="B482" s="11">
        <v>46107.0</v>
      </c>
      <c r="C482" s="4" t="s">
        <v>114</v>
      </c>
      <c r="D482" s="4" t="s">
        <v>89</v>
      </c>
      <c r="E482" s="13"/>
      <c r="F482" s="13" t="s">
        <v>4</v>
      </c>
      <c r="K482" s="13">
        <v>0.0</v>
      </c>
      <c r="L482" s="13">
        <v>0.0</v>
      </c>
    </row>
    <row r="483">
      <c r="B483" s="11">
        <v>46107.0</v>
      </c>
      <c r="C483" s="4" t="s">
        <v>114</v>
      </c>
      <c r="D483" s="4" t="s">
        <v>89</v>
      </c>
      <c r="E483" s="13"/>
      <c r="F483" s="13" t="s">
        <v>5</v>
      </c>
      <c r="K483" s="13">
        <v>0.0</v>
      </c>
      <c r="L483" s="13">
        <v>0.0</v>
      </c>
    </row>
    <row r="484">
      <c r="B484" s="11">
        <v>46107.0</v>
      </c>
      <c r="C484" s="4" t="s">
        <v>114</v>
      </c>
      <c r="D484" s="4" t="s">
        <v>89</v>
      </c>
      <c r="E484" s="13"/>
      <c r="F484" s="13" t="s">
        <v>6</v>
      </c>
      <c r="K484" s="13">
        <v>0.0</v>
      </c>
      <c r="L484" s="13">
        <v>0.0</v>
      </c>
    </row>
    <row r="485">
      <c r="B485" s="11">
        <v>46107.0</v>
      </c>
      <c r="C485" s="4" t="s">
        <v>114</v>
      </c>
      <c r="D485" s="4" t="s">
        <v>89</v>
      </c>
      <c r="E485" s="13"/>
      <c r="F485" s="13" t="s">
        <v>7</v>
      </c>
      <c r="K485" s="13">
        <v>0.0</v>
      </c>
      <c r="L485" s="13">
        <v>0.0</v>
      </c>
    </row>
    <row r="486">
      <c r="B486" s="11">
        <v>46107.0</v>
      </c>
      <c r="C486" s="4" t="s">
        <v>114</v>
      </c>
      <c r="D486" s="4" t="s">
        <v>89</v>
      </c>
      <c r="E486" s="13"/>
      <c r="F486" s="13" t="s">
        <v>8</v>
      </c>
      <c r="K486" s="13">
        <v>0.0</v>
      </c>
      <c r="L486" s="13">
        <v>0.0</v>
      </c>
    </row>
    <row r="487">
      <c r="B487" s="11">
        <v>46107.0</v>
      </c>
      <c r="C487" s="4" t="s">
        <v>114</v>
      </c>
      <c r="D487" s="4" t="s">
        <v>89</v>
      </c>
      <c r="E487" s="13"/>
      <c r="F487" s="13" t="s">
        <v>9</v>
      </c>
      <c r="K487" s="13">
        <v>0.0</v>
      </c>
      <c r="L487" s="13">
        <v>0.0</v>
      </c>
    </row>
    <row r="488">
      <c r="B488" s="11">
        <v>46107.0</v>
      </c>
      <c r="C488" s="4" t="s">
        <v>114</v>
      </c>
      <c r="D488" s="4" t="s">
        <v>89</v>
      </c>
      <c r="E488" s="13"/>
      <c r="F488" s="13" t="s">
        <v>10</v>
      </c>
      <c r="K488" s="13">
        <v>0.0</v>
      </c>
      <c r="L488" s="13">
        <v>0.0</v>
      </c>
    </row>
    <row r="489">
      <c r="B489" s="11">
        <v>46107.0</v>
      </c>
      <c r="C489" s="4" t="s">
        <v>114</v>
      </c>
      <c r="D489" s="4" t="s">
        <v>89</v>
      </c>
      <c r="E489" s="13"/>
      <c r="F489" s="13" t="s">
        <v>11</v>
      </c>
      <c r="K489" s="13">
        <v>0.0</v>
      </c>
      <c r="L489" s="13">
        <v>0.0</v>
      </c>
    </row>
    <row r="490">
      <c r="B490" s="11">
        <v>46107.0</v>
      </c>
      <c r="C490" s="4" t="s">
        <v>114</v>
      </c>
      <c r="D490" s="4" t="s">
        <v>89</v>
      </c>
      <c r="E490" s="13"/>
      <c r="F490" s="13" t="s">
        <v>12</v>
      </c>
      <c r="K490" s="13">
        <v>0.0</v>
      </c>
      <c r="L490" s="13">
        <v>0.0</v>
      </c>
    </row>
    <row r="491">
      <c r="B491" s="11">
        <v>46107.0</v>
      </c>
      <c r="C491" s="4" t="s">
        <v>114</v>
      </c>
      <c r="D491" s="4" t="s">
        <v>89</v>
      </c>
      <c r="E491" s="13"/>
      <c r="F491" s="13" t="s">
        <v>13</v>
      </c>
      <c r="K491" s="13">
        <v>0.0</v>
      </c>
      <c r="L491" s="13">
        <v>0.0</v>
      </c>
    </row>
    <row r="492">
      <c r="B492" s="11">
        <v>46107.0</v>
      </c>
      <c r="C492" s="4" t="s">
        <v>114</v>
      </c>
      <c r="D492" s="4" t="s">
        <v>89</v>
      </c>
      <c r="E492" s="13"/>
      <c r="F492" s="13" t="s">
        <v>14</v>
      </c>
      <c r="K492" s="13">
        <v>0.0</v>
      </c>
      <c r="L492" s="13">
        <v>0.0</v>
      </c>
    </row>
    <row r="493">
      <c r="B493" s="11">
        <v>46107.0</v>
      </c>
      <c r="C493" s="4" t="s">
        <v>114</v>
      </c>
      <c r="D493" s="4" t="s">
        <v>89</v>
      </c>
      <c r="E493" s="13"/>
      <c r="F493" s="13" t="s">
        <v>15</v>
      </c>
      <c r="K493" s="13">
        <v>0.0</v>
      </c>
      <c r="L493" s="13">
        <v>0.0</v>
      </c>
    </row>
    <row r="494">
      <c r="B494" s="11">
        <v>46107.0</v>
      </c>
      <c r="C494" s="4" t="s">
        <v>113</v>
      </c>
      <c r="D494" s="4" t="s">
        <v>81</v>
      </c>
      <c r="E494" s="4" t="s">
        <v>71</v>
      </c>
      <c r="F494" s="13" t="s">
        <v>4</v>
      </c>
      <c r="H494" s="4">
        <v>5.0</v>
      </c>
      <c r="K494" s="13">
        <v>5.0</v>
      </c>
      <c r="L494" s="13">
        <v>100000.0</v>
      </c>
    </row>
    <row r="495">
      <c r="B495" s="11">
        <v>46107.0</v>
      </c>
      <c r="C495" s="4" t="s">
        <v>113</v>
      </c>
      <c r="D495" s="4" t="s">
        <v>81</v>
      </c>
      <c r="E495" s="4" t="s">
        <v>71</v>
      </c>
      <c r="F495" s="13" t="s">
        <v>5</v>
      </c>
      <c r="H495" s="4">
        <v>3.0</v>
      </c>
      <c r="K495" s="13">
        <v>3.0</v>
      </c>
      <c r="L495" s="13">
        <v>60000.0</v>
      </c>
    </row>
    <row r="496">
      <c r="B496" s="11">
        <v>46107.0</v>
      </c>
      <c r="C496" s="4" t="s">
        <v>113</v>
      </c>
      <c r="D496" s="4" t="s">
        <v>81</v>
      </c>
      <c r="E496" s="4" t="s">
        <v>71</v>
      </c>
      <c r="F496" s="13" t="s">
        <v>6</v>
      </c>
      <c r="H496" s="4">
        <v>3.0</v>
      </c>
      <c r="K496" s="13">
        <v>3.0</v>
      </c>
      <c r="L496" s="13">
        <v>60000.0</v>
      </c>
    </row>
    <row r="497">
      <c r="B497" s="11">
        <v>46107.0</v>
      </c>
      <c r="C497" s="4" t="s">
        <v>113</v>
      </c>
      <c r="D497" s="4" t="s">
        <v>81</v>
      </c>
      <c r="E497" s="4" t="s">
        <v>71</v>
      </c>
      <c r="F497" s="13" t="s">
        <v>7</v>
      </c>
      <c r="H497" s="4">
        <v>3.0</v>
      </c>
      <c r="K497" s="13">
        <v>3.0</v>
      </c>
      <c r="L497" s="13">
        <v>60000.0</v>
      </c>
    </row>
    <row r="498">
      <c r="B498" s="11">
        <v>46107.0</v>
      </c>
      <c r="C498" s="4" t="s">
        <v>113</v>
      </c>
      <c r="D498" s="4" t="s">
        <v>81</v>
      </c>
      <c r="E498" s="4" t="s">
        <v>71</v>
      </c>
      <c r="F498" s="13" t="s">
        <v>8</v>
      </c>
      <c r="H498" s="4">
        <v>5.0</v>
      </c>
      <c r="K498" s="13">
        <v>5.0</v>
      </c>
      <c r="L498" s="13">
        <v>100000.0</v>
      </c>
    </row>
    <row r="499">
      <c r="B499" s="11">
        <v>46107.0</v>
      </c>
      <c r="C499" s="4" t="s">
        <v>113</v>
      </c>
      <c r="D499" s="4" t="s">
        <v>81</v>
      </c>
      <c r="E499" s="4" t="s">
        <v>71</v>
      </c>
      <c r="F499" s="13" t="s">
        <v>9</v>
      </c>
      <c r="H499" s="4">
        <v>5.0</v>
      </c>
      <c r="K499" s="13">
        <v>5.0</v>
      </c>
      <c r="L499" s="13">
        <v>100000.0</v>
      </c>
    </row>
    <row r="500">
      <c r="B500" s="11">
        <v>46107.0</v>
      </c>
      <c r="C500" s="4" t="s">
        <v>113</v>
      </c>
      <c r="D500" s="4" t="s">
        <v>81</v>
      </c>
      <c r="E500" s="4" t="s">
        <v>71</v>
      </c>
      <c r="F500" s="13" t="s">
        <v>10</v>
      </c>
      <c r="H500" s="4">
        <v>3.0</v>
      </c>
      <c r="K500" s="13">
        <v>3.0</v>
      </c>
      <c r="L500" s="13">
        <v>60000.0</v>
      </c>
    </row>
    <row r="501">
      <c r="B501" s="11">
        <v>46107.0</v>
      </c>
      <c r="C501" s="4" t="s">
        <v>113</v>
      </c>
      <c r="D501" s="4" t="s">
        <v>81</v>
      </c>
      <c r="E501" s="4" t="s">
        <v>71</v>
      </c>
      <c r="F501" s="13" t="s">
        <v>11</v>
      </c>
      <c r="H501" s="4">
        <v>3.0</v>
      </c>
      <c r="K501" s="13">
        <v>3.0</v>
      </c>
      <c r="L501" s="13">
        <v>60000.0</v>
      </c>
    </row>
    <row r="502">
      <c r="B502" s="11">
        <v>46107.0</v>
      </c>
      <c r="C502" s="4" t="s">
        <v>113</v>
      </c>
      <c r="D502" s="4" t="s">
        <v>81</v>
      </c>
      <c r="E502" s="4" t="s">
        <v>71</v>
      </c>
      <c r="F502" s="13" t="s">
        <v>12</v>
      </c>
      <c r="H502" s="4">
        <v>3.0</v>
      </c>
      <c r="K502" s="13">
        <v>3.0</v>
      </c>
      <c r="L502" s="13">
        <v>60000.0</v>
      </c>
    </row>
    <row r="503">
      <c r="B503" s="11">
        <v>46107.0</v>
      </c>
      <c r="C503" s="4" t="s">
        <v>113</v>
      </c>
      <c r="D503" s="4" t="s">
        <v>81</v>
      </c>
      <c r="E503" s="4" t="s">
        <v>71</v>
      </c>
      <c r="F503" s="13" t="s">
        <v>13</v>
      </c>
      <c r="H503" s="4">
        <v>4.0</v>
      </c>
      <c r="K503" s="13">
        <v>4.0</v>
      </c>
      <c r="L503" s="13">
        <v>80000.0</v>
      </c>
    </row>
    <row r="504">
      <c r="B504" s="11">
        <v>46107.0</v>
      </c>
      <c r="C504" s="4" t="s">
        <v>113</v>
      </c>
      <c r="D504" s="4" t="s">
        <v>81</v>
      </c>
      <c r="E504" s="4" t="s">
        <v>71</v>
      </c>
      <c r="F504" s="13" t="s">
        <v>14</v>
      </c>
      <c r="H504" s="4">
        <v>3.0</v>
      </c>
      <c r="K504" s="13">
        <v>3.0</v>
      </c>
      <c r="L504" s="13">
        <v>66000.0</v>
      </c>
    </row>
    <row r="505">
      <c r="B505" s="11">
        <v>46107.0</v>
      </c>
      <c r="C505" s="4" t="s">
        <v>113</v>
      </c>
      <c r="D505" s="4" t="s">
        <v>81</v>
      </c>
      <c r="E505" s="4" t="s">
        <v>71</v>
      </c>
      <c r="F505" s="13" t="s">
        <v>15</v>
      </c>
      <c r="H505" s="4">
        <v>30.0</v>
      </c>
      <c r="K505" s="13">
        <v>30.0</v>
      </c>
      <c r="L505" s="13">
        <v>600000.0</v>
      </c>
    </row>
    <row r="506">
      <c r="B506" s="11">
        <v>46107.0</v>
      </c>
      <c r="C506" s="4" t="s">
        <v>114</v>
      </c>
      <c r="D506" s="4" t="s">
        <v>81</v>
      </c>
      <c r="E506" s="13"/>
      <c r="F506" s="13" t="s">
        <v>4</v>
      </c>
      <c r="G506" s="13" t="str">
        <f t="shared" ref="G506:G517" si="12">I494</f>
        <v/>
      </c>
      <c r="K506" s="13">
        <v>0.0</v>
      </c>
      <c r="L506" s="13">
        <v>0.0</v>
      </c>
    </row>
    <row r="507">
      <c r="B507" s="11">
        <v>46107.0</v>
      </c>
      <c r="C507" s="4" t="s">
        <v>114</v>
      </c>
      <c r="D507" s="4" t="s">
        <v>81</v>
      </c>
      <c r="E507" s="13"/>
      <c r="F507" s="13" t="s">
        <v>5</v>
      </c>
      <c r="G507" s="13" t="str">
        <f t="shared" si="12"/>
        <v/>
      </c>
      <c r="K507" s="13">
        <v>0.0</v>
      </c>
      <c r="L507" s="13">
        <v>0.0</v>
      </c>
    </row>
    <row r="508">
      <c r="B508" s="11">
        <v>46107.0</v>
      </c>
      <c r="C508" s="4" t="s">
        <v>114</v>
      </c>
      <c r="D508" s="4" t="s">
        <v>81</v>
      </c>
      <c r="E508" s="13"/>
      <c r="F508" s="13" t="s">
        <v>6</v>
      </c>
      <c r="G508" s="13" t="str">
        <f t="shared" si="12"/>
        <v/>
      </c>
      <c r="K508" s="13">
        <v>0.0</v>
      </c>
      <c r="L508" s="13">
        <v>0.0</v>
      </c>
    </row>
    <row r="509">
      <c r="B509" s="11">
        <v>46107.0</v>
      </c>
      <c r="C509" s="4" t="s">
        <v>114</v>
      </c>
      <c r="D509" s="4" t="s">
        <v>81</v>
      </c>
      <c r="E509" s="13"/>
      <c r="F509" s="13" t="s">
        <v>7</v>
      </c>
      <c r="G509" s="13" t="str">
        <f t="shared" si="12"/>
        <v/>
      </c>
      <c r="K509" s="13">
        <v>0.0</v>
      </c>
      <c r="L509" s="13">
        <v>0.0</v>
      </c>
    </row>
    <row r="510">
      <c r="B510" s="11">
        <v>46107.0</v>
      </c>
      <c r="C510" s="4" t="s">
        <v>114</v>
      </c>
      <c r="D510" s="4" t="s">
        <v>81</v>
      </c>
      <c r="E510" s="13"/>
      <c r="F510" s="13" t="s">
        <v>8</v>
      </c>
      <c r="G510" s="13" t="str">
        <f t="shared" si="12"/>
        <v/>
      </c>
      <c r="K510" s="13">
        <v>0.0</v>
      </c>
      <c r="L510" s="13">
        <v>0.0</v>
      </c>
    </row>
    <row r="511">
      <c r="B511" s="11">
        <v>46107.0</v>
      </c>
      <c r="C511" s="4" t="s">
        <v>114</v>
      </c>
      <c r="D511" s="4" t="s">
        <v>81</v>
      </c>
      <c r="E511" s="13"/>
      <c r="F511" s="13" t="s">
        <v>9</v>
      </c>
      <c r="G511" s="13" t="str">
        <f t="shared" si="12"/>
        <v/>
      </c>
      <c r="K511" s="13">
        <v>0.0</v>
      </c>
      <c r="L511" s="13">
        <v>0.0</v>
      </c>
    </row>
    <row r="512">
      <c r="B512" s="11">
        <v>46107.0</v>
      </c>
      <c r="C512" s="4" t="s">
        <v>114</v>
      </c>
      <c r="D512" s="4" t="s">
        <v>81</v>
      </c>
      <c r="E512" s="13"/>
      <c r="F512" s="13" t="s">
        <v>10</v>
      </c>
      <c r="G512" s="13" t="str">
        <f t="shared" si="12"/>
        <v/>
      </c>
      <c r="K512" s="13">
        <v>0.0</v>
      </c>
      <c r="L512" s="13">
        <v>0.0</v>
      </c>
    </row>
    <row r="513">
      <c r="B513" s="11">
        <v>46107.0</v>
      </c>
      <c r="C513" s="4" t="s">
        <v>114</v>
      </c>
      <c r="D513" s="4" t="s">
        <v>81</v>
      </c>
      <c r="E513" s="13"/>
      <c r="F513" s="13" t="s">
        <v>11</v>
      </c>
      <c r="G513" s="13" t="str">
        <f t="shared" si="12"/>
        <v/>
      </c>
      <c r="K513" s="13">
        <v>0.0</v>
      </c>
      <c r="L513" s="13">
        <v>0.0</v>
      </c>
    </row>
    <row r="514">
      <c r="B514" s="11">
        <v>46107.0</v>
      </c>
      <c r="C514" s="4" t="s">
        <v>114</v>
      </c>
      <c r="D514" s="4" t="s">
        <v>81</v>
      </c>
      <c r="E514" s="13"/>
      <c r="F514" s="13" t="s">
        <v>12</v>
      </c>
      <c r="G514" s="13" t="str">
        <f t="shared" si="12"/>
        <v/>
      </c>
      <c r="K514" s="13">
        <v>0.0</v>
      </c>
      <c r="L514" s="13">
        <v>0.0</v>
      </c>
    </row>
    <row r="515">
      <c r="B515" s="11">
        <v>46107.0</v>
      </c>
      <c r="C515" s="4" t="s">
        <v>114</v>
      </c>
      <c r="D515" s="4" t="s">
        <v>81</v>
      </c>
      <c r="E515" s="13"/>
      <c r="F515" s="13" t="s">
        <v>13</v>
      </c>
      <c r="G515" s="13" t="str">
        <f t="shared" si="12"/>
        <v/>
      </c>
      <c r="K515" s="13">
        <v>0.0</v>
      </c>
      <c r="L515" s="13">
        <v>0.0</v>
      </c>
    </row>
    <row r="516">
      <c r="B516" s="11">
        <v>46107.0</v>
      </c>
      <c r="C516" s="4" t="s">
        <v>114</v>
      </c>
      <c r="D516" s="4" t="s">
        <v>81</v>
      </c>
      <c r="E516" s="13"/>
      <c r="F516" s="13" t="s">
        <v>14</v>
      </c>
      <c r="G516" s="13" t="str">
        <f t="shared" si="12"/>
        <v/>
      </c>
      <c r="K516" s="13">
        <v>0.0</v>
      </c>
      <c r="L516" s="13">
        <v>0.0</v>
      </c>
    </row>
    <row r="517">
      <c r="B517" s="11">
        <v>46107.0</v>
      </c>
      <c r="C517" s="4" t="s">
        <v>114</v>
      </c>
      <c r="D517" s="4" t="s">
        <v>81</v>
      </c>
      <c r="E517" s="13"/>
      <c r="F517" s="13" t="s">
        <v>15</v>
      </c>
      <c r="G517" s="13" t="str">
        <f t="shared" si="12"/>
        <v/>
      </c>
      <c r="K517" s="13">
        <v>0.0</v>
      </c>
      <c r="L517" s="13">
        <v>0.0</v>
      </c>
    </row>
    <row r="518">
      <c r="B518" s="11">
        <v>46107.0</v>
      </c>
      <c r="C518" s="4" t="s">
        <v>113</v>
      </c>
      <c r="D518" s="4" t="s">
        <v>93</v>
      </c>
      <c r="E518" s="4" t="s">
        <v>95</v>
      </c>
      <c r="F518" s="13" t="s">
        <v>4</v>
      </c>
      <c r="H518" s="4">
        <v>6.0</v>
      </c>
      <c r="I518" s="4">
        <v>1.0</v>
      </c>
      <c r="K518" s="13">
        <v>5.0</v>
      </c>
      <c r="L518" s="13">
        <v>100000.0</v>
      </c>
    </row>
    <row r="519">
      <c r="B519" s="11">
        <v>46107.0</v>
      </c>
      <c r="C519" s="4" t="s">
        <v>113</v>
      </c>
      <c r="D519" s="4" t="s">
        <v>93</v>
      </c>
      <c r="E519" s="4" t="s">
        <v>95</v>
      </c>
      <c r="F519" s="13" t="s">
        <v>5</v>
      </c>
      <c r="H519" s="4">
        <v>4.0</v>
      </c>
      <c r="I519" s="4">
        <v>1.0</v>
      </c>
      <c r="K519" s="13">
        <v>3.0</v>
      </c>
      <c r="L519" s="13">
        <v>60000.0</v>
      </c>
    </row>
    <row r="520">
      <c r="B520" s="11">
        <v>46107.0</v>
      </c>
      <c r="C520" s="4" t="s">
        <v>113</v>
      </c>
      <c r="D520" s="4" t="s">
        <v>93</v>
      </c>
      <c r="E520" s="4" t="s">
        <v>95</v>
      </c>
      <c r="F520" s="13" t="s">
        <v>6</v>
      </c>
      <c r="H520" s="4">
        <v>4.0</v>
      </c>
      <c r="I520" s="4">
        <v>2.0</v>
      </c>
      <c r="K520" s="13">
        <v>2.0</v>
      </c>
      <c r="L520" s="13">
        <v>40000.0</v>
      </c>
    </row>
    <row r="521">
      <c r="B521" s="11">
        <v>46107.0</v>
      </c>
      <c r="C521" s="4" t="s">
        <v>113</v>
      </c>
      <c r="D521" s="4" t="s">
        <v>93</v>
      </c>
      <c r="E521" s="4" t="s">
        <v>95</v>
      </c>
      <c r="F521" s="13" t="s">
        <v>7</v>
      </c>
      <c r="H521" s="4">
        <v>3.0</v>
      </c>
      <c r="K521" s="13">
        <v>3.0</v>
      </c>
      <c r="L521" s="13">
        <v>60000.0</v>
      </c>
    </row>
    <row r="522">
      <c r="B522" s="11">
        <v>46107.0</v>
      </c>
      <c r="C522" s="4" t="s">
        <v>113</v>
      </c>
      <c r="D522" s="4" t="s">
        <v>93</v>
      </c>
      <c r="E522" s="4" t="s">
        <v>95</v>
      </c>
      <c r="F522" s="13" t="s">
        <v>8</v>
      </c>
      <c r="H522" s="4">
        <v>5.0</v>
      </c>
      <c r="K522" s="13">
        <v>5.0</v>
      </c>
      <c r="L522" s="13">
        <v>100000.0</v>
      </c>
    </row>
    <row r="523">
      <c r="B523" s="11">
        <v>46107.0</v>
      </c>
      <c r="C523" s="4" t="s">
        <v>113</v>
      </c>
      <c r="D523" s="4" t="s">
        <v>93</v>
      </c>
      <c r="E523" s="4" t="s">
        <v>95</v>
      </c>
      <c r="F523" s="13" t="s">
        <v>9</v>
      </c>
      <c r="H523" s="4">
        <v>6.0</v>
      </c>
      <c r="K523" s="13">
        <v>6.0</v>
      </c>
      <c r="L523" s="13">
        <v>120000.0</v>
      </c>
    </row>
    <row r="524">
      <c r="B524" s="11">
        <v>46107.0</v>
      </c>
      <c r="C524" s="4" t="s">
        <v>113</v>
      </c>
      <c r="D524" s="4" t="s">
        <v>93</v>
      </c>
      <c r="E524" s="4" t="s">
        <v>95</v>
      </c>
      <c r="F524" s="13" t="s">
        <v>10</v>
      </c>
      <c r="H524" s="4">
        <v>4.0</v>
      </c>
      <c r="I524" s="4">
        <v>2.0</v>
      </c>
      <c r="K524" s="13">
        <v>2.0</v>
      </c>
      <c r="L524" s="13">
        <v>40000.0</v>
      </c>
    </row>
    <row r="525">
      <c r="B525" s="11">
        <v>46107.0</v>
      </c>
      <c r="C525" s="4" t="s">
        <v>113</v>
      </c>
      <c r="D525" s="4" t="s">
        <v>93</v>
      </c>
      <c r="E525" s="4" t="s">
        <v>95</v>
      </c>
      <c r="F525" s="13" t="s">
        <v>11</v>
      </c>
      <c r="H525" s="4">
        <v>2.0</v>
      </c>
      <c r="I525" s="4">
        <v>1.0</v>
      </c>
      <c r="K525" s="13">
        <v>1.0</v>
      </c>
      <c r="L525" s="13">
        <v>20000.0</v>
      </c>
    </row>
    <row r="526">
      <c r="B526" s="11">
        <v>46107.0</v>
      </c>
      <c r="C526" s="4" t="s">
        <v>113</v>
      </c>
      <c r="D526" s="4" t="s">
        <v>93</v>
      </c>
      <c r="E526" s="4" t="s">
        <v>95</v>
      </c>
      <c r="F526" s="13" t="s">
        <v>12</v>
      </c>
      <c r="H526" s="4">
        <v>3.0</v>
      </c>
      <c r="K526" s="13">
        <v>3.0</v>
      </c>
      <c r="L526" s="13">
        <v>60000.0</v>
      </c>
    </row>
    <row r="527">
      <c r="B527" s="11">
        <v>46107.0</v>
      </c>
      <c r="C527" s="4" t="s">
        <v>113</v>
      </c>
      <c r="D527" s="4" t="s">
        <v>93</v>
      </c>
      <c r="E527" s="4" t="s">
        <v>95</v>
      </c>
      <c r="F527" s="13" t="s">
        <v>13</v>
      </c>
      <c r="H527" s="4">
        <v>5.0</v>
      </c>
      <c r="I527" s="4">
        <v>2.0</v>
      </c>
      <c r="K527" s="13">
        <v>3.0</v>
      </c>
      <c r="L527" s="13">
        <v>60000.0</v>
      </c>
    </row>
    <row r="528">
      <c r="B528" s="11">
        <v>46107.0</v>
      </c>
      <c r="C528" s="4" t="s">
        <v>113</v>
      </c>
      <c r="D528" s="4" t="s">
        <v>93</v>
      </c>
      <c r="E528" s="4" t="s">
        <v>95</v>
      </c>
      <c r="F528" s="13" t="s">
        <v>14</v>
      </c>
      <c r="H528" s="4">
        <v>2.0</v>
      </c>
      <c r="I528" s="4">
        <v>1.0</v>
      </c>
      <c r="K528" s="13">
        <v>1.0</v>
      </c>
      <c r="L528" s="13">
        <v>22000.0</v>
      </c>
    </row>
    <row r="529">
      <c r="B529" s="11">
        <v>46107.0</v>
      </c>
      <c r="C529" s="4" t="s">
        <v>113</v>
      </c>
      <c r="D529" s="4" t="s">
        <v>93</v>
      </c>
      <c r="E529" s="4" t="s">
        <v>95</v>
      </c>
      <c r="F529" s="13" t="s">
        <v>15</v>
      </c>
      <c r="H529" s="4">
        <v>30.0</v>
      </c>
      <c r="I529" s="4">
        <v>2.0</v>
      </c>
      <c r="K529" s="13">
        <v>28.0</v>
      </c>
      <c r="L529" s="13">
        <v>560000.0</v>
      </c>
    </row>
    <row r="530">
      <c r="B530" s="11">
        <v>46107.0</v>
      </c>
      <c r="C530" s="4" t="s">
        <v>114</v>
      </c>
      <c r="D530" s="4" t="s">
        <v>93</v>
      </c>
      <c r="E530" s="13"/>
      <c r="F530" s="13" t="s">
        <v>4</v>
      </c>
      <c r="K530" s="13">
        <v>0.0</v>
      </c>
      <c r="L530" s="13">
        <v>0.0</v>
      </c>
    </row>
    <row r="531">
      <c r="B531" s="11">
        <v>46107.0</v>
      </c>
      <c r="C531" s="4" t="s">
        <v>114</v>
      </c>
      <c r="D531" s="4" t="s">
        <v>93</v>
      </c>
      <c r="E531" s="13"/>
      <c r="F531" s="13" t="s">
        <v>5</v>
      </c>
      <c r="K531" s="13">
        <v>0.0</v>
      </c>
      <c r="L531" s="13">
        <v>0.0</v>
      </c>
    </row>
    <row r="532">
      <c r="B532" s="11">
        <v>46107.0</v>
      </c>
      <c r="C532" s="4" t="s">
        <v>114</v>
      </c>
      <c r="D532" s="4" t="s">
        <v>93</v>
      </c>
      <c r="E532" s="13"/>
      <c r="F532" s="13" t="s">
        <v>6</v>
      </c>
      <c r="K532" s="13">
        <v>0.0</v>
      </c>
      <c r="L532" s="13">
        <v>0.0</v>
      </c>
    </row>
    <row r="533">
      <c r="B533" s="11">
        <v>46107.0</v>
      </c>
      <c r="C533" s="4" t="s">
        <v>114</v>
      </c>
      <c r="D533" s="4" t="s">
        <v>93</v>
      </c>
      <c r="E533" s="13"/>
      <c r="F533" s="13" t="s">
        <v>7</v>
      </c>
      <c r="K533" s="13">
        <v>0.0</v>
      </c>
      <c r="L533" s="13">
        <v>0.0</v>
      </c>
    </row>
    <row r="534">
      <c r="B534" s="11">
        <v>46107.0</v>
      </c>
      <c r="C534" s="4" t="s">
        <v>114</v>
      </c>
      <c r="D534" s="4" t="s">
        <v>93</v>
      </c>
      <c r="E534" s="13"/>
      <c r="F534" s="13" t="s">
        <v>8</v>
      </c>
      <c r="K534" s="13">
        <v>0.0</v>
      </c>
      <c r="L534" s="13">
        <v>0.0</v>
      </c>
    </row>
    <row r="535">
      <c r="B535" s="11">
        <v>46107.0</v>
      </c>
      <c r="C535" s="4" t="s">
        <v>114</v>
      </c>
      <c r="D535" s="4" t="s">
        <v>93</v>
      </c>
      <c r="E535" s="13"/>
      <c r="F535" s="13" t="s">
        <v>9</v>
      </c>
      <c r="I535" s="4">
        <v>2.0</v>
      </c>
      <c r="K535" s="13">
        <v>-2.0</v>
      </c>
      <c r="L535" s="13">
        <v>-40000.0</v>
      </c>
    </row>
    <row r="536">
      <c r="B536" s="11">
        <v>46107.0</v>
      </c>
      <c r="C536" s="4" t="s">
        <v>114</v>
      </c>
      <c r="D536" s="4" t="s">
        <v>93</v>
      </c>
      <c r="E536" s="13"/>
      <c r="F536" s="13" t="s">
        <v>10</v>
      </c>
      <c r="K536" s="13">
        <v>0.0</v>
      </c>
      <c r="L536" s="13">
        <v>0.0</v>
      </c>
    </row>
    <row r="537">
      <c r="B537" s="11">
        <v>46107.0</v>
      </c>
      <c r="C537" s="4" t="s">
        <v>114</v>
      </c>
      <c r="D537" s="4" t="s">
        <v>93</v>
      </c>
      <c r="E537" s="13"/>
      <c r="F537" s="13" t="s">
        <v>11</v>
      </c>
      <c r="K537" s="13">
        <v>0.0</v>
      </c>
      <c r="L537" s="13">
        <v>0.0</v>
      </c>
    </row>
    <row r="538">
      <c r="B538" s="11">
        <v>46107.0</v>
      </c>
      <c r="C538" s="4" t="s">
        <v>114</v>
      </c>
      <c r="D538" s="4" t="s">
        <v>93</v>
      </c>
      <c r="E538" s="13"/>
      <c r="F538" s="13" t="s">
        <v>12</v>
      </c>
      <c r="K538" s="13">
        <v>0.0</v>
      </c>
      <c r="L538" s="13">
        <v>0.0</v>
      </c>
    </row>
    <row r="539">
      <c r="B539" s="11">
        <v>46107.0</v>
      </c>
      <c r="C539" s="4" t="s">
        <v>114</v>
      </c>
      <c r="D539" s="4" t="s">
        <v>93</v>
      </c>
      <c r="E539" s="13"/>
      <c r="F539" s="13" t="s">
        <v>13</v>
      </c>
      <c r="K539" s="13">
        <v>0.0</v>
      </c>
      <c r="L539" s="13">
        <v>0.0</v>
      </c>
    </row>
    <row r="540">
      <c r="B540" s="11">
        <v>46107.0</v>
      </c>
      <c r="C540" s="4" t="s">
        <v>114</v>
      </c>
      <c r="D540" s="4" t="s">
        <v>93</v>
      </c>
      <c r="E540" s="13"/>
      <c r="F540" s="13" t="s">
        <v>14</v>
      </c>
      <c r="K540" s="13">
        <v>0.0</v>
      </c>
      <c r="L540" s="13">
        <v>0.0</v>
      </c>
    </row>
    <row r="541">
      <c r="B541" s="11">
        <v>46107.0</v>
      </c>
      <c r="C541" s="4" t="s">
        <v>114</v>
      </c>
      <c r="D541" s="4" t="s">
        <v>93</v>
      </c>
      <c r="E541" s="13"/>
      <c r="F541" s="13" t="s">
        <v>15</v>
      </c>
      <c r="K541" s="13">
        <v>0.0</v>
      </c>
      <c r="L541" s="13">
        <v>0.0</v>
      </c>
    </row>
    <row r="542">
      <c r="B542" s="11">
        <v>46107.0</v>
      </c>
      <c r="C542" s="4" t="s">
        <v>113</v>
      </c>
      <c r="D542" s="4" t="s">
        <v>80</v>
      </c>
      <c r="E542" s="4" t="s">
        <v>86</v>
      </c>
      <c r="F542" s="13" t="s">
        <v>4</v>
      </c>
      <c r="H542" s="4">
        <v>5.0</v>
      </c>
      <c r="K542" s="13">
        <v>5.0</v>
      </c>
      <c r="L542" s="13">
        <v>100000.0</v>
      </c>
    </row>
    <row r="543">
      <c r="B543" s="11">
        <v>46107.0</v>
      </c>
      <c r="C543" s="4" t="s">
        <v>113</v>
      </c>
      <c r="D543" s="4" t="s">
        <v>80</v>
      </c>
      <c r="E543" s="4" t="s">
        <v>86</v>
      </c>
      <c r="F543" s="13" t="s">
        <v>5</v>
      </c>
      <c r="H543" s="4">
        <v>4.0</v>
      </c>
      <c r="K543" s="13">
        <v>4.0</v>
      </c>
      <c r="L543" s="13">
        <v>80000.0</v>
      </c>
    </row>
    <row r="544">
      <c r="B544" s="11">
        <v>46107.0</v>
      </c>
      <c r="C544" s="4" t="s">
        <v>113</v>
      </c>
      <c r="D544" s="4" t="s">
        <v>80</v>
      </c>
      <c r="E544" s="4" t="s">
        <v>86</v>
      </c>
      <c r="F544" s="13" t="s">
        <v>6</v>
      </c>
      <c r="H544" s="4">
        <v>4.0</v>
      </c>
      <c r="I544" s="4">
        <v>1.0</v>
      </c>
      <c r="K544" s="13">
        <v>3.0</v>
      </c>
      <c r="L544" s="13">
        <v>60000.0</v>
      </c>
    </row>
    <row r="545">
      <c r="B545" s="11">
        <v>46107.0</v>
      </c>
      <c r="C545" s="4" t="s">
        <v>113</v>
      </c>
      <c r="D545" s="4" t="s">
        <v>80</v>
      </c>
      <c r="E545" s="4" t="s">
        <v>86</v>
      </c>
      <c r="F545" s="13" t="s">
        <v>7</v>
      </c>
      <c r="H545" s="4">
        <v>3.0</v>
      </c>
      <c r="K545" s="13">
        <v>3.0</v>
      </c>
      <c r="L545" s="13">
        <v>60000.0</v>
      </c>
    </row>
    <row r="546">
      <c r="B546" s="11">
        <v>46107.0</v>
      </c>
      <c r="C546" s="4" t="s">
        <v>113</v>
      </c>
      <c r="D546" s="4" t="s">
        <v>80</v>
      </c>
      <c r="E546" s="4" t="s">
        <v>86</v>
      </c>
      <c r="F546" s="13" t="s">
        <v>8</v>
      </c>
      <c r="H546" s="4">
        <v>5.0</v>
      </c>
      <c r="K546" s="13">
        <v>5.0</v>
      </c>
      <c r="L546" s="13">
        <v>100000.0</v>
      </c>
    </row>
    <row r="547">
      <c r="B547" s="11">
        <v>46107.0</v>
      </c>
      <c r="C547" s="4" t="s">
        <v>113</v>
      </c>
      <c r="D547" s="4" t="s">
        <v>80</v>
      </c>
      <c r="E547" s="4" t="s">
        <v>86</v>
      </c>
      <c r="F547" s="13" t="s">
        <v>9</v>
      </c>
      <c r="H547" s="4">
        <v>5.0</v>
      </c>
      <c r="K547" s="13">
        <v>5.0</v>
      </c>
      <c r="L547" s="13">
        <v>100000.0</v>
      </c>
    </row>
    <row r="548">
      <c r="B548" s="11">
        <v>46107.0</v>
      </c>
      <c r="C548" s="4" t="s">
        <v>113</v>
      </c>
      <c r="D548" s="4" t="s">
        <v>80</v>
      </c>
      <c r="E548" s="4" t="s">
        <v>86</v>
      </c>
      <c r="F548" s="13" t="s">
        <v>10</v>
      </c>
      <c r="H548" s="4">
        <v>4.0</v>
      </c>
      <c r="I548" s="4">
        <v>1.0</v>
      </c>
      <c r="K548" s="13">
        <v>3.0</v>
      </c>
      <c r="L548" s="13">
        <v>60000.0</v>
      </c>
    </row>
    <row r="549">
      <c r="B549" s="11">
        <v>46107.0</v>
      </c>
      <c r="C549" s="4" t="s">
        <v>113</v>
      </c>
      <c r="D549" s="4" t="s">
        <v>80</v>
      </c>
      <c r="E549" s="4" t="s">
        <v>86</v>
      </c>
      <c r="F549" s="13" t="s">
        <v>11</v>
      </c>
      <c r="H549" s="4">
        <v>2.0</v>
      </c>
      <c r="K549" s="13">
        <v>2.0</v>
      </c>
      <c r="L549" s="13">
        <v>40000.0</v>
      </c>
    </row>
    <row r="550">
      <c r="B550" s="11">
        <v>46107.0</v>
      </c>
      <c r="C550" s="4" t="s">
        <v>113</v>
      </c>
      <c r="D550" s="4" t="s">
        <v>80</v>
      </c>
      <c r="E550" s="4" t="s">
        <v>86</v>
      </c>
      <c r="F550" s="13" t="s">
        <v>12</v>
      </c>
      <c r="H550" s="4">
        <v>1.0</v>
      </c>
      <c r="K550" s="13">
        <v>1.0</v>
      </c>
      <c r="L550" s="13">
        <v>20000.0</v>
      </c>
    </row>
    <row r="551">
      <c r="B551" s="11">
        <v>46107.0</v>
      </c>
      <c r="C551" s="4" t="s">
        <v>113</v>
      </c>
      <c r="D551" s="4" t="s">
        <v>80</v>
      </c>
      <c r="E551" s="4" t="s">
        <v>86</v>
      </c>
      <c r="F551" s="13" t="s">
        <v>13</v>
      </c>
      <c r="H551" s="4">
        <v>1.0</v>
      </c>
      <c r="K551" s="13">
        <v>1.0</v>
      </c>
      <c r="L551" s="13">
        <v>20000.0</v>
      </c>
    </row>
    <row r="552">
      <c r="B552" s="11">
        <v>46107.0</v>
      </c>
      <c r="C552" s="4" t="s">
        <v>113</v>
      </c>
      <c r="D552" s="4" t="s">
        <v>80</v>
      </c>
      <c r="E552" s="4" t="s">
        <v>86</v>
      </c>
      <c r="F552" s="13" t="s">
        <v>14</v>
      </c>
      <c r="H552" s="4">
        <v>1.0</v>
      </c>
      <c r="K552" s="13">
        <v>1.0</v>
      </c>
      <c r="L552" s="13">
        <v>22000.0</v>
      </c>
    </row>
    <row r="553">
      <c r="B553" s="11">
        <v>46107.0</v>
      </c>
      <c r="C553" s="4" t="s">
        <v>113</v>
      </c>
      <c r="D553" s="4" t="s">
        <v>80</v>
      </c>
      <c r="E553" s="4" t="s">
        <v>86</v>
      </c>
      <c r="F553" s="13" t="s">
        <v>15</v>
      </c>
      <c r="H553" s="4">
        <v>30.0</v>
      </c>
      <c r="I553" s="4">
        <v>4.0</v>
      </c>
      <c r="K553" s="13">
        <v>26.0</v>
      </c>
      <c r="L553" s="13">
        <v>520000.0</v>
      </c>
    </row>
    <row r="554">
      <c r="B554" s="11">
        <v>46107.0</v>
      </c>
      <c r="C554" s="4" t="s">
        <v>114</v>
      </c>
      <c r="D554" s="4" t="s">
        <v>80</v>
      </c>
      <c r="E554" s="13"/>
      <c r="F554" s="13" t="s">
        <v>4</v>
      </c>
      <c r="G554" s="13" t="str">
        <f t="shared" ref="G554:G613" si="13">I542</f>
        <v/>
      </c>
      <c r="K554" s="13">
        <v>0.0</v>
      </c>
      <c r="L554" s="13">
        <v>0.0</v>
      </c>
    </row>
    <row r="555">
      <c r="B555" s="11">
        <v>46107.0</v>
      </c>
      <c r="C555" s="4" t="s">
        <v>114</v>
      </c>
      <c r="D555" s="4" t="s">
        <v>80</v>
      </c>
      <c r="E555" s="13"/>
      <c r="F555" s="13" t="s">
        <v>5</v>
      </c>
      <c r="G555" s="13" t="str">
        <f t="shared" si="13"/>
        <v/>
      </c>
      <c r="K555" s="13">
        <v>0.0</v>
      </c>
      <c r="L555" s="13">
        <v>0.0</v>
      </c>
    </row>
    <row r="556">
      <c r="B556" s="11">
        <v>46107.0</v>
      </c>
      <c r="C556" s="4" t="s">
        <v>114</v>
      </c>
      <c r="D556" s="4" t="s">
        <v>80</v>
      </c>
      <c r="E556" s="13"/>
      <c r="F556" s="13" t="s">
        <v>6</v>
      </c>
      <c r="G556" s="13">
        <f t="shared" si="13"/>
        <v>1</v>
      </c>
      <c r="K556" s="13">
        <v>1.0</v>
      </c>
      <c r="L556" s="13">
        <v>20000.0</v>
      </c>
    </row>
    <row r="557">
      <c r="B557" s="11">
        <v>46107.0</v>
      </c>
      <c r="C557" s="4" t="s">
        <v>114</v>
      </c>
      <c r="D557" s="4" t="s">
        <v>80</v>
      </c>
      <c r="E557" s="13"/>
      <c r="F557" s="13" t="s">
        <v>7</v>
      </c>
      <c r="G557" s="13" t="str">
        <f t="shared" si="13"/>
        <v/>
      </c>
      <c r="K557" s="13">
        <v>0.0</v>
      </c>
      <c r="L557" s="13">
        <v>0.0</v>
      </c>
    </row>
    <row r="558">
      <c r="B558" s="11">
        <v>46107.0</v>
      </c>
      <c r="C558" s="4" t="s">
        <v>114</v>
      </c>
      <c r="D558" s="4" t="s">
        <v>80</v>
      </c>
      <c r="E558" s="13"/>
      <c r="F558" s="13" t="s">
        <v>8</v>
      </c>
      <c r="G558" s="13" t="str">
        <f t="shared" si="13"/>
        <v/>
      </c>
      <c r="K558" s="13">
        <v>0.0</v>
      </c>
      <c r="L558" s="13">
        <v>0.0</v>
      </c>
    </row>
    <row r="559">
      <c r="B559" s="11">
        <v>46107.0</v>
      </c>
      <c r="C559" s="4" t="s">
        <v>114</v>
      </c>
      <c r="D559" s="4" t="s">
        <v>80</v>
      </c>
      <c r="E559" s="13"/>
      <c r="F559" s="13" t="s">
        <v>9</v>
      </c>
      <c r="G559" s="13" t="str">
        <f t="shared" si="13"/>
        <v/>
      </c>
      <c r="K559" s="13">
        <v>0.0</v>
      </c>
      <c r="L559" s="13">
        <v>0.0</v>
      </c>
    </row>
    <row r="560">
      <c r="B560" s="11">
        <v>46107.0</v>
      </c>
      <c r="C560" s="4" t="s">
        <v>114</v>
      </c>
      <c r="D560" s="4" t="s">
        <v>80</v>
      </c>
      <c r="E560" s="13"/>
      <c r="F560" s="13" t="s">
        <v>10</v>
      </c>
      <c r="G560" s="13">
        <f t="shared" si="13"/>
        <v>1</v>
      </c>
      <c r="K560" s="13">
        <v>1.0</v>
      </c>
      <c r="L560" s="13">
        <v>20000.0</v>
      </c>
    </row>
    <row r="561">
      <c r="B561" s="11">
        <v>46107.0</v>
      </c>
      <c r="C561" s="4" t="s">
        <v>114</v>
      </c>
      <c r="D561" s="4" t="s">
        <v>80</v>
      </c>
      <c r="E561" s="13"/>
      <c r="F561" s="13" t="s">
        <v>11</v>
      </c>
      <c r="G561" s="13" t="str">
        <f t="shared" si="13"/>
        <v/>
      </c>
      <c r="K561" s="13">
        <v>0.0</v>
      </c>
      <c r="L561" s="13">
        <v>0.0</v>
      </c>
    </row>
    <row r="562">
      <c r="B562" s="11">
        <v>46107.0</v>
      </c>
      <c r="C562" s="4" t="s">
        <v>114</v>
      </c>
      <c r="D562" s="4" t="s">
        <v>80</v>
      </c>
      <c r="E562" s="13"/>
      <c r="F562" s="13" t="s">
        <v>12</v>
      </c>
      <c r="G562" s="13" t="str">
        <f t="shared" si="13"/>
        <v/>
      </c>
      <c r="K562" s="13">
        <v>0.0</v>
      </c>
      <c r="L562" s="13">
        <v>0.0</v>
      </c>
    </row>
    <row r="563">
      <c r="B563" s="11">
        <v>46107.0</v>
      </c>
      <c r="C563" s="4" t="s">
        <v>114</v>
      </c>
      <c r="D563" s="4" t="s">
        <v>80</v>
      </c>
      <c r="E563" s="13"/>
      <c r="F563" s="13" t="s">
        <v>13</v>
      </c>
      <c r="G563" s="13" t="str">
        <f t="shared" si="13"/>
        <v/>
      </c>
      <c r="K563" s="13">
        <v>0.0</v>
      </c>
      <c r="L563" s="13">
        <v>0.0</v>
      </c>
    </row>
    <row r="564">
      <c r="B564" s="11">
        <v>46107.0</v>
      </c>
      <c r="C564" s="4" t="s">
        <v>114</v>
      </c>
      <c r="D564" s="4" t="s">
        <v>80</v>
      </c>
      <c r="E564" s="13"/>
      <c r="F564" s="13" t="s">
        <v>14</v>
      </c>
      <c r="G564" s="13" t="str">
        <f t="shared" si="13"/>
        <v/>
      </c>
      <c r="K564" s="13">
        <v>0.0</v>
      </c>
      <c r="L564" s="13">
        <v>0.0</v>
      </c>
    </row>
    <row r="565">
      <c r="B565" s="11">
        <v>46107.0</v>
      </c>
      <c r="C565" s="4" t="s">
        <v>114</v>
      </c>
      <c r="D565" s="4" t="s">
        <v>80</v>
      </c>
      <c r="E565" s="13"/>
      <c r="F565" s="13" t="s">
        <v>15</v>
      </c>
      <c r="G565" s="13">
        <f t="shared" si="13"/>
        <v>4</v>
      </c>
      <c r="K565" s="13">
        <v>4.0</v>
      </c>
      <c r="L565" s="13">
        <v>80000.0</v>
      </c>
    </row>
    <row r="566">
      <c r="A566" s="13"/>
      <c r="B566" s="11">
        <v>46107.0</v>
      </c>
      <c r="C566" s="4" t="s">
        <v>113</v>
      </c>
      <c r="D566" s="4" t="s">
        <v>302</v>
      </c>
      <c r="E566" s="4" t="s">
        <v>299</v>
      </c>
      <c r="F566" s="13" t="s">
        <v>4</v>
      </c>
      <c r="G566" s="13" t="str">
        <f t="shared" si="13"/>
        <v/>
      </c>
      <c r="H566" s="13"/>
      <c r="I566" s="13"/>
      <c r="J566" s="13"/>
      <c r="K566" s="13">
        <v>0.0</v>
      </c>
      <c r="L566" s="13">
        <v>0.0</v>
      </c>
      <c r="M566" s="13"/>
      <c r="N566" s="13"/>
      <c r="O566" s="13"/>
      <c r="P566" s="13"/>
      <c r="Q566" s="13"/>
      <c r="R566" s="13"/>
      <c r="S566" s="13"/>
      <c r="T566" s="13"/>
      <c r="U566" s="13"/>
      <c r="V566" s="13"/>
      <c r="W566" s="13"/>
      <c r="X566" s="13"/>
      <c r="Y566" s="13"/>
      <c r="Z566" s="13"/>
      <c r="AA566" s="13"/>
      <c r="AB566" s="13"/>
      <c r="AC566" s="13"/>
    </row>
    <row r="567">
      <c r="A567" s="13"/>
      <c r="B567" s="11">
        <v>46107.0</v>
      </c>
      <c r="C567" s="4" t="s">
        <v>113</v>
      </c>
      <c r="D567" s="4" t="s">
        <v>302</v>
      </c>
      <c r="E567" s="4" t="s">
        <v>299</v>
      </c>
      <c r="F567" s="13" t="s">
        <v>5</v>
      </c>
      <c r="G567" s="13" t="str">
        <f t="shared" si="13"/>
        <v/>
      </c>
      <c r="H567" s="13"/>
      <c r="I567" s="13"/>
      <c r="J567" s="13"/>
      <c r="K567" s="13">
        <v>0.0</v>
      </c>
      <c r="L567" s="13">
        <v>0.0</v>
      </c>
      <c r="M567" s="13"/>
      <c r="N567" s="13"/>
      <c r="O567" s="13"/>
      <c r="P567" s="13"/>
      <c r="Q567" s="13"/>
      <c r="R567" s="13"/>
      <c r="S567" s="13"/>
      <c r="T567" s="13"/>
      <c r="U567" s="13"/>
      <c r="V567" s="13"/>
      <c r="W567" s="13"/>
      <c r="X567" s="13"/>
      <c r="Y567" s="13"/>
      <c r="Z567" s="13"/>
      <c r="AA567" s="13"/>
      <c r="AB567" s="13"/>
      <c r="AC567" s="13"/>
    </row>
    <row r="568">
      <c r="A568" s="13"/>
      <c r="B568" s="11">
        <v>46107.0</v>
      </c>
      <c r="C568" s="4" t="s">
        <v>113</v>
      </c>
      <c r="D568" s="4" t="s">
        <v>302</v>
      </c>
      <c r="E568" s="4" t="s">
        <v>299</v>
      </c>
      <c r="F568" s="13" t="s">
        <v>6</v>
      </c>
      <c r="G568" s="13" t="str">
        <f t="shared" si="13"/>
        <v/>
      </c>
      <c r="H568" s="13"/>
      <c r="I568" s="13"/>
      <c r="J568" s="13"/>
      <c r="K568" s="13">
        <v>0.0</v>
      </c>
      <c r="L568" s="13">
        <v>0.0</v>
      </c>
      <c r="M568" s="13"/>
      <c r="N568" s="13"/>
      <c r="O568" s="13"/>
      <c r="P568" s="13"/>
      <c r="Q568" s="13"/>
      <c r="R568" s="13"/>
      <c r="S568" s="13"/>
      <c r="T568" s="13"/>
      <c r="U568" s="13"/>
      <c r="V568" s="13"/>
      <c r="W568" s="13"/>
      <c r="X568" s="13"/>
      <c r="Y568" s="13"/>
      <c r="Z568" s="13"/>
      <c r="AA568" s="13"/>
      <c r="AB568" s="13"/>
      <c r="AC568" s="13"/>
    </row>
    <row r="569">
      <c r="A569" s="13"/>
      <c r="B569" s="11">
        <v>46107.0</v>
      </c>
      <c r="C569" s="4" t="s">
        <v>113</v>
      </c>
      <c r="D569" s="4" t="s">
        <v>302</v>
      </c>
      <c r="E569" s="4" t="s">
        <v>299</v>
      </c>
      <c r="F569" s="13" t="s">
        <v>7</v>
      </c>
      <c r="G569" s="13" t="str">
        <f t="shared" si="13"/>
        <v/>
      </c>
      <c r="H569" s="13"/>
      <c r="I569" s="13"/>
      <c r="J569" s="13"/>
      <c r="K569" s="13">
        <v>0.0</v>
      </c>
      <c r="L569" s="13">
        <v>0.0</v>
      </c>
      <c r="M569" s="13"/>
      <c r="N569" s="13"/>
      <c r="O569" s="13"/>
      <c r="P569" s="13"/>
      <c r="Q569" s="13"/>
      <c r="R569" s="13"/>
      <c r="S569" s="13"/>
      <c r="T569" s="13"/>
      <c r="U569" s="13"/>
      <c r="V569" s="13"/>
      <c r="W569" s="13"/>
      <c r="X569" s="13"/>
      <c r="Y569" s="13"/>
      <c r="Z569" s="13"/>
      <c r="AA569" s="13"/>
      <c r="AB569" s="13"/>
      <c r="AC569" s="13"/>
    </row>
    <row r="570">
      <c r="A570" s="13"/>
      <c r="B570" s="11">
        <v>46107.0</v>
      </c>
      <c r="C570" s="4" t="s">
        <v>113</v>
      </c>
      <c r="D570" s="4" t="s">
        <v>302</v>
      </c>
      <c r="E570" s="4" t="s">
        <v>299</v>
      </c>
      <c r="F570" s="13" t="s">
        <v>8</v>
      </c>
      <c r="G570" s="13" t="str">
        <f t="shared" si="13"/>
        <v/>
      </c>
      <c r="H570" s="13"/>
      <c r="I570" s="13"/>
      <c r="J570" s="13"/>
      <c r="K570" s="13">
        <v>0.0</v>
      </c>
      <c r="L570" s="13">
        <v>0.0</v>
      </c>
      <c r="M570" s="13"/>
      <c r="N570" s="13"/>
      <c r="O570" s="13"/>
      <c r="P570" s="13"/>
      <c r="Q570" s="13"/>
      <c r="R570" s="13"/>
      <c r="S570" s="13"/>
      <c r="T570" s="13"/>
      <c r="U570" s="13"/>
      <c r="V570" s="13"/>
      <c r="W570" s="13"/>
      <c r="X570" s="13"/>
      <c r="Y570" s="13"/>
      <c r="Z570" s="13"/>
      <c r="AA570" s="13"/>
      <c r="AB570" s="13"/>
      <c r="AC570" s="13"/>
    </row>
    <row r="571">
      <c r="A571" s="13"/>
      <c r="B571" s="11">
        <v>46107.0</v>
      </c>
      <c r="C571" s="4" t="s">
        <v>113</v>
      </c>
      <c r="D571" s="4" t="s">
        <v>302</v>
      </c>
      <c r="E571" s="4" t="s">
        <v>299</v>
      </c>
      <c r="F571" s="13" t="s">
        <v>9</v>
      </c>
      <c r="G571" s="13" t="str">
        <f t="shared" si="13"/>
        <v/>
      </c>
      <c r="H571" s="13"/>
      <c r="I571" s="13"/>
      <c r="J571" s="13"/>
      <c r="K571" s="13">
        <v>0.0</v>
      </c>
      <c r="L571" s="13">
        <v>0.0</v>
      </c>
      <c r="M571" s="13"/>
      <c r="N571" s="13"/>
      <c r="O571" s="13"/>
      <c r="P571" s="13"/>
      <c r="Q571" s="13"/>
      <c r="R571" s="13"/>
      <c r="S571" s="13"/>
      <c r="T571" s="13"/>
      <c r="U571" s="13"/>
      <c r="V571" s="13"/>
      <c r="W571" s="13"/>
      <c r="X571" s="13"/>
      <c r="Y571" s="13"/>
      <c r="Z571" s="13"/>
      <c r="AA571" s="13"/>
      <c r="AB571" s="13"/>
      <c r="AC571" s="13"/>
    </row>
    <row r="572">
      <c r="A572" s="13"/>
      <c r="B572" s="11">
        <v>46107.0</v>
      </c>
      <c r="C572" s="4" t="s">
        <v>113</v>
      </c>
      <c r="D572" s="4" t="s">
        <v>302</v>
      </c>
      <c r="E572" s="4" t="s">
        <v>299</v>
      </c>
      <c r="F572" s="13" t="s">
        <v>10</v>
      </c>
      <c r="G572" s="13" t="str">
        <f t="shared" si="13"/>
        <v/>
      </c>
      <c r="H572" s="13"/>
      <c r="I572" s="13"/>
      <c r="J572" s="13"/>
      <c r="K572" s="13">
        <v>0.0</v>
      </c>
      <c r="L572" s="13">
        <v>0.0</v>
      </c>
      <c r="M572" s="13"/>
      <c r="N572" s="13"/>
      <c r="O572" s="13"/>
      <c r="P572" s="13"/>
      <c r="Q572" s="13"/>
      <c r="R572" s="13"/>
      <c r="S572" s="13"/>
      <c r="T572" s="13"/>
      <c r="U572" s="13"/>
      <c r="V572" s="13"/>
      <c r="W572" s="13"/>
      <c r="X572" s="13"/>
      <c r="Y572" s="13"/>
      <c r="Z572" s="13"/>
      <c r="AA572" s="13"/>
      <c r="AB572" s="13"/>
      <c r="AC572" s="13"/>
    </row>
    <row r="573">
      <c r="A573" s="13"/>
      <c r="B573" s="11">
        <v>46107.0</v>
      </c>
      <c r="C573" s="4" t="s">
        <v>113</v>
      </c>
      <c r="D573" s="4" t="s">
        <v>302</v>
      </c>
      <c r="E573" s="4" t="s">
        <v>299</v>
      </c>
      <c r="F573" s="13" t="s">
        <v>11</v>
      </c>
      <c r="G573" s="13" t="str">
        <f t="shared" si="13"/>
        <v/>
      </c>
      <c r="H573" s="13"/>
      <c r="I573" s="13"/>
      <c r="J573" s="13"/>
      <c r="K573" s="13">
        <v>0.0</v>
      </c>
      <c r="L573" s="13">
        <v>0.0</v>
      </c>
      <c r="M573" s="13"/>
      <c r="N573" s="13"/>
      <c r="O573" s="13"/>
      <c r="P573" s="13"/>
      <c r="Q573" s="13"/>
      <c r="R573" s="13"/>
      <c r="S573" s="13"/>
      <c r="T573" s="13"/>
      <c r="U573" s="13"/>
      <c r="V573" s="13"/>
      <c r="W573" s="13"/>
      <c r="X573" s="13"/>
      <c r="Y573" s="13"/>
      <c r="Z573" s="13"/>
      <c r="AA573" s="13"/>
      <c r="AB573" s="13"/>
      <c r="AC573" s="13"/>
    </row>
    <row r="574">
      <c r="A574" s="13"/>
      <c r="B574" s="11">
        <v>46107.0</v>
      </c>
      <c r="C574" s="4" t="s">
        <v>113</v>
      </c>
      <c r="D574" s="4" t="s">
        <v>302</v>
      </c>
      <c r="E574" s="4" t="s">
        <v>299</v>
      </c>
      <c r="F574" s="13" t="s">
        <v>12</v>
      </c>
      <c r="G574" s="13" t="str">
        <f t="shared" si="13"/>
        <v/>
      </c>
      <c r="H574" s="13"/>
      <c r="I574" s="13"/>
      <c r="J574" s="13"/>
      <c r="K574" s="13">
        <v>0.0</v>
      </c>
      <c r="L574" s="13">
        <v>0.0</v>
      </c>
      <c r="M574" s="13"/>
      <c r="N574" s="13"/>
      <c r="O574" s="13"/>
      <c r="P574" s="13"/>
      <c r="Q574" s="13"/>
      <c r="R574" s="13"/>
      <c r="S574" s="13"/>
      <c r="T574" s="13"/>
      <c r="U574" s="13"/>
      <c r="V574" s="13"/>
      <c r="W574" s="13"/>
      <c r="X574" s="13"/>
      <c r="Y574" s="13"/>
      <c r="Z574" s="13"/>
      <c r="AA574" s="13"/>
      <c r="AB574" s="13"/>
      <c r="AC574" s="13"/>
    </row>
    <row r="575">
      <c r="A575" s="13"/>
      <c r="B575" s="11">
        <v>46107.0</v>
      </c>
      <c r="C575" s="4" t="s">
        <v>113</v>
      </c>
      <c r="D575" s="4" t="s">
        <v>302</v>
      </c>
      <c r="E575" s="4" t="s">
        <v>299</v>
      </c>
      <c r="F575" s="13" t="s">
        <v>13</v>
      </c>
      <c r="G575" s="13" t="str">
        <f t="shared" si="13"/>
        <v/>
      </c>
      <c r="H575" s="13"/>
      <c r="I575" s="13"/>
      <c r="J575" s="13"/>
      <c r="K575" s="13">
        <v>0.0</v>
      </c>
      <c r="L575" s="13">
        <v>0.0</v>
      </c>
      <c r="M575" s="13"/>
      <c r="N575" s="13"/>
      <c r="O575" s="13"/>
      <c r="P575" s="13"/>
      <c r="Q575" s="13"/>
      <c r="R575" s="13"/>
      <c r="S575" s="13"/>
      <c r="T575" s="13"/>
      <c r="U575" s="13"/>
      <c r="V575" s="13"/>
      <c r="W575" s="13"/>
      <c r="X575" s="13"/>
      <c r="Y575" s="13"/>
      <c r="Z575" s="13"/>
      <c r="AA575" s="13"/>
      <c r="AB575" s="13"/>
      <c r="AC575" s="13"/>
    </row>
    <row r="576">
      <c r="A576" s="13"/>
      <c r="B576" s="11">
        <v>46107.0</v>
      </c>
      <c r="C576" s="4" t="s">
        <v>113</v>
      </c>
      <c r="D576" s="4" t="s">
        <v>302</v>
      </c>
      <c r="E576" s="4" t="s">
        <v>299</v>
      </c>
      <c r="F576" s="13" t="s">
        <v>14</v>
      </c>
      <c r="G576" s="13" t="str">
        <f t="shared" si="13"/>
        <v/>
      </c>
      <c r="H576" s="13"/>
      <c r="I576" s="13"/>
      <c r="J576" s="13"/>
      <c r="K576" s="13">
        <v>0.0</v>
      </c>
      <c r="L576" s="13">
        <v>0.0</v>
      </c>
      <c r="M576" s="13"/>
      <c r="N576" s="13"/>
      <c r="O576" s="13"/>
      <c r="P576" s="13"/>
      <c r="Q576" s="13"/>
      <c r="R576" s="13"/>
      <c r="S576" s="13"/>
      <c r="T576" s="13"/>
      <c r="U576" s="13"/>
      <c r="V576" s="13"/>
      <c r="W576" s="13"/>
      <c r="X576" s="13"/>
      <c r="Y576" s="13"/>
      <c r="Z576" s="13"/>
      <c r="AA576" s="13"/>
      <c r="AB576" s="13"/>
      <c r="AC576" s="13"/>
    </row>
    <row r="577">
      <c r="A577" s="13"/>
      <c r="B577" s="11">
        <v>46107.0</v>
      </c>
      <c r="C577" s="4" t="s">
        <v>113</v>
      </c>
      <c r="D577" s="4" t="s">
        <v>302</v>
      </c>
      <c r="E577" s="4" t="s">
        <v>299</v>
      </c>
      <c r="F577" s="13" t="s">
        <v>15</v>
      </c>
      <c r="G577" s="13" t="str">
        <f t="shared" si="13"/>
        <v/>
      </c>
      <c r="H577" s="13"/>
      <c r="I577" s="13"/>
      <c r="J577" s="13"/>
      <c r="K577" s="13">
        <v>0.0</v>
      </c>
      <c r="L577" s="13">
        <v>0.0</v>
      </c>
      <c r="M577" s="13"/>
      <c r="N577" s="13"/>
      <c r="O577" s="13"/>
      <c r="P577" s="13"/>
      <c r="Q577" s="13"/>
      <c r="R577" s="13"/>
      <c r="S577" s="13"/>
      <c r="T577" s="13"/>
      <c r="U577" s="13"/>
      <c r="V577" s="13"/>
      <c r="W577" s="13"/>
      <c r="X577" s="13"/>
      <c r="Y577" s="13"/>
      <c r="Z577" s="13"/>
      <c r="AA577" s="13"/>
      <c r="AB577" s="13"/>
      <c r="AC577" s="13"/>
    </row>
    <row r="578">
      <c r="B578" s="11">
        <v>46107.0</v>
      </c>
      <c r="C578" s="4" t="s">
        <v>114</v>
      </c>
      <c r="D578" s="4" t="s">
        <v>302</v>
      </c>
      <c r="E578" s="13"/>
      <c r="F578" s="13" t="s">
        <v>4</v>
      </c>
      <c r="G578" s="13" t="str">
        <f t="shared" si="13"/>
        <v/>
      </c>
      <c r="K578" s="13">
        <v>0.0</v>
      </c>
      <c r="L578" s="13">
        <v>0.0</v>
      </c>
    </row>
    <row r="579">
      <c r="B579" s="11">
        <v>46107.0</v>
      </c>
      <c r="C579" s="13"/>
      <c r="D579" s="13"/>
      <c r="E579" s="13"/>
      <c r="F579" s="13" t="s">
        <v>5</v>
      </c>
      <c r="G579" s="13" t="str">
        <f t="shared" si="13"/>
        <v/>
      </c>
      <c r="K579" s="13">
        <v>0.0</v>
      </c>
      <c r="L579" s="13">
        <v>0.0</v>
      </c>
    </row>
    <row r="580">
      <c r="B580" s="11">
        <v>46107.0</v>
      </c>
      <c r="C580" s="13"/>
      <c r="D580" s="13"/>
      <c r="E580" s="13"/>
      <c r="F580" s="13" t="s">
        <v>6</v>
      </c>
      <c r="G580" s="13" t="str">
        <f t="shared" si="13"/>
        <v/>
      </c>
      <c r="K580" s="13">
        <v>0.0</v>
      </c>
      <c r="L580" s="13">
        <v>0.0</v>
      </c>
    </row>
    <row r="581">
      <c r="B581" s="11">
        <v>46107.0</v>
      </c>
      <c r="C581" s="13"/>
      <c r="D581" s="13"/>
      <c r="E581" s="13"/>
      <c r="F581" s="13" t="s">
        <v>7</v>
      </c>
      <c r="G581" s="13" t="str">
        <f t="shared" si="13"/>
        <v/>
      </c>
      <c r="K581" s="13">
        <v>0.0</v>
      </c>
      <c r="L581" s="13">
        <v>0.0</v>
      </c>
    </row>
    <row r="582">
      <c r="B582" s="11">
        <v>46107.0</v>
      </c>
      <c r="C582" s="13"/>
      <c r="D582" s="13"/>
      <c r="E582" s="13"/>
      <c r="F582" s="13" t="s">
        <v>8</v>
      </c>
      <c r="G582" s="13" t="str">
        <f t="shared" si="13"/>
        <v/>
      </c>
      <c r="K582" s="13">
        <v>0.0</v>
      </c>
      <c r="L582" s="13">
        <v>0.0</v>
      </c>
    </row>
    <row r="583">
      <c r="B583" s="11">
        <v>46107.0</v>
      </c>
      <c r="C583" s="13"/>
      <c r="D583" s="13"/>
      <c r="E583" s="13"/>
      <c r="F583" s="13" t="s">
        <v>9</v>
      </c>
      <c r="G583" s="13" t="str">
        <f t="shared" si="13"/>
        <v/>
      </c>
      <c r="K583" s="13">
        <v>0.0</v>
      </c>
      <c r="L583" s="13">
        <v>0.0</v>
      </c>
    </row>
    <row r="584">
      <c r="B584" s="11">
        <v>46107.0</v>
      </c>
      <c r="C584" s="13"/>
      <c r="D584" s="13"/>
      <c r="E584" s="13"/>
      <c r="F584" s="13" t="s">
        <v>10</v>
      </c>
      <c r="G584" s="13" t="str">
        <f t="shared" si="13"/>
        <v/>
      </c>
      <c r="K584" s="13">
        <v>0.0</v>
      </c>
      <c r="L584" s="13">
        <v>0.0</v>
      </c>
    </row>
    <row r="585">
      <c r="B585" s="11">
        <v>46107.0</v>
      </c>
      <c r="C585" s="13"/>
      <c r="D585" s="13"/>
      <c r="E585" s="13"/>
      <c r="F585" s="13" t="s">
        <v>11</v>
      </c>
      <c r="G585" s="13" t="str">
        <f t="shared" si="13"/>
        <v/>
      </c>
      <c r="K585" s="13">
        <v>0.0</v>
      </c>
      <c r="L585" s="13">
        <v>0.0</v>
      </c>
    </row>
    <row r="586">
      <c r="B586" s="11">
        <v>46107.0</v>
      </c>
      <c r="C586" s="13"/>
      <c r="D586" s="13"/>
      <c r="E586" s="13"/>
      <c r="F586" s="13" t="s">
        <v>12</v>
      </c>
      <c r="G586" s="13" t="str">
        <f t="shared" si="13"/>
        <v/>
      </c>
      <c r="K586" s="13">
        <v>0.0</v>
      </c>
      <c r="L586" s="13">
        <v>0.0</v>
      </c>
    </row>
    <row r="587">
      <c r="B587" s="11">
        <v>46107.0</v>
      </c>
      <c r="C587" s="13"/>
      <c r="D587" s="13"/>
      <c r="E587" s="13"/>
      <c r="F587" s="13" t="s">
        <v>13</v>
      </c>
      <c r="G587" s="13" t="str">
        <f t="shared" si="13"/>
        <v/>
      </c>
      <c r="K587" s="13">
        <v>0.0</v>
      </c>
      <c r="L587" s="13">
        <v>0.0</v>
      </c>
    </row>
    <row r="588">
      <c r="B588" s="11">
        <v>46107.0</v>
      </c>
      <c r="C588" s="4" t="s">
        <v>114</v>
      </c>
      <c r="D588" s="4" t="s">
        <v>302</v>
      </c>
      <c r="E588" s="13"/>
      <c r="F588" s="13" t="s">
        <v>14</v>
      </c>
      <c r="G588" s="13" t="str">
        <f t="shared" si="13"/>
        <v/>
      </c>
      <c r="K588" s="13">
        <v>0.0</v>
      </c>
      <c r="L588" s="13">
        <v>0.0</v>
      </c>
    </row>
    <row r="589">
      <c r="B589" s="11">
        <v>46107.0</v>
      </c>
      <c r="C589" s="4" t="s">
        <v>114</v>
      </c>
      <c r="D589" s="4" t="s">
        <v>302</v>
      </c>
      <c r="E589" s="13"/>
      <c r="F589" s="13" t="s">
        <v>15</v>
      </c>
      <c r="G589" s="13" t="str">
        <f t="shared" si="13"/>
        <v/>
      </c>
      <c r="K589" s="13">
        <v>0.0</v>
      </c>
      <c r="L589" s="13">
        <v>0.0</v>
      </c>
    </row>
    <row r="590">
      <c r="B590" s="11">
        <v>46107.0</v>
      </c>
      <c r="C590" s="4" t="s">
        <v>113</v>
      </c>
      <c r="D590" s="4" t="s">
        <v>304</v>
      </c>
      <c r="E590" s="4" t="s">
        <v>303</v>
      </c>
      <c r="F590" s="13" t="s">
        <v>4</v>
      </c>
      <c r="G590" s="13" t="str">
        <f t="shared" si="13"/>
        <v/>
      </c>
      <c r="H590" s="4">
        <v>5.0</v>
      </c>
      <c r="I590" s="4">
        <v>5.0</v>
      </c>
      <c r="K590" s="13">
        <v>0.0</v>
      </c>
      <c r="L590" s="13">
        <v>0.0</v>
      </c>
    </row>
    <row r="591">
      <c r="B591" s="11">
        <v>46107.0</v>
      </c>
      <c r="C591" s="4" t="s">
        <v>113</v>
      </c>
      <c r="D591" s="4" t="s">
        <v>304</v>
      </c>
      <c r="E591" s="4" t="s">
        <v>303</v>
      </c>
      <c r="F591" s="13" t="s">
        <v>5</v>
      </c>
      <c r="G591" s="13" t="str">
        <f t="shared" si="13"/>
        <v/>
      </c>
      <c r="H591" s="4">
        <v>3.0</v>
      </c>
      <c r="I591" s="4">
        <v>1.0</v>
      </c>
      <c r="K591" s="13">
        <v>2.0</v>
      </c>
      <c r="L591" s="13">
        <v>40000.0</v>
      </c>
    </row>
    <row r="592">
      <c r="B592" s="11">
        <v>46107.0</v>
      </c>
      <c r="C592" s="4" t="s">
        <v>113</v>
      </c>
      <c r="D592" s="4" t="s">
        <v>304</v>
      </c>
      <c r="E592" s="4" t="s">
        <v>303</v>
      </c>
      <c r="F592" s="13" t="s">
        <v>6</v>
      </c>
      <c r="G592" s="13" t="str">
        <f t="shared" si="13"/>
        <v/>
      </c>
      <c r="H592" s="4">
        <v>2.0</v>
      </c>
      <c r="K592" s="13">
        <v>2.0</v>
      </c>
      <c r="L592" s="13">
        <v>40000.0</v>
      </c>
    </row>
    <row r="593">
      <c r="B593" s="11">
        <v>46107.0</v>
      </c>
      <c r="C593" s="4" t="s">
        <v>113</v>
      </c>
      <c r="D593" s="4" t="s">
        <v>304</v>
      </c>
      <c r="E593" s="4" t="s">
        <v>303</v>
      </c>
      <c r="F593" s="13" t="s">
        <v>7</v>
      </c>
      <c r="G593" s="13" t="str">
        <f t="shared" si="13"/>
        <v/>
      </c>
      <c r="H593" s="4">
        <v>2.0</v>
      </c>
      <c r="I593" s="4">
        <v>1.0</v>
      </c>
      <c r="K593" s="13">
        <v>1.0</v>
      </c>
      <c r="L593" s="13">
        <v>20000.0</v>
      </c>
    </row>
    <row r="594">
      <c r="B594" s="11">
        <v>46107.0</v>
      </c>
      <c r="C594" s="4" t="s">
        <v>113</v>
      </c>
      <c r="D594" s="4" t="s">
        <v>304</v>
      </c>
      <c r="E594" s="4" t="s">
        <v>303</v>
      </c>
      <c r="F594" s="13" t="s">
        <v>8</v>
      </c>
      <c r="G594" s="13" t="str">
        <f t="shared" si="13"/>
        <v/>
      </c>
      <c r="H594" s="4">
        <v>3.0</v>
      </c>
      <c r="K594" s="13">
        <v>3.0</v>
      </c>
      <c r="L594" s="13">
        <v>60000.0</v>
      </c>
    </row>
    <row r="595">
      <c r="B595" s="11">
        <v>46107.0</v>
      </c>
      <c r="C595" s="4" t="s">
        <v>113</v>
      </c>
      <c r="D595" s="4" t="s">
        <v>304</v>
      </c>
      <c r="E595" s="4" t="s">
        <v>303</v>
      </c>
      <c r="F595" s="13" t="s">
        <v>9</v>
      </c>
      <c r="G595" s="13" t="str">
        <f t="shared" si="13"/>
        <v/>
      </c>
      <c r="H595" s="4">
        <v>6.0</v>
      </c>
      <c r="I595" s="4">
        <v>2.0</v>
      </c>
      <c r="K595" s="13">
        <v>4.0</v>
      </c>
      <c r="L595" s="13">
        <v>80000.0</v>
      </c>
    </row>
    <row r="596">
      <c r="B596" s="11">
        <v>46107.0</v>
      </c>
      <c r="C596" s="4" t="s">
        <v>113</v>
      </c>
      <c r="D596" s="4" t="s">
        <v>304</v>
      </c>
      <c r="E596" s="4" t="s">
        <v>303</v>
      </c>
      <c r="F596" s="13" t="s">
        <v>10</v>
      </c>
      <c r="G596" s="13" t="str">
        <f t="shared" si="13"/>
        <v/>
      </c>
      <c r="H596" s="4">
        <v>3.0</v>
      </c>
      <c r="K596" s="13">
        <v>3.0</v>
      </c>
      <c r="L596" s="13">
        <v>60000.0</v>
      </c>
    </row>
    <row r="597">
      <c r="B597" s="11">
        <v>46107.0</v>
      </c>
      <c r="C597" s="4" t="s">
        <v>113</v>
      </c>
      <c r="D597" s="4" t="s">
        <v>304</v>
      </c>
      <c r="E597" s="4" t="s">
        <v>303</v>
      </c>
      <c r="F597" s="13" t="s">
        <v>11</v>
      </c>
      <c r="G597" s="13" t="str">
        <f t="shared" si="13"/>
        <v/>
      </c>
      <c r="K597" s="13">
        <v>0.0</v>
      </c>
      <c r="L597" s="13">
        <v>0.0</v>
      </c>
    </row>
    <row r="598">
      <c r="B598" s="11">
        <v>46107.0</v>
      </c>
      <c r="C598" s="4" t="s">
        <v>113</v>
      </c>
      <c r="D598" s="4" t="s">
        <v>304</v>
      </c>
      <c r="E598" s="4" t="s">
        <v>303</v>
      </c>
      <c r="F598" s="13" t="s">
        <v>12</v>
      </c>
      <c r="G598" s="13" t="str">
        <f t="shared" si="13"/>
        <v/>
      </c>
      <c r="H598" s="4">
        <v>2.0</v>
      </c>
      <c r="I598" s="4">
        <v>1.0</v>
      </c>
      <c r="K598" s="13">
        <v>1.0</v>
      </c>
      <c r="L598" s="13">
        <v>20000.0</v>
      </c>
    </row>
    <row r="599">
      <c r="B599" s="11">
        <v>46107.0</v>
      </c>
      <c r="C599" s="4" t="s">
        <v>113</v>
      </c>
      <c r="D599" s="4" t="s">
        <v>304</v>
      </c>
      <c r="E599" s="4" t="s">
        <v>303</v>
      </c>
      <c r="F599" s="13" t="s">
        <v>13</v>
      </c>
      <c r="G599" s="13" t="str">
        <f t="shared" si="13"/>
        <v/>
      </c>
      <c r="H599" s="4">
        <v>3.0</v>
      </c>
      <c r="I599" s="4">
        <v>1.0</v>
      </c>
      <c r="K599" s="13">
        <v>2.0</v>
      </c>
      <c r="L599" s="13">
        <v>40000.0</v>
      </c>
    </row>
    <row r="600">
      <c r="B600" s="11">
        <v>46107.0</v>
      </c>
      <c r="C600" s="4" t="s">
        <v>113</v>
      </c>
      <c r="D600" s="4" t="s">
        <v>304</v>
      </c>
      <c r="E600" s="4" t="s">
        <v>303</v>
      </c>
      <c r="F600" s="13" t="s">
        <v>14</v>
      </c>
      <c r="G600" s="13" t="str">
        <f t="shared" si="13"/>
        <v/>
      </c>
      <c r="K600" s="13">
        <v>0.0</v>
      </c>
      <c r="L600" s="13">
        <v>0.0</v>
      </c>
    </row>
    <row r="601">
      <c r="B601" s="11">
        <v>46107.0</v>
      </c>
      <c r="C601" s="4" t="s">
        <v>113</v>
      </c>
      <c r="D601" s="4" t="s">
        <v>304</v>
      </c>
      <c r="E601" s="4" t="s">
        <v>303</v>
      </c>
      <c r="F601" s="13" t="s">
        <v>15</v>
      </c>
      <c r="G601" s="13" t="str">
        <f t="shared" si="13"/>
        <v/>
      </c>
      <c r="H601" s="4">
        <v>35.0</v>
      </c>
      <c r="I601" s="4">
        <v>30.0</v>
      </c>
      <c r="K601" s="13">
        <v>5.0</v>
      </c>
      <c r="L601" s="13">
        <v>100000.0</v>
      </c>
    </row>
    <row r="602">
      <c r="B602" s="11">
        <v>46107.0</v>
      </c>
      <c r="C602" s="4" t="s">
        <v>114</v>
      </c>
      <c r="D602" s="4" t="s">
        <v>304</v>
      </c>
      <c r="E602" s="13"/>
      <c r="F602" s="13" t="s">
        <v>4</v>
      </c>
      <c r="G602" s="13">
        <f t="shared" si="13"/>
        <v>5</v>
      </c>
      <c r="K602" s="13">
        <v>5.0</v>
      </c>
      <c r="L602" s="13">
        <v>100000.0</v>
      </c>
    </row>
    <row r="603">
      <c r="B603" s="11">
        <v>46107.0</v>
      </c>
      <c r="C603" s="4" t="s">
        <v>114</v>
      </c>
      <c r="D603" s="4" t="s">
        <v>304</v>
      </c>
      <c r="E603" s="13"/>
      <c r="F603" s="13" t="s">
        <v>5</v>
      </c>
      <c r="G603" s="13">
        <f t="shared" si="13"/>
        <v>1</v>
      </c>
      <c r="K603" s="13">
        <v>1.0</v>
      </c>
      <c r="L603" s="13">
        <v>20000.0</v>
      </c>
    </row>
    <row r="604">
      <c r="B604" s="11">
        <v>46107.0</v>
      </c>
      <c r="C604" s="4" t="s">
        <v>114</v>
      </c>
      <c r="D604" s="4" t="s">
        <v>304</v>
      </c>
      <c r="E604" s="13"/>
      <c r="F604" s="13" t="s">
        <v>6</v>
      </c>
      <c r="G604" s="13" t="str">
        <f t="shared" si="13"/>
        <v/>
      </c>
      <c r="K604" s="13">
        <v>0.0</v>
      </c>
      <c r="L604" s="13">
        <v>0.0</v>
      </c>
    </row>
    <row r="605">
      <c r="B605" s="11">
        <v>46107.0</v>
      </c>
      <c r="C605" s="4" t="s">
        <v>114</v>
      </c>
      <c r="D605" s="4" t="s">
        <v>304</v>
      </c>
      <c r="E605" s="13"/>
      <c r="F605" s="13" t="s">
        <v>7</v>
      </c>
      <c r="G605" s="13">
        <f t="shared" si="13"/>
        <v>1</v>
      </c>
      <c r="K605" s="13">
        <v>1.0</v>
      </c>
      <c r="L605" s="13">
        <v>20000.0</v>
      </c>
    </row>
    <row r="606">
      <c r="B606" s="11">
        <v>46107.0</v>
      </c>
      <c r="C606" s="4" t="s">
        <v>114</v>
      </c>
      <c r="D606" s="4" t="s">
        <v>304</v>
      </c>
      <c r="E606" s="13"/>
      <c r="F606" s="13" t="s">
        <v>8</v>
      </c>
      <c r="G606" s="13" t="str">
        <f t="shared" si="13"/>
        <v/>
      </c>
      <c r="K606" s="13">
        <v>0.0</v>
      </c>
      <c r="L606" s="13">
        <v>0.0</v>
      </c>
    </row>
    <row r="607">
      <c r="B607" s="11">
        <v>46107.0</v>
      </c>
      <c r="C607" s="4" t="s">
        <v>114</v>
      </c>
      <c r="D607" s="4" t="s">
        <v>304</v>
      </c>
      <c r="E607" s="13"/>
      <c r="F607" s="13" t="s">
        <v>9</v>
      </c>
      <c r="G607" s="13">
        <f t="shared" si="13"/>
        <v>2</v>
      </c>
      <c r="K607" s="13">
        <v>2.0</v>
      </c>
      <c r="L607" s="13">
        <v>40000.0</v>
      </c>
    </row>
    <row r="608">
      <c r="B608" s="11">
        <v>46107.0</v>
      </c>
      <c r="C608" s="4" t="s">
        <v>114</v>
      </c>
      <c r="D608" s="4" t="s">
        <v>304</v>
      </c>
      <c r="E608" s="13"/>
      <c r="F608" s="13" t="s">
        <v>10</v>
      </c>
      <c r="G608" s="13" t="str">
        <f t="shared" si="13"/>
        <v/>
      </c>
      <c r="K608" s="13">
        <v>0.0</v>
      </c>
      <c r="L608" s="13">
        <v>0.0</v>
      </c>
    </row>
    <row r="609">
      <c r="B609" s="11">
        <v>46107.0</v>
      </c>
      <c r="C609" s="4" t="s">
        <v>114</v>
      </c>
      <c r="D609" s="4" t="s">
        <v>304</v>
      </c>
      <c r="E609" s="13"/>
      <c r="F609" s="13" t="s">
        <v>11</v>
      </c>
      <c r="G609" s="13" t="str">
        <f t="shared" si="13"/>
        <v/>
      </c>
      <c r="K609" s="13">
        <v>0.0</v>
      </c>
      <c r="L609" s="13">
        <v>0.0</v>
      </c>
    </row>
    <row r="610">
      <c r="B610" s="11">
        <v>46107.0</v>
      </c>
      <c r="C610" s="4" t="s">
        <v>114</v>
      </c>
      <c r="D610" s="4" t="s">
        <v>304</v>
      </c>
      <c r="E610" s="13"/>
      <c r="F610" s="13" t="s">
        <v>12</v>
      </c>
      <c r="G610" s="13">
        <f t="shared" si="13"/>
        <v>1</v>
      </c>
      <c r="K610" s="13">
        <v>1.0</v>
      </c>
      <c r="L610" s="13">
        <v>20000.0</v>
      </c>
    </row>
    <row r="611">
      <c r="B611" s="11">
        <v>46107.0</v>
      </c>
      <c r="C611" s="4" t="s">
        <v>114</v>
      </c>
      <c r="D611" s="4" t="s">
        <v>304</v>
      </c>
      <c r="E611" s="13"/>
      <c r="F611" s="13" t="s">
        <v>13</v>
      </c>
      <c r="G611" s="13">
        <f t="shared" si="13"/>
        <v>1</v>
      </c>
      <c r="K611" s="13">
        <v>1.0</v>
      </c>
      <c r="L611" s="13">
        <v>20000.0</v>
      </c>
    </row>
    <row r="612">
      <c r="B612" s="11">
        <v>46107.0</v>
      </c>
      <c r="C612" s="4" t="s">
        <v>114</v>
      </c>
      <c r="D612" s="4" t="s">
        <v>304</v>
      </c>
      <c r="E612" s="13"/>
      <c r="F612" s="13" t="s">
        <v>14</v>
      </c>
      <c r="G612" s="13" t="str">
        <f t="shared" si="13"/>
        <v/>
      </c>
      <c r="K612" s="13">
        <v>0.0</v>
      </c>
      <c r="L612" s="13">
        <v>0.0</v>
      </c>
    </row>
    <row r="613">
      <c r="B613" s="11">
        <v>46107.0</v>
      </c>
      <c r="C613" s="4" t="s">
        <v>114</v>
      </c>
      <c r="D613" s="4" t="s">
        <v>304</v>
      </c>
      <c r="E613" s="13"/>
      <c r="F613" s="13" t="s">
        <v>15</v>
      </c>
      <c r="G613" s="13">
        <f t="shared" si="13"/>
        <v>30</v>
      </c>
      <c r="K613" s="13">
        <v>30.0</v>
      </c>
      <c r="L613" s="13">
        <v>600000.0</v>
      </c>
    </row>
    <row r="614">
      <c r="B614" s="11">
        <v>46107.0</v>
      </c>
      <c r="C614" s="13"/>
      <c r="D614" s="13"/>
      <c r="E614" s="13"/>
      <c r="F614" s="13" t="s">
        <v>4</v>
      </c>
      <c r="K614" s="13">
        <v>0.0</v>
      </c>
      <c r="L614" s="13">
        <v>0.0</v>
      </c>
    </row>
    <row r="615">
      <c r="B615" s="11">
        <v>46107.0</v>
      </c>
      <c r="C615" s="13"/>
      <c r="D615" s="13"/>
      <c r="E615" s="13"/>
      <c r="F615" s="13" t="s">
        <v>5</v>
      </c>
      <c r="K615" s="13">
        <v>0.0</v>
      </c>
      <c r="L615" s="13">
        <v>0.0</v>
      </c>
    </row>
    <row r="616">
      <c r="B616" s="11">
        <v>46107.0</v>
      </c>
      <c r="C616" s="13"/>
      <c r="D616" s="13"/>
      <c r="E616" s="13"/>
      <c r="F616" s="13" t="s">
        <v>6</v>
      </c>
      <c r="K616" s="13">
        <v>0.0</v>
      </c>
      <c r="L616" s="13">
        <v>0.0</v>
      </c>
    </row>
    <row r="617">
      <c r="B617" s="11">
        <v>46107.0</v>
      </c>
      <c r="C617" s="13"/>
      <c r="D617" s="13"/>
      <c r="E617" s="13"/>
      <c r="F617" s="13" t="s">
        <v>7</v>
      </c>
      <c r="K617" s="13">
        <v>0.0</v>
      </c>
      <c r="L617" s="13">
        <v>0.0</v>
      </c>
    </row>
    <row r="618">
      <c r="B618" s="11">
        <v>46107.0</v>
      </c>
      <c r="C618" s="13"/>
      <c r="D618" s="13"/>
      <c r="E618" s="13"/>
      <c r="F618" s="13" t="s">
        <v>8</v>
      </c>
      <c r="K618" s="13">
        <v>0.0</v>
      </c>
      <c r="L618" s="13">
        <v>0.0</v>
      </c>
    </row>
    <row r="619">
      <c r="B619" s="11">
        <v>46107.0</v>
      </c>
      <c r="C619" s="13"/>
      <c r="D619" s="13"/>
      <c r="E619" s="13"/>
      <c r="F619" s="13" t="s">
        <v>9</v>
      </c>
      <c r="K619" s="13">
        <v>0.0</v>
      </c>
      <c r="L619" s="13">
        <v>0.0</v>
      </c>
    </row>
    <row r="620">
      <c r="B620" s="11">
        <v>46107.0</v>
      </c>
      <c r="C620" s="13"/>
      <c r="D620" s="13"/>
      <c r="E620" s="13"/>
      <c r="F620" s="13" t="s">
        <v>10</v>
      </c>
      <c r="K620" s="13">
        <v>0.0</v>
      </c>
      <c r="L620" s="13">
        <v>0.0</v>
      </c>
    </row>
    <row r="621">
      <c r="B621" s="11">
        <v>46107.0</v>
      </c>
      <c r="C621" s="13"/>
      <c r="D621" s="13"/>
      <c r="E621" s="13"/>
      <c r="F621" s="13" t="s">
        <v>11</v>
      </c>
      <c r="K621" s="13">
        <v>0.0</v>
      </c>
      <c r="L621" s="13">
        <v>0.0</v>
      </c>
    </row>
    <row r="622">
      <c r="B622" s="11">
        <v>46107.0</v>
      </c>
      <c r="C622" s="13"/>
      <c r="D622" s="13"/>
      <c r="E622" s="13"/>
      <c r="F622" s="13" t="s">
        <v>12</v>
      </c>
      <c r="K622" s="13">
        <v>0.0</v>
      </c>
      <c r="L622" s="13">
        <v>0.0</v>
      </c>
    </row>
    <row r="623">
      <c r="B623" s="11">
        <v>46107.0</v>
      </c>
      <c r="C623" s="13"/>
      <c r="D623" s="13"/>
      <c r="E623" s="13"/>
      <c r="F623" s="13" t="s">
        <v>13</v>
      </c>
      <c r="K623" s="13">
        <v>0.0</v>
      </c>
      <c r="L623" s="13">
        <v>0.0</v>
      </c>
    </row>
    <row r="624">
      <c r="B624" s="11">
        <v>46107.0</v>
      </c>
      <c r="C624" s="13"/>
      <c r="D624" s="13"/>
      <c r="E624" s="13"/>
      <c r="F624" s="13" t="s">
        <v>14</v>
      </c>
      <c r="K624" s="13">
        <v>0.0</v>
      </c>
      <c r="L624" s="13">
        <v>0.0</v>
      </c>
    </row>
    <row r="625">
      <c r="B625" s="11">
        <v>46107.0</v>
      </c>
      <c r="C625" s="13"/>
      <c r="D625" s="13"/>
      <c r="E625" s="13"/>
      <c r="F625" s="13" t="s">
        <v>15</v>
      </c>
      <c r="K625" s="13">
        <v>0.0</v>
      </c>
      <c r="L625" s="13">
        <v>0.0</v>
      </c>
    </row>
    <row r="626">
      <c r="B626" s="11">
        <v>46107.0</v>
      </c>
      <c r="C626" s="13"/>
      <c r="D626" s="13"/>
      <c r="E626" s="13"/>
      <c r="F626" s="13" t="s">
        <v>4</v>
      </c>
      <c r="K626" s="13">
        <v>0.0</v>
      </c>
      <c r="L626" s="13">
        <v>0.0</v>
      </c>
    </row>
    <row r="627">
      <c r="B627" s="11">
        <v>46107.0</v>
      </c>
      <c r="C627" s="13"/>
      <c r="D627" s="13"/>
      <c r="E627" s="13"/>
      <c r="F627" s="13" t="s">
        <v>5</v>
      </c>
      <c r="K627" s="13">
        <v>0.0</v>
      </c>
      <c r="L627" s="13">
        <v>0.0</v>
      </c>
    </row>
    <row r="628">
      <c r="B628" s="11">
        <v>46107.0</v>
      </c>
      <c r="C628" s="13"/>
      <c r="D628" s="13"/>
      <c r="E628" s="13"/>
      <c r="F628" s="13" t="s">
        <v>6</v>
      </c>
      <c r="K628" s="13">
        <v>0.0</v>
      </c>
      <c r="L628" s="13">
        <v>0.0</v>
      </c>
    </row>
    <row r="629">
      <c r="C629" s="13"/>
      <c r="D629" s="13"/>
      <c r="E629" s="13"/>
      <c r="F629" s="13" t="s">
        <v>7</v>
      </c>
      <c r="K629" s="13">
        <v>0.0</v>
      </c>
      <c r="L629" s="13">
        <v>0.0</v>
      </c>
    </row>
    <row r="630">
      <c r="C630" s="13"/>
      <c r="D630" s="13"/>
      <c r="E630" s="13"/>
      <c r="F630" s="13" t="s">
        <v>8</v>
      </c>
      <c r="K630" s="13">
        <v>0.0</v>
      </c>
      <c r="L630" s="13">
        <v>0.0</v>
      </c>
    </row>
    <row r="631">
      <c r="C631" s="13"/>
      <c r="D631" s="13"/>
      <c r="E631" s="13"/>
      <c r="F631" s="13" t="s">
        <v>9</v>
      </c>
      <c r="K631" s="13">
        <v>0.0</v>
      </c>
      <c r="L631" s="13">
        <v>0.0</v>
      </c>
    </row>
    <row r="632">
      <c r="C632" s="13"/>
      <c r="D632" s="13"/>
      <c r="E632" s="13"/>
      <c r="F632" s="13" t="s">
        <v>10</v>
      </c>
      <c r="K632" s="13">
        <v>0.0</v>
      </c>
      <c r="L632" s="13">
        <v>0.0</v>
      </c>
    </row>
    <row r="633">
      <c r="C633" s="13"/>
      <c r="D633" s="13"/>
      <c r="E633" s="13"/>
      <c r="F633" s="13" t="s">
        <v>11</v>
      </c>
      <c r="K633" s="13">
        <v>0.0</v>
      </c>
      <c r="L633" s="13">
        <v>0.0</v>
      </c>
    </row>
    <row r="634">
      <c r="C634" s="13"/>
      <c r="D634" s="13"/>
      <c r="E634" s="13"/>
      <c r="F634" s="13" t="s">
        <v>12</v>
      </c>
      <c r="K634" s="13">
        <v>0.0</v>
      </c>
      <c r="L634" s="13">
        <v>0.0</v>
      </c>
    </row>
    <row r="635">
      <c r="B635" s="11">
        <v>46107.0</v>
      </c>
      <c r="C635" s="13"/>
      <c r="D635" s="13"/>
      <c r="E635" s="13"/>
      <c r="F635" s="13" t="s">
        <v>13</v>
      </c>
      <c r="K635" s="13">
        <v>0.0</v>
      </c>
      <c r="L635" s="13">
        <v>0.0</v>
      </c>
    </row>
    <row r="636">
      <c r="C636" s="13"/>
      <c r="D636" s="13"/>
      <c r="E636" s="13"/>
      <c r="F636" s="13" t="s">
        <v>14</v>
      </c>
      <c r="K636" s="13">
        <v>0.0</v>
      </c>
      <c r="L636" s="13">
        <v>0.0</v>
      </c>
    </row>
    <row r="637">
      <c r="C637" s="13"/>
      <c r="D637" s="13"/>
      <c r="E637" s="13"/>
      <c r="F637" s="13" t="s">
        <v>15</v>
      </c>
      <c r="K637" s="13">
        <v>0.0</v>
      </c>
      <c r="L637" s="13">
        <v>0.0</v>
      </c>
    </row>
    <row r="638">
      <c r="B638" s="94">
        <f>B635+1</f>
        <v>46108</v>
      </c>
      <c r="C638" s="4" t="s">
        <v>113</v>
      </c>
      <c r="D638" s="4" t="s">
        <v>81</v>
      </c>
      <c r="E638" s="4" t="s">
        <v>73</v>
      </c>
      <c r="F638" s="13" t="s">
        <v>4</v>
      </c>
      <c r="H638" s="4">
        <v>7.0</v>
      </c>
      <c r="K638" s="13">
        <v>7.0</v>
      </c>
      <c r="L638" s="13">
        <v>140000.0</v>
      </c>
      <c r="M638" s="13">
        <f>sum(L638:L649)+500000</f>
        <v>1964000</v>
      </c>
    </row>
    <row r="639">
      <c r="B639" s="94">
        <v>46108.0</v>
      </c>
      <c r="C639" s="4" t="s">
        <v>113</v>
      </c>
      <c r="D639" s="4" t="s">
        <v>81</v>
      </c>
      <c r="E639" s="4" t="s">
        <v>73</v>
      </c>
      <c r="F639" s="13" t="s">
        <v>5</v>
      </c>
      <c r="H639" s="4">
        <v>4.0</v>
      </c>
      <c r="K639" s="13">
        <v>4.0</v>
      </c>
      <c r="L639" s="13">
        <v>80000.0</v>
      </c>
    </row>
    <row r="640">
      <c r="B640" s="94">
        <v>46108.0</v>
      </c>
      <c r="C640" s="4" t="s">
        <v>113</v>
      </c>
      <c r="D640" s="4" t="s">
        <v>81</v>
      </c>
      <c r="E640" s="4" t="s">
        <v>73</v>
      </c>
      <c r="F640" s="13" t="s">
        <v>6</v>
      </c>
      <c r="H640" s="4">
        <v>3.0</v>
      </c>
      <c r="K640" s="13">
        <v>3.0</v>
      </c>
      <c r="L640" s="13">
        <v>60000.0</v>
      </c>
    </row>
    <row r="641">
      <c r="B641" s="94">
        <v>46108.0</v>
      </c>
      <c r="C641" s="4" t="s">
        <v>113</v>
      </c>
      <c r="D641" s="4" t="s">
        <v>81</v>
      </c>
      <c r="E641" s="4" t="s">
        <v>73</v>
      </c>
      <c r="F641" s="13" t="s">
        <v>7</v>
      </c>
      <c r="H641" s="4">
        <v>3.0</v>
      </c>
      <c r="K641" s="13">
        <v>3.0</v>
      </c>
      <c r="L641" s="13">
        <v>60000.0</v>
      </c>
    </row>
    <row r="642">
      <c r="B642" s="94">
        <v>46108.0</v>
      </c>
      <c r="C642" s="4" t="s">
        <v>113</v>
      </c>
      <c r="D642" s="4" t="s">
        <v>81</v>
      </c>
      <c r="E642" s="4" t="s">
        <v>73</v>
      </c>
      <c r="F642" s="13" t="s">
        <v>8</v>
      </c>
      <c r="H642" s="4">
        <v>5.0</v>
      </c>
      <c r="K642" s="13">
        <v>5.0</v>
      </c>
      <c r="L642" s="13">
        <v>100000.0</v>
      </c>
    </row>
    <row r="643">
      <c r="B643" s="94">
        <v>46108.0</v>
      </c>
      <c r="C643" s="4" t="s">
        <v>113</v>
      </c>
      <c r="D643" s="4" t="s">
        <v>81</v>
      </c>
      <c r="E643" s="4" t="s">
        <v>73</v>
      </c>
      <c r="F643" s="13" t="s">
        <v>9</v>
      </c>
      <c r="H643" s="4">
        <v>5.0</v>
      </c>
      <c r="K643" s="13">
        <v>5.0</v>
      </c>
      <c r="L643" s="13">
        <v>100000.0</v>
      </c>
    </row>
    <row r="644">
      <c r="B644" s="94">
        <v>46108.0</v>
      </c>
      <c r="C644" s="4" t="s">
        <v>113</v>
      </c>
      <c r="D644" s="4" t="s">
        <v>81</v>
      </c>
      <c r="E644" s="4" t="s">
        <v>73</v>
      </c>
      <c r="F644" s="13" t="s">
        <v>10</v>
      </c>
      <c r="H644" s="4">
        <v>4.0</v>
      </c>
      <c r="K644" s="13">
        <v>4.0</v>
      </c>
      <c r="L644" s="13">
        <v>80000.0</v>
      </c>
    </row>
    <row r="645">
      <c r="B645" s="94">
        <v>46108.0</v>
      </c>
      <c r="C645" s="4" t="s">
        <v>113</v>
      </c>
      <c r="D645" s="4" t="s">
        <v>81</v>
      </c>
      <c r="E645" s="4" t="s">
        <v>73</v>
      </c>
      <c r="F645" s="13" t="s">
        <v>11</v>
      </c>
      <c r="H645" s="4">
        <v>2.0</v>
      </c>
      <c r="K645" s="13">
        <v>2.0</v>
      </c>
      <c r="L645" s="13">
        <v>40000.0</v>
      </c>
    </row>
    <row r="646">
      <c r="B646" s="94">
        <v>46108.0</v>
      </c>
      <c r="C646" s="4" t="s">
        <v>113</v>
      </c>
      <c r="D646" s="4" t="s">
        <v>81</v>
      </c>
      <c r="E646" s="4" t="s">
        <v>73</v>
      </c>
      <c r="F646" s="13" t="s">
        <v>12</v>
      </c>
      <c r="H646" s="4">
        <v>4.0</v>
      </c>
      <c r="K646" s="13">
        <v>4.0</v>
      </c>
      <c r="L646" s="13">
        <v>80000.0</v>
      </c>
    </row>
    <row r="647">
      <c r="B647" s="94">
        <v>46108.0</v>
      </c>
      <c r="C647" s="4" t="s">
        <v>113</v>
      </c>
      <c r="D647" s="4" t="s">
        <v>81</v>
      </c>
      <c r="E647" s="4" t="s">
        <v>73</v>
      </c>
      <c r="F647" s="13" t="s">
        <v>13</v>
      </c>
      <c r="H647" s="4">
        <v>3.0</v>
      </c>
      <c r="K647" s="13">
        <v>3.0</v>
      </c>
      <c r="L647" s="13">
        <v>60000.0</v>
      </c>
    </row>
    <row r="648">
      <c r="B648" s="94">
        <v>46108.0</v>
      </c>
      <c r="C648" s="4" t="s">
        <v>113</v>
      </c>
      <c r="D648" s="4" t="s">
        <v>81</v>
      </c>
      <c r="E648" s="4" t="s">
        <v>73</v>
      </c>
      <c r="F648" s="13" t="s">
        <v>14</v>
      </c>
      <c r="H648" s="4">
        <v>2.0</v>
      </c>
      <c r="K648" s="13">
        <v>2.0</v>
      </c>
      <c r="L648" s="13">
        <v>44000.0</v>
      </c>
    </row>
    <row r="649">
      <c r="B649" s="94">
        <v>46108.0</v>
      </c>
      <c r="C649" s="4" t="s">
        <v>113</v>
      </c>
      <c r="D649" s="4" t="s">
        <v>81</v>
      </c>
      <c r="E649" s="4" t="s">
        <v>73</v>
      </c>
      <c r="F649" s="13" t="s">
        <v>15</v>
      </c>
      <c r="H649" s="4">
        <v>31.0</v>
      </c>
      <c r="K649" s="13">
        <v>31.0</v>
      </c>
      <c r="L649" s="13">
        <v>620000.0</v>
      </c>
    </row>
    <row r="650">
      <c r="B650" s="94">
        <v>46108.0</v>
      </c>
      <c r="C650" s="4" t="s">
        <v>114</v>
      </c>
      <c r="D650" s="4" t="s">
        <v>81</v>
      </c>
      <c r="E650" s="13"/>
      <c r="F650" s="13" t="s">
        <v>4</v>
      </c>
      <c r="K650" s="13">
        <v>0.0</v>
      </c>
      <c r="L650" s="13">
        <v>0.0</v>
      </c>
    </row>
    <row r="651">
      <c r="B651" s="94">
        <v>46108.0</v>
      </c>
      <c r="C651" s="4" t="s">
        <v>114</v>
      </c>
      <c r="D651" s="4" t="s">
        <v>81</v>
      </c>
      <c r="E651" s="13"/>
      <c r="F651" s="13" t="s">
        <v>5</v>
      </c>
      <c r="K651" s="13">
        <v>0.0</v>
      </c>
      <c r="L651" s="13">
        <v>0.0</v>
      </c>
    </row>
    <row r="652">
      <c r="B652" s="94">
        <v>46108.0</v>
      </c>
      <c r="C652" s="4" t="s">
        <v>114</v>
      </c>
      <c r="D652" s="4" t="s">
        <v>81</v>
      </c>
      <c r="E652" s="13"/>
      <c r="F652" s="13" t="s">
        <v>6</v>
      </c>
      <c r="K652" s="13">
        <v>0.0</v>
      </c>
      <c r="L652" s="13">
        <v>0.0</v>
      </c>
    </row>
    <row r="653">
      <c r="B653" s="94">
        <v>46108.0</v>
      </c>
      <c r="C653" s="4" t="s">
        <v>114</v>
      </c>
      <c r="D653" s="4" t="s">
        <v>81</v>
      </c>
      <c r="E653" s="13"/>
      <c r="F653" s="13" t="s">
        <v>7</v>
      </c>
      <c r="K653" s="13">
        <v>0.0</v>
      </c>
      <c r="L653" s="13">
        <v>0.0</v>
      </c>
    </row>
    <row r="654">
      <c r="B654" s="94">
        <v>46108.0</v>
      </c>
      <c r="C654" s="4" t="s">
        <v>114</v>
      </c>
      <c r="D654" s="4" t="s">
        <v>81</v>
      </c>
      <c r="E654" s="13"/>
      <c r="F654" s="13" t="s">
        <v>8</v>
      </c>
      <c r="K654" s="13">
        <v>0.0</v>
      </c>
      <c r="L654" s="13">
        <v>0.0</v>
      </c>
    </row>
    <row r="655">
      <c r="B655" s="94">
        <v>46108.0</v>
      </c>
      <c r="C655" s="4" t="s">
        <v>114</v>
      </c>
      <c r="D655" s="4" t="s">
        <v>81</v>
      </c>
      <c r="E655" s="13"/>
      <c r="F655" s="13" t="s">
        <v>9</v>
      </c>
      <c r="K655" s="13">
        <v>0.0</v>
      </c>
      <c r="L655" s="13">
        <v>0.0</v>
      </c>
    </row>
    <row r="656">
      <c r="B656" s="94">
        <v>46108.0</v>
      </c>
      <c r="C656" s="4" t="s">
        <v>114</v>
      </c>
      <c r="D656" s="4" t="s">
        <v>81</v>
      </c>
      <c r="E656" s="13"/>
      <c r="F656" s="13" t="s">
        <v>10</v>
      </c>
      <c r="K656" s="13">
        <v>0.0</v>
      </c>
      <c r="L656" s="13">
        <v>0.0</v>
      </c>
    </row>
    <row r="657">
      <c r="B657" s="94">
        <v>46108.0</v>
      </c>
      <c r="C657" s="4" t="s">
        <v>114</v>
      </c>
      <c r="D657" s="4" t="s">
        <v>81</v>
      </c>
      <c r="E657" s="13"/>
      <c r="F657" s="13" t="s">
        <v>11</v>
      </c>
      <c r="K657" s="13">
        <v>0.0</v>
      </c>
      <c r="L657" s="13">
        <v>0.0</v>
      </c>
    </row>
    <row r="658">
      <c r="B658" s="94">
        <v>46108.0</v>
      </c>
      <c r="C658" s="4" t="s">
        <v>114</v>
      </c>
      <c r="D658" s="4" t="s">
        <v>81</v>
      </c>
      <c r="E658" s="13"/>
      <c r="F658" s="13" t="s">
        <v>12</v>
      </c>
      <c r="K658" s="13">
        <v>0.0</v>
      </c>
      <c r="L658" s="13">
        <v>0.0</v>
      </c>
    </row>
    <row r="659">
      <c r="B659" s="94">
        <v>46108.0</v>
      </c>
      <c r="C659" s="4" t="s">
        <v>114</v>
      </c>
      <c r="D659" s="4" t="s">
        <v>81</v>
      </c>
      <c r="E659" s="13"/>
      <c r="F659" s="13" t="s">
        <v>13</v>
      </c>
      <c r="K659" s="13">
        <v>0.0</v>
      </c>
      <c r="L659" s="13">
        <v>0.0</v>
      </c>
    </row>
    <row r="660">
      <c r="B660" s="94">
        <v>46108.0</v>
      </c>
      <c r="C660" s="4" t="s">
        <v>114</v>
      </c>
      <c r="D660" s="4" t="s">
        <v>81</v>
      </c>
      <c r="E660" s="13"/>
      <c r="F660" s="13" t="s">
        <v>14</v>
      </c>
      <c r="K660" s="13">
        <v>0.0</v>
      </c>
      <c r="L660" s="13">
        <v>0.0</v>
      </c>
    </row>
    <row r="661">
      <c r="B661" s="94">
        <v>46108.0</v>
      </c>
      <c r="C661" s="4" t="s">
        <v>114</v>
      </c>
      <c r="D661" s="4" t="s">
        <v>81</v>
      </c>
      <c r="E661" s="13"/>
      <c r="F661" s="13" t="s">
        <v>15</v>
      </c>
      <c r="K661" s="13">
        <v>0.0</v>
      </c>
      <c r="L661" s="13">
        <v>0.0</v>
      </c>
    </row>
    <row r="662">
      <c r="B662" s="94">
        <v>46108.0</v>
      </c>
      <c r="C662" s="4" t="s">
        <v>113</v>
      </c>
      <c r="D662" s="4" t="s">
        <v>80</v>
      </c>
      <c r="E662" s="4" t="s">
        <v>62</v>
      </c>
      <c r="F662" s="13" t="s">
        <v>4</v>
      </c>
      <c r="H662" s="4">
        <v>6.0</v>
      </c>
      <c r="K662" s="13">
        <v>6.0</v>
      </c>
      <c r="L662" s="13">
        <v>120000.0</v>
      </c>
      <c r="M662" s="13">
        <f>sum(L662:L673)+500000</f>
        <v>1846000</v>
      </c>
    </row>
    <row r="663">
      <c r="B663" s="94">
        <v>46108.0</v>
      </c>
      <c r="C663" s="4" t="s">
        <v>113</v>
      </c>
      <c r="D663" s="4" t="s">
        <v>80</v>
      </c>
      <c r="E663" s="4" t="s">
        <v>62</v>
      </c>
      <c r="F663" s="13" t="s">
        <v>5</v>
      </c>
      <c r="H663" s="4">
        <v>3.0</v>
      </c>
      <c r="K663" s="13">
        <v>3.0</v>
      </c>
      <c r="L663" s="13">
        <v>60000.0</v>
      </c>
    </row>
    <row r="664">
      <c r="B664" s="94">
        <v>46108.0</v>
      </c>
      <c r="C664" s="4" t="s">
        <v>113</v>
      </c>
      <c r="D664" s="4" t="s">
        <v>80</v>
      </c>
      <c r="E664" s="4" t="s">
        <v>62</v>
      </c>
      <c r="F664" s="13" t="s">
        <v>6</v>
      </c>
      <c r="H664" s="4">
        <v>3.0</v>
      </c>
      <c r="K664" s="13">
        <v>3.0</v>
      </c>
      <c r="L664" s="13">
        <v>60000.0</v>
      </c>
    </row>
    <row r="665">
      <c r="B665" s="94">
        <v>46108.0</v>
      </c>
      <c r="C665" s="4" t="s">
        <v>113</v>
      </c>
      <c r="D665" s="4" t="s">
        <v>80</v>
      </c>
      <c r="E665" s="4" t="s">
        <v>62</v>
      </c>
      <c r="F665" s="13" t="s">
        <v>7</v>
      </c>
      <c r="H665" s="4">
        <v>3.0</v>
      </c>
      <c r="K665" s="13">
        <v>3.0</v>
      </c>
      <c r="L665" s="13">
        <v>60000.0</v>
      </c>
    </row>
    <row r="666">
      <c r="B666" s="94">
        <v>46108.0</v>
      </c>
      <c r="C666" s="4" t="s">
        <v>113</v>
      </c>
      <c r="D666" s="4" t="s">
        <v>80</v>
      </c>
      <c r="E666" s="4" t="s">
        <v>62</v>
      </c>
      <c r="F666" s="13" t="s">
        <v>8</v>
      </c>
      <c r="H666" s="4">
        <v>5.0</v>
      </c>
      <c r="K666" s="13">
        <v>5.0</v>
      </c>
      <c r="L666" s="13">
        <v>100000.0</v>
      </c>
    </row>
    <row r="667">
      <c r="B667" s="94">
        <v>46108.0</v>
      </c>
      <c r="C667" s="4" t="s">
        <v>113</v>
      </c>
      <c r="D667" s="4" t="s">
        <v>80</v>
      </c>
      <c r="E667" s="4" t="s">
        <v>62</v>
      </c>
      <c r="F667" s="13" t="s">
        <v>9</v>
      </c>
      <c r="H667" s="4">
        <v>6.0</v>
      </c>
      <c r="K667" s="13">
        <v>6.0</v>
      </c>
      <c r="L667" s="13">
        <v>120000.0</v>
      </c>
    </row>
    <row r="668">
      <c r="B668" s="94">
        <v>46108.0</v>
      </c>
      <c r="C668" s="4" t="s">
        <v>113</v>
      </c>
      <c r="D668" s="4" t="s">
        <v>80</v>
      </c>
      <c r="E668" s="4" t="s">
        <v>62</v>
      </c>
      <c r="F668" s="13" t="s">
        <v>10</v>
      </c>
      <c r="H668" s="4">
        <v>2.0</v>
      </c>
      <c r="K668" s="13">
        <v>2.0</v>
      </c>
      <c r="L668" s="13">
        <v>40000.0</v>
      </c>
    </row>
    <row r="669">
      <c r="B669" s="94">
        <v>46108.0</v>
      </c>
      <c r="C669" s="4" t="s">
        <v>113</v>
      </c>
      <c r="D669" s="4" t="s">
        <v>80</v>
      </c>
      <c r="E669" s="4" t="s">
        <v>62</v>
      </c>
      <c r="F669" s="13" t="s">
        <v>11</v>
      </c>
      <c r="H669" s="4">
        <v>2.0</v>
      </c>
      <c r="K669" s="13">
        <v>2.0</v>
      </c>
      <c r="L669" s="13">
        <v>40000.0</v>
      </c>
    </row>
    <row r="670">
      <c r="B670" s="94">
        <v>46108.0</v>
      </c>
      <c r="C670" s="4" t="s">
        <v>113</v>
      </c>
      <c r="D670" s="4" t="s">
        <v>80</v>
      </c>
      <c r="E670" s="4" t="s">
        <v>62</v>
      </c>
      <c r="F670" s="13" t="s">
        <v>12</v>
      </c>
      <c r="H670" s="4">
        <v>2.0</v>
      </c>
      <c r="K670" s="13">
        <v>2.0</v>
      </c>
      <c r="L670" s="13">
        <v>40000.0</v>
      </c>
    </row>
    <row r="671">
      <c r="B671" s="94">
        <v>46108.0</v>
      </c>
      <c r="C671" s="4" t="s">
        <v>113</v>
      </c>
      <c r="D671" s="4" t="s">
        <v>80</v>
      </c>
      <c r="E671" s="4" t="s">
        <v>62</v>
      </c>
      <c r="F671" s="13" t="s">
        <v>13</v>
      </c>
      <c r="H671" s="4">
        <v>2.0</v>
      </c>
      <c r="K671" s="13">
        <v>2.0</v>
      </c>
      <c r="L671" s="13">
        <v>40000.0</v>
      </c>
    </row>
    <row r="672">
      <c r="B672" s="94">
        <v>46108.0</v>
      </c>
      <c r="C672" s="4" t="s">
        <v>113</v>
      </c>
      <c r="D672" s="4" t="s">
        <v>80</v>
      </c>
      <c r="E672" s="4" t="s">
        <v>62</v>
      </c>
      <c r="F672" s="13" t="s">
        <v>14</v>
      </c>
      <c r="H672" s="4">
        <v>3.0</v>
      </c>
      <c r="K672" s="13">
        <v>3.0</v>
      </c>
      <c r="L672" s="13">
        <v>66000.0</v>
      </c>
    </row>
    <row r="673">
      <c r="B673" s="94">
        <v>46108.0</v>
      </c>
      <c r="C673" s="4" t="s">
        <v>113</v>
      </c>
      <c r="D673" s="4" t="s">
        <v>80</v>
      </c>
      <c r="E673" s="4" t="s">
        <v>62</v>
      </c>
      <c r="F673" s="13" t="s">
        <v>15</v>
      </c>
      <c r="H673" s="4">
        <v>30.0</v>
      </c>
      <c r="K673" s="13">
        <v>30.0</v>
      </c>
      <c r="L673" s="13">
        <v>600000.0</v>
      </c>
    </row>
    <row r="674">
      <c r="B674" s="94">
        <v>46108.0</v>
      </c>
      <c r="C674" s="4" t="s">
        <v>114</v>
      </c>
      <c r="D674" s="4" t="s">
        <v>80</v>
      </c>
      <c r="E674" s="13"/>
      <c r="F674" s="13" t="s">
        <v>4</v>
      </c>
      <c r="K674" s="13">
        <v>0.0</v>
      </c>
      <c r="L674" s="13">
        <v>0.0</v>
      </c>
    </row>
    <row r="675">
      <c r="B675" s="94">
        <v>46108.0</v>
      </c>
      <c r="C675" s="4" t="s">
        <v>114</v>
      </c>
      <c r="D675" s="4" t="s">
        <v>80</v>
      </c>
      <c r="E675" s="13"/>
      <c r="F675" s="13" t="s">
        <v>5</v>
      </c>
      <c r="K675" s="13">
        <v>0.0</v>
      </c>
      <c r="L675" s="13">
        <v>0.0</v>
      </c>
    </row>
    <row r="676">
      <c r="B676" s="94">
        <v>46108.0</v>
      </c>
      <c r="C676" s="4" t="s">
        <v>114</v>
      </c>
      <c r="D676" s="4" t="s">
        <v>80</v>
      </c>
      <c r="E676" s="13"/>
      <c r="F676" s="13" t="s">
        <v>6</v>
      </c>
      <c r="K676" s="13">
        <v>0.0</v>
      </c>
      <c r="L676" s="13">
        <v>0.0</v>
      </c>
    </row>
    <row r="677">
      <c r="B677" s="94">
        <v>46108.0</v>
      </c>
      <c r="C677" s="4" t="s">
        <v>114</v>
      </c>
      <c r="D677" s="4" t="s">
        <v>80</v>
      </c>
      <c r="E677" s="13"/>
      <c r="F677" s="13" t="s">
        <v>7</v>
      </c>
      <c r="K677" s="13">
        <v>0.0</v>
      </c>
      <c r="L677" s="13">
        <v>0.0</v>
      </c>
    </row>
    <row r="678">
      <c r="B678" s="94">
        <v>46108.0</v>
      </c>
      <c r="C678" s="4" t="s">
        <v>114</v>
      </c>
      <c r="D678" s="4" t="s">
        <v>80</v>
      </c>
      <c r="E678" s="13"/>
      <c r="F678" s="13" t="s">
        <v>8</v>
      </c>
      <c r="K678" s="13">
        <v>0.0</v>
      </c>
      <c r="L678" s="13">
        <v>0.0</v>
      </c>
    </row>
    <row r="679">
      <c r="B679" s="94">
        <v>46108.0</v>
      </c>
      <c r="C679" s="4" t="s">
        <v>114</v>
      </c>
      <c r="D679" s="4" t="s">
        <v>80</v>
      </c>
      <c r="E679" s="13"/>
      <c r="F679" s="13" t="s">
        <v>9</v>
      </c>
      <c r="K679" s="13">
        <v>0.0</v>
      </c>
      <c r="L679" s="13">
        <v>0.0</v>
      </c>
    </row>
    <row r="680">
      <c r="B680" s="94">
        <v>46108.0</v>
      </c>
      <c r="C680" s="4" t="s">
        <v>114</v>
      </c>
      <c r="D680" s="4" t="s">
        <v>80</v>
      </c>
      <c r="E680" s="13"/>
      <c r="F680" s="13" t="s">
        <v>10</v>
      </c>
      <c r="K680" s="13">
        <v>0.0</v>
      </c>
      <c r="L680" s="13">
        <v>0.0</v>
      </c>
    </row>
    <row r="681">
      <c r="B681" s="94">
        <v>46108.0</v>
      </c>
      <c r="C681" s="4" t="s">
        <v>114</v>
      </c>
      <c r="D681" s="4" t="s">
        <v>80</v>
      </c>
      <c r="E681" s="13"/>
      <c r="F681" s="13" t="s">
        <v>11</v>
      </c>
      <c r="K681" s="13">
        <v>0.0</v>
      </c>
      <c r="L681" s="13">
        <v>0.0</v>
      </c>
    </row>
    <row r="682">
      <c r="B682" s="94">
        <v>46108.0</v>
      </c>
      <c r="C682" s="4" t="s">
        <v>114</v>
      </c>
      <c r="D682" s="4" t="s">
        <v>80</v>
      </c>
      <c r="E682" s="13"/>
      <c r="F682" s="13" t="s">
        <v>12</v>
      </c>
      <c r="K682" s="13">
        <v>0.0</v>
      </c>
      <c r="L682" s="13">
        <v>0.0</v>
      </c>
    </row>
    <row r="683">
      <c r="B683" s="94">
        <v>46108.0</v>
      </c>
      <c r="C683" s="4" t="s">
        <v>114</v>
      </c>
      <c r="D683" s="4" t="s">
        <v>80</v>
      </c>
      <c r="E683" s="13"/>
      <c r="F683" s="13" t="s">
        <v>13</v>
      </c>
      <c r="K683" s="13">
        <v>0.0</v>
      </c>
      <c r="L683" s="13">
        <v>0.0</v>
      </c>
    </row>
    <row r="684">
      <c r="B684" s="94">
        <v>46108.0</v>
      </c>
      <c r="C684" s="4" t="s">
        <v>114</v>
      </c>
      <c r="D684" s="4" t="s">
        <v>80</v>
      </c>
      <c r="E684" s="13"/>
      <c r="F684" s="13" t="s">
        <v>14</v>
      </c>
      <c r="K684" s="13">
        <v>0.0</v>
      </c>
      <c r="L684" s="13">
        <v>0.0</v>
      </c>
    </row>
    <row r="685">
      <c r="B685" s="94">
        <v>46108.0</v>
      </c>
      <c r="C685" s="4" t="s">
        <v>114</v>
      </c>
      <c r="D685" s="4" t="s">
        <v>80</v>
      </c>
      <c r="E685" s="13"/>
      <c r="F685" s="13" t="s">
        <v>15</v>
      </c>
      <c r="K685" s="13">
        <v>0.0</v>
      </c>
      <c r="L685" s="13">
        <v>0.0</v>
      </c>
    </row>
    <row r="686">
      <c r="B686" s="94">
        <v>46108.0</v>
      </c>
      <c r="C686" s="4" t="s">
        <v>113</v>
      </c>
      <c r="D686" s="4" t="s">
        <v>89</v>
      </c>
      <c r="E686" s="4" t="s">
        <v>82</v>
      </c>
      <c r="F686" s="13" t="s">
        <v>4</v>
      </c>
      <c r="H686" s="4">
        <v>15.0</v>
      </c>
      <c r="K686" s="13">
        <v>15.0</v>
      </c>
      <c r="L686" s="13">
        <v>300000.0</v>
      </c>
      <c r="M686" s="13">
        <f>sum(L686:L697)+500000+ 500000</f>
        <v>3430000</v>
      </c>
    </row>
    <row r="687">
      <c r="B687" s="94">
        <v>46108.0</v>
      </c>
      <c r="C687" s="4" t="s">
        <v>113</v>
      </c>
      <c r="D687" s="4" t="s">
        <v>89</v>
      </c>
      <c r="E687" s="4" t="s">
        <v>82</v>
      </c>
      <c r="F687" s="13" t="s">
        <v>5</v>
      </c>
      <c r="H687" s="4">
        <v>8.0</v>
      </c>
      <c r="K687" s="13">
        <v>8.0</v>
      </c>
      <c r="L687" s="13">
        <v>160000.0</v>
      </c>
    </row>
    <row r="688">
      <c r="B688" s="94">
        <v>46108.0</v>
      </c>
      <c r="C688" s="4" t="s">
        <v>113</v>
      </c>
      <c r="D688" s="4" t="s">
        <v>89</v>
      </c>
      <c r="E688" s="4" t="s">
        <v>82</v>
      </c>
      <c r="F688" s="13" t="s">
        <v>6</v>
      </c>
      <c r="H688" s="4">
        <v>4.0</v>
      </c>
      <c r="K688" s="13">
        <v>4.0</v>
      </c>
      <c r="L688" s="13">
        <v>80000.0</v>
      </c>
    </row>
    <row r="689">
      <c r="B689" s="94">
        <v>46108.0</v>
      </c>
      <c r="C689" s="4" t="s">
        <v>113</v>
      </c>
      <c r="D689" s="4" t="s">
        <v>89</v>
      </c>
      <c r="E689" s="4" t="s">
        <v>82</v>
      </c>
      <c r="F689" s="13" t="s">
        <v>7</v>
      </c>
      <c r="H689" s="4">
        <v>4.0</v>
      </c>
      <c r="K689" s="13">
        <v>4.0</v>
      </c>
      <c r="L689" s="13">
        <v>80000.0</v>
      </c>
    </row>
    <row r="690">
      <c r="B690" s="94">
        <v>46108.0</v>
      </c>
      <c r="C690" s="4" t="s">
        <v>113</v>
      </c>
      <c r="D690" s="4" t="s">
        <v>89</v>
      </c>
      <c r="E690" s="4" t="s">
        <v>82</v>
      </c>
      <c r="F690" s="13" t="s">
        <v>8</v>
      </c>
      <c r="H690" s="4">
        <v>9.0</v>
      </c>
      <c r="K690" s="13">
        <v>9.0</v>
      </c>
      <c r="L690" s="13">
        <v>180000.0</v>
      </c>
    </row>
    <row r="691">
      <c r="B691" s="94">
        <v>46108.0</v>
      </c>
      <c r="C691" s="4" t="s">
        <v>113</v>
      </c>
      <c r="D691" s="4" t="s">
        <v>89</v>
      </c>
      <c r="E691" s="4" t="s">
        <v>82</v>
      </c>
      <c r="F691" s="13" t="s">
        <v>9</v>
      </c>
      <c r="H691" s="4">
        <v>10.0</v>
      </c>
      <c r="K691" s="13">
        <v>10.0</v>
      </c>
      <c r="L691" s="13">
        <v>200000.0</v>
      </c>
    </row>
    <row r="692">
      <c r="B692" s="94">
        <v>46108.0</v>
      </c>
      <c r="C692" s="4" t="s">
        <v>113</v>
      </c>
      <c r="D692" s="4" t="s">
        <v>89</v>
      </c>
      <c r="E692" s="4" t="s">
        <v>86</v>
      </c>
      <c r="F692" s="13" t="s">
        <v>10</v>
      </c>
      <c r="H692" s="4">
        <v>5.0</v>
      </c>
      <c r="K692" s="13">
        <v>5.0</v>
      </c>
      <c r="L692" s="13">
        <v>100000.0</v>
      </c>
    </row>
    <row r="693">
      <c r="B693" s="94">
        <v>46108.0</v>
      </c>
      <c r="C693" s="4" t="s">
        <v>113</v>
      </c>
      <c r="D693" s="4" t="s">
        <v>89</v>
      </c>
      <c r="E693" s="4" t="s">
        <v>86</v>
      </c>
      <c r="F693" s="13" t="s">
        <v>11</v>
      </c>
      <c r="H693" s="4">
        <v>5.0</v>
      </c>
      <c r="K693" s="13">
        <v>5.0</v>
      </c>
      <c r="L693" s="13">
        <v>100000.0</v>
      </c>
    </row>
    <row r="694">
      <c r="B694" s="94">
        <v>46108.0</v>
      </c>
      <c r="C694" s="4" t="s">
        <v>113</v>
      </c>
      <c r="D694" s="4" t="s">
        <v>89</v>
      </c>
      <c r="E694" s="4" t="s">
        <v>86</v>
      </c>
      <c r="F694" s="13" t="s">
        <v>12</v>
      </c>
      <c r="H694" s="4">
        <v>5.0</v>
      </c>
      <c r="K694" s="13">
        <v>5.0</v>
      </c>
      <c r="L694" s="13">
        <v>100000.0</v>
      </c>
    </row>
    <row r="695">
      <c r="B695" s="94">
        <v>46108.0</v>
      </c>
      <c r="C695" s="4" t="s">
        <v>113</v>
      </c>
      <c r="D695" s="4" t="s">
        <v>89</v>
      </c>
      <c r="E695" s="4" t="s">
        <v>86</v>
      </c>
      <c r="F695" s="13" t="s">
        <v>13</v>
      </c>
      <c r="H695" s="4">
        <v>5.0</v>
      </c>
      <c r="K695" s="13">
        <v>5.0</v>
      </c>
      <c r="L695" s="13">
        <v>100000.0</v>
      </c>
    </row>
    <row r="696">
      <c r="B696" s="94">
        <v>46108.0</v>
      </c>
      <c r="C696" s="4" t="s">
        <v>113</v>
      </c>
      <c r="D696" s="4" t="s">
        <v>89</v>
      </c>
      <c r="E696" s="4" t="s">
        <v>86</v>
      </c>
      <c r="F696" s="13" t="s">
        <v>14</v>
      </c>
      <c r="H696" s="4">
        <v>5.0</v>
      </c>
      <c r="K696" s="13">
        <v>5.0</v>
      </c>
      <c r="L696" s="13">
        <v>110000.0</v>
      </c>
    </row>
    <row r="697">
      <c r="B697" s="94">
        <v>46108.0</v>
      </c>
      <c r="C697" s="4" t="s">
        <v>113</v>
      </c>
      <c r="D697" s="4" t="s">
        <v>89</v>
      </c>
      <c r="E697" s="4" t="s">
        <v>86</v>
      </c>
      <c r="F697" s="13" t="s">
        <v>15</v>
      </c>
      <c r="H697" s="4">
        <v>46.0</v>
      </c>
      <c r="K697" s="13">
        <v>46.0</v>
      </c>
      <c r="L697" s="13">
        <v>920000.0</v>
      </c>
    </row>
    <row r="698">
      <c r="B698" s="94">
        <v>46108.0</v>
      </c>
      <c r="C698" s="4" t="s">
        <v>114</v>
      </c>
      <c r="D698" s="4" t="s">
        <v>89</v>
      </c>
      <c r="E698" s="4" t="s">
        <v>86</v>
      </c>
      <c r="F698" s="13" t="s">
        <v>4</v>
      </c>
      <c r="G698" s="13">
        <f t="shared" ref="G698:G708" si="14">I734</f>
        <v>3</v>
      </c>
      <c r="H698" s="4">
        <v>7.0</v>
      </c>
      <c r="K698" s="13">
        <v>10.0</v>
      </c>
      <c r="L698" s="13">
        <v>200000.0</v>
      </c>
      <c r="M698" s="13">
        <f>sum(L698:L709)+500000+ 500000</f>
        <v>1946000</v>
      </c>
    </row>
    <row r="699">
      <c r="B699" s="94">
        <v>46108.0</v>
      </c>
      <c r="C699" s="4" t="s">
        <v>114</v>
      </c>
      <c r="D699" s="4" t="s">
        <v>89</v>
      </c>
      <c r="E699" s="4" t="s">
        <v>86</v>
      </c>
      <c r="F699" s="13" t="s">
        <v>5</v>
      </c>
      <c r="G699" s="13" t="str">
        <f t="shared" si="14"/>
        <v/>
      </c>
      <c r="H699" s="4">
        <v>1.0</v>
      </c>
      <c r="K699" s="13">
        <v>1.0</v>
      </c>
      <c r="L699" s="13">
        <v>20000.0</v>
      </c>
    </row>
    <row r="700">
      <c r="B700" s="94">
        <v>46108.0</v>
      </c>
      <c r="C700" s="4" t="s">
        <v>114</v>
      </c>
      <c r="D700" s="4" t="s">
        <v>89</v>
      </c>
      <c r="E700" s="4" t="s">
        <v>86</v>
      </c>
      <c r="F700" s="13" t="s">
        <v>6</v>
      </c>
      <c r="G700" s="13">
        <f t="shared" si="14"/>
        <v>2</v>
      </c>
      <c r="H700" s="4">
        <v>1.0</v>
      </c>
      <c r="K700" s="13">
        <v>3.0</v>
      </c>
      <c r="L700" s="13">
        <v>60000.0</v>
      </c>
    </row>
    <row r="701">
      <c r="B701" s="94">
        <v>46108.0</v>
      </c>
      <c r="C701" s="4" t="s">
        <v>114</v>
      </c>
      <c r="D701" s="4" t="s">
        <v>89</v>
      </c>
      <c r="E701" s="4" t="s">
        <v>86</v>
      </c>
      <c r="F701" s="13" t="s">
        <v>7</v>
      </c>
      <c r="G701" s="13">
        <f t="shared" si="14"/>
        <v>3</v>
      </c>
      <c r="H701" s="4">
        <v>1.0</v>
      </c>
      <c r="K701" s="13">
        <v>4.0</v>
      </c>
      <c r="L701" s="13">
        <v>80000.0</v>
      </c>
    </row>
    <row r="702">
      <c r="B702" s="94">
        <v>46108.0</v>
      </c>
      <c r="C702" s="4" t="s">
        <v>114</v>
      </c>
      <c r="D702" s="4" t="s">
        <v>89</v>
      </c>
      <c r="E702" s="4" t="s">
        <v>86</v>
      </c>
      <c r="F702" s="13" t="s">
        <v>8</v>
      </c>
      <c r="G702" s="13">
        <f t="shared" si="14"/>
        <v>2</v>
      </c>
      <c r="H702" s="4">
        <v>2.0</v>
      </c>
      <c r="K702" s="13">
        <v>4.0</v>
      </c>
      <c r="L702" s="13">
        <v>80000.0</v>
      </c>
    </row>
    <row r="703">
      <c r="B703" s="94">
        <v>46108.0</v>
      </c>
      <c r="C703" s="4" t="s">
        <v>114</v>
      </c>
      <c r="D703" s="4" t="s">
        <v>89</v>
      </c>
      <c r="E703" s="4" t="s">
        <v>86</v>
      </c>
      <c r="F703" s="13" t="s">
        <v>9</v>
      </c>
      <c r="G703" s="13">
        <f t="shared" si="14"/>
        <v>3</v>
      </c>
      <c r="H703" s="4">
        <v>2.0</v>
      </c>
      <c r="K703" s="13">
        <v>5.0</v>
      </c>
      <c r="L703" s="13">
        <v>100000.0</v>
      </c>
    </row>
    <row r="704">
      <c r="B704" s="94">
        <v>46108.0</v>
      </c>
      <c r="C704" s="4" t="s">
        <v>114</v>
      </c>
      <c r="D704" s="4" t="s">
        <v>89</v>
      </c>
      <c r="E704" s="4" t="s">
        <v>86</v>
      </c>
      <c r="F704" s="13" t="s">
        <v>10</v>
      </c>
      <c r="G704" s="13" t="str">
        <f t="shared" si="14"/>
        <v/>
      </c>
      <c r="K704" s="13">
        <v>0.0</v>
      </c>
      <c r="L704" s="13">
        <v>0.0</v>
      </c>
    </row>
    <row r="705">
      <c r="B705" s="94">
        <v>46108.0</v>
      </c>
      <c r="C705" s="4" t="s">
        <v>114</v>
      </c>
      <c r="D705" s="4" t="s">
        <v>89</v>
      </c>
      <c r="E705" s="4" t="s">
        <v>86</v>
      </c>
      <c r="F705" s="13" t="s">
        <v>11</v>
      </c>
      <c r="G705" s="13">
        <f t="shared" si="14"/>
        <v>1</v>
      </c>
      <c r="H705" s="4">
        <v>1.0</v>
      </c>
      <c r="K705" s="13">
        <v>2.0</v>
      </c>
      <c r="L705" s="13">
        <v>40000.0</v>
      </c>
    </row>
    <row r="706">
      <c r="B706" s="94">
        <v>46108.0</v>
      </c>
      <c r="C706" s="4" t="s">
        <v>114</v>
      </c>
      <c r="D706" s="4" t="s">
        <v>89</v>
      </c>
      <c r="E706" s="4" t="s">
        <v>86</v>
      </c>
      <c r="F706" s="13" t="s">
        <v>12</v>
      </c>
      <c r="G706" s="13" t="str">
        <f t="shared" si="14"/>
        <v/>
      </c>
      <c r="K706" s="13">
        <v>0.0</v>
      </c>
      <c r="L706" s="13">
        <v>0.0</v>
      </c>
    </row>
    <row r="707">
      <c r="B707" s="94">
        <v>46108.0</v>
      </c>
      <c r="C707" s="4" t="s">
        <v>114</v>
      </c>
      <c r="D707" s="4" t="s">
        <v>89</v>
      </c>
      <c r="E707" s="4" t="s">
        <v>86</v>
      </c>
      <c r="F707" s="13" t="s">
        <v>13</v>
      </c>
      <c r="G707" s="13" t="str">
        <f t="shared" si="14"/>
        <v/>
      </c>
      <c r="H707" s="4">
        <v>0.0</v>
      </c>
      <c r="K707" s="13">
        <v>0.0</v>
      </c>
      <c r="L707" s="13">
        <v>0.0</v>
      </c>
    </row>
    <row r="708">
      <c r="B708" s="94">
        <v>46108.0</v>
      </c>
      <c r="C708" s="4" t="s">
        <v>114</v>
      </c>
      <c r="D708" s="4" t="s">
        <v>89</v>
      </c>
      <c r="E708" s="4" t="s">
        <v>86</v>
      </c>
      <c r="F708" s="13" t="s">
        <v>14</v>
      </c>
      <c r="G708" s="13">
        <f t="shared" si="14"/>
        <v>2</v>
      </c>
      <c r="H708" s="4">
        <v>1.0</v>
      </c>
      <c r="K708" s="13">
        <v>3.0</v>
      </c>
      <c r="L708" s="13">
        <v>66000.0</v>
      </c>
    </row>
    <row r="709">
      <c r="B709" s="94">
        <v>46108.0</v>
      </c>
      <c r="C709" s="4" t="s">
        <v>114</v>
      </c>
      <c r="D709" s="4" t="s">
        <v>89</v>
      </c>
      <c r="E709" s="4" t="s">
        <v>86</v>
      </c>
      <c r="F709" s="13" t="s">
        <v>15</v>
      </c>
      <c r="G709" s="4">
        <v>15.0</v>
      </c>
      <c r="H709" s="4">
        <v>0.0</v>
      </c>
      <c r="K709" s="13">
        <v>15.0</v>
      </c>
      <c r="L709" s="13">
        <v>300000.0</v>
      </c>
    </row>
    <row r="710">
      <c r="B710" s="94">
        <v>46108.0</v>
      </c>
      <c r="C710" s="4" t="s">
        <v>113</v>
      </c>
      <c r="D710" s="4" t="s">
        <v>80</v>
      </c>
      <c r="E710" s="4" t="s">
        <v>62</v>
      </c>
      <c r="F710" s="13" t="s">
        <v>4</v>
      </c>
      <c r="H710" s="4">
        <v>7.0</v>
      </c>
      <c r="K710" s="13">
        <v>7.0</v>
      </c>
      <c r="L710" s="13">
        <v>140000.0</v>
      </c>
      <c r="M710" s="13">
        <f>sum(L710:L721)+500000</f>
        <v>1906000</v>
      </c>
    </row>
    <row r="711">
      <c r="B711" s="94">
        <v>46108.0</v>
      </c>
      <c r="C711" s="4" t="s">
        <v>113</v>
      </c>
      <c r="D711" s="4" t="s">
        <v>80</v>
      </c>
      <c r="E711" s="4" t="s">
        <v>62</v>
      </c>
      <c r="F711" s="13" t="s">
        <v>5</v>
      </c>
      <c r="H711" s="4">
        <v>5.0</v>
      </c>
      <c r="K711" s="13">
        <v>5.0</v>
      </c>
      <c r="L711" s="13">
        <v>100000.0</v>
      </c>
    </row>
    <row r="712">
      <c r="B712" s="94">
        <v>46108.0</v>
      </c>
      <c r="C712" s="4" t="s">
        <v>113</v>
      </c>
      <c r="D712" s="4" t="s">
        <v>80</v>
      </c>
      <c r="E712" s="4" t="s">
        <v>62</v>
      </c>
      <c r="F712" s="13" t="s">
        <v>6</v>
      </c>
      <c r="H712" s="4">
        <v>3.0</v>
      </c>
      <c r="K712" s="13">
        <v>3.0</v>
      </c>
      <c r="L712" s="13">
        <v>60000.0</v>
      </c>
    </row>
    <row r="713">
      <c r="B713" s="94">
        <v>46108.0</v>
      </c>
      <c r="C713" s="4" t="s">
        <v>113</v>
      </c>
      <c r="D713" s="4" t="s">
        <v>80</v>
      </c>
      <c r="E713" s="4" t="s">
        <v>62</v>
      </c>
      <c r="F713" s="13" t="s">
        <v>7</v>
      </c>
      <c r="H713" s="4">
        <v>3.0</v>
      </c>
      <c r="K713" s="13">
        <v>3.0</v>
      </c>
      <c r="L713" s="13">
        <v>60000.0</v>
      </c>
    </row>
    <row r="714">
      <c r="B714" s="94">
        <v>46108.0</v>
      </c>
      <c r="C714" s="4" t="s">
        <v>113</v>
      </c>
      <c r="D714" s="4" t="s">
        <v>80</v>
      </c>
      <c r="E714" s="4" t="s">
        <v>62</v>
      </c>
      <c r="F714" s="13" t="s">
        <v>8</v>
      </c>
      <c r="H714" s="4">
        <v>5.0</v>
      </c>
      <c r="K714" s="13">
        <v>5.0</v>
      </c>
      <c r="L714" s="13">
        <v>100000.0</v>
      </c>
    </row>
    <row r="715">
      <c r="B715" s="94">
        <v>46108.0</v>
      </c>
      <c r="C715" s="4" t="s">
        <v>113</v>
      </c>
      <c r="D715" s="4" t="s">
        <v>80</v>
      </c>
      <c r="E715" s="4" t="s">
        <v>62</v>
      </c>
      <c r="F715" s="13" t="s">
        <v>9</v>
      </c>
      <c r="H715" s="4">
        <v>5.0</v>
      </c>
      <c r="K715" s="13">
        <v>5.0</v>
      </c>
      <c r="L715" s="13">
        <v>100000.0</v>
      </c>
    </row>
    <row r="716">
      <c r="B716" s="94">
        <v>46108.0</v>
      </c>
      <c r="C716" s="4" t="s">
        <v>113</v>
      </c>
      <c r="D716" s="4" t="s">
        <v>80</v>
      </c>
      <c r="E716" s="4" t="s">
        <v>62</v>
      </c>
      <c r="F716" s="13" t="s">
        <v>10</v>
      </c>
      <c r="H716" s="4">
        <v>2.0</v>
      </c>
      <c r="K716" s="13">
        <v>2.0</v>
      </c>
      <c r="L716" s="13">
        <v>40000.0</v>
      </c>
    </row>
    <row r="717">
      <c r="B717" s="94">
        <v>46108.0</v>
      </c>
      <c r="C717" s="4" t="s">
        <v>113</v>
      </c>
      <c r="D717" s="4" t="s">
        <v>80</v>
      </c>
      <c r="E717" s="4" t="s">
        <v>62</v>
      </c>
      <c r="F717" s="13" t="s">
        <v>11</v>
      </c>
      <c r="H717" s="4">
        <v>1.0</v>
      </c>
      <c r="K717" s="13">
        <v>1.0</v>
      </c>
      <c r="L717" s="13">
        <v>20000.0</v>
      </c>
    </row>
    <row r="718">
      <c r="B718" s="94">
        <v>46108.0</v>
      </c>
      <c r="C718" s="4" t="s">
        <v>113</v>
      </c>
      <c r="D718" s="4" t="s">
        <v>80</v>
      </c>
      <c r="E718" s="4" t="s">
        <v>62</v>
      </c>
      <c r="F718" s="13" t="s">
        <v>12</v>
      </c>
      <c r="H718" s="4">
        <v>2.0</v>
      </c>
      <c r="K718" s="13">
        <v>2.0</v>
      </c>
      <c r="L718" s="13">
        <v>40000.0</v>
      </c>
    </row>
    <row r="719">
      <c r="B719" s="94">
        <v>46108.0</v>
      </c>
      <c r="C719" s="4" t="s">
        <v>113</v>
      </c>
      <c r="D719" s="4" t="s">
        <v>80</v>
      </c>
      <c r="E719" s="4" t="s">
        <v>62</v>
      </c>
      <c r="F719" s="13" t="s">
        <v>13</v>
      </c>
      <c r="H719" s="4">
        <v>4.0</v>
      </c>
      <c r="K719" s="13">
        <v>4.0</v>
      </c>
      <c r="L719" s="13">
        <v>80000.0</v>
      </c>
    </row>
    <row r="720">
      <c r="B720" s="94">
        <v>46108.0</v>
      </c>
      <c r="C720" s="4" t="s">
        <v>113</v>
      </c>
      <c r="D720" s="4" t="s">
        <v>80</v>
      </c>
      <c r="E720" s="4" t="s">
        <v>62</v>
      </c>
      <c r="F720" s="13" t="s">
        <v>14</v>
      </c>
      <c r="H720" s="4">
        <v>3.0</v>
      </c>
      <c r="K720" s="13">
        <v>3.0</v>
      </c>
      <c r="L720" s="13">
        <v>66000.0</v>
      </c>
    </row>
    <row r="721">
      <c r="B721" s="94">
        <v>46108.0</v>
      </c>
      <c r="C721" s="4" t="s">
        <v>113</v>
      </c>
      <c r="D721" s="4" t="s">
        <v>80</v>
      </c>
      <c r="E721" s="4" t="s">
        <v>62</v>
      </c>
      <c r="F721" s="13" t="s">
        <v>15</v>
      </c>
      <c r="H721" s="4">
        <v>30.0</v>
      </c>
      <c r="K721" s="13">
        <v>30.0</v>
      </c>
      <c r="L721" s="13">
        <v>600000.0</v>
      </c>
    </row>
    <row r="722">
      <c r="B722" s="94">
        <v>46108.0</v>
      </c>
      <c r="C722" s="4" t="s">
        <v>114</v>
      </c>
      <c r="D722" s="4" t="s">
        <v>80</v>
      </c>
      <c r="E722" s="4" t="s">
        <v>71</v>
      </c>
      <c r="F722" s="13" t="s">
        <v>4</v>
      </c>
      <c r="G722" s="13">
        <f t="shared" ref="G722:G733" si="15">I734-G698</f>
        <v>0</v>
      </c>
      <c r="H722" s="4">
        <v>4.0</v>
      </c>
      <c r="K722" s="13">
        <v>4.0</v>
      </c>
      <c r="L722" s="13">
        <v>80000.0</v>
      </c>
      <c r="M722" s="13">
        <f>sum(L722:L733)+500000+ 500000</f>
        <v>1726000</v>
      </c>
    </row>
    <row r="723">
      <c r="B723" s="94">
        <v>46108.0</v>
      </c>
      <c r="C723" s="4" t="s">
        <v>114</v>
      </c>
      <c r="D723" s="4" t="s">
        <v>80</v>
      </c>
      <c r="E723" s="4" t="s">
        <v>71</v>
      </c>
      <c r="F723" s="13" t="s">
        <v>5</v>
      </c>
      <c r="G723" s="13">
        <f t="shared" si="15"/>
        <v>0</v>
      </c>
      <c r="H723" s="4">
        <v>1.0</v>
      </c>
      <c r="K723" s="13">
        <v>1.0</v>
      </c>
      <c r="L723" s="13">
        <v>20000.0</v>
      </c>
    </row>
    <row r="724">
      <c r="B724" s="94">
        <v>46108.0</v>
      </c>
      <c r="C724" s="4" t="s">
        <v>114</v>
      </c>
      <c r="D724" s="4" t="s">
        <v>80</v>
      </c>
      <c r="E724" s="4" t="s">
        <v>71</v>
      </c>
      <c r="F724" s="13" t="s">
        <v>6</v>
      </c>
      <c r="G724" s="13">
        <f t="shared" si="15"/>
        <v>0</v>
      </c>
      <c r="H724" s="4">
        <v>2.0</v>
      </c>
      <c r="K724" s="13">
        <v>2.0</v>
      </c>
      <c r="L724" s="13">
        <v>40000.0</v>
      </c>
    </row>
    <row r="725">
      <c r="B725" s="94">
        <v>46108.0</v>
      </c>
      <c r="C725" s="4" t="s">
        <v>114</v>
      </c>
      <c r="D725" s="4" t="s">
        <v>80</v>
      </c>
      <c r="E725" s="4" t="s">
        <v>71</v>
      </c>
      <c r="F725" s="13" t="s">
        <v>7</v>
      </c>
      <c r="G725" s="13">
        <f t="shared" si="15"/>
        <v>0</v>
      </c>
      <c r="H725" s="4">
        <v>2.0</v>
      </c>
      <c r="K725" s="13">
        <v>2.0</v>
      </c>
      <c r="L725" s="13">
        <v>40000.0</v>
      </c>
    </row>
    <row r="726">
      <c r="B726" s="94">
        <v>46108.0</v>
      </c>
      <c r="C726" s="4" t="s">
        <v>114</v>
      </c>
      <c r="D726" s="4" t="s">
        <v>80</v>
      </c>
      <c r="E726" s="4" t="s">
        <v>71</v>
      </c>
      <c r="F726" s="13" t="s">
        <v>8</v>
      </c>
      <c r="G726" s="13">
        <f t="shared" si="15"/>
        <v>0</v>
      </c>
      <c r="K726" s="13">
        <v>0.0</v>
      </c>
      <c r="L726" s="13">
        <v>0.0</v>
      </c>
    </row>
    <row r="727">
      <c r="B727" s="94">
        <v>46108.0</v>
      </c>
      <c r="C727" s="4" t="s">
        <v>114</v>
      </c>
      <c r="D727" s="4" t="s">
        <v>80</v>
      </c>
      <c r="E727" s="4" t="s">
        <v>71</v>
      </c>
      <c r="F727" s="13" t="s">
        <v>9</v>
      </c>
      <c r="G727" s="13">
        <f t="shared" si="15"/>
        <v>0</v>
      </c>
      <c r="H727" s="4">
        <v>2.0</v>
      </c>
      <c r="K727" s="13">
        <v>2.0</v>
      </c>
      <c r="L727" s="13">
        <v>40000.0</v>
      </c>
    </row>
    <row r="728">
      <c r="B728" s="94">
        <v>46108.0</v>
      </c>
      <c r="C728" s="4" t="s">
        <v>114</v>
      </c>
      <c r="D728" s="4" t="s">
        <v>80</v>
      </c>
      <c r="E728" s="4" t="s">
        <v>71</v>
      </c>
      <c r="F728" s="13" t="s">
        <v>10</v>
      </c>
      <c r="G728" s="13">
        <f t="shared" si="15"/>
        <v>0</v>
      </c>
      <c r="K728" s="13">
        <v>0.0</v>
      </c>
      <c r="L728" s="13">
        <v>0.0</v>
      </c>
    </row>
    <row r="729">
      <c r="B729" s="94">
        <v>46108.0</v>
      </c>
      <c r="C729" s="4" t="s">
        <v>114</v>
      </c>
      <c r="D729" s="4" t="s">
        <v>80</v>
      </c>
      <c r="E729" s="4" t="s">
        <v>71</v>
      </c>
      <c r="F729" s="13" t="s">
        <v>11</v>
      </c>
      <c r="G729" s="13">
        <f t="shared" si="15"/>
        <v>0</v>
      </c>
      <c r="K729" s="13">
        <v>0.0</v>
      </c>
      <c r="L729" s="13">
        <v>0.0</v>
      </c>
    </row>
    <row r="730">
      <c r="B730" s="94">
        <v>46108.0</v>
      </c>
      <c r="C730" s="4" t="s">
        <v>114</v>
      </c>
      <c r="D730" s="4" t="s">
        <v>80</v>
      </c>
      <c r="E730" s="4" t="s">
        <v>71</v>
      </c>
      <c r="F730" s="13" t="s">
        <v>12</v>
      </c>
      <c r="G730" s="13">
        <f t="shared" si="15"/>
        <v>0</v>
      </c>
      <c r="K730" s="13">
        <v>0.0</v>
      </c>
      <c r="L730" s="13">
        <v>0.0</v>
      </c>
    </row>
    <row r="731">
      <c r="B731" s="94">
        <v>46108.0</v>
      </c>
      <c r="C731" s="4" t="s">
        <v>114</v>
      </c>
      <c r="D731" s="4" t="s">
        <v>80</v>
      </c>
      <c r="E731" s="4" t="s">
        <v>71</v>
      </c>
      <c r="F731" s="13" t="s">
        <v>13</v>
      </c>
      <c r="G731" s="13">
        <f t="shared" si="15"/>
        <v>0</v>
      </c>
      <c r="H731" s="4">
        <v>1.0</v>
      </c>
      <c r="K731" s="13">
        <v>1.0</v>
      </c>
      <c r="L731" s="13">
        <v>20000.0</v>
      </c>
    </row>
    <row r="732">
      <c r="B732" s="94">
        <v>46108.0</v>
      </c>
      <c r="C732" s="4" t="s">
        <v>114</v>
      </c>
      <c r="D732" s="4" t="s">
        <v>80</v>
      </c>
      <c r="E732" s="4" t="s">
        <v>71</v>
      </c>
      <c r="F732" s="13" t="s">
        <v>14</v>
      </c>
      <c r="G732" s="13">
        <f t="shared" si="15"/>
        <v>0</v>
      </c>
      <c r="H732" s="4">
        <v>3.0</v>
      </c>
      <c r="K732" s="13">
        <v>3.0</v>
      </c>
      <c r="L732" s="13">
        <v>66000.0</v>
      </c>
    </row>
    <row r="733">
      <c r="B733" s="94">
        <v>46108.0</v>
      </c>
      <c r="C733" s="4" t="s">
        <v>114</v>
      </c>
      <c r="D733" s="4" t="s">
        <v>80</v>
      </c>
      <c r="E733" s="4" t="s">
        <v>71</v>
      </c>
      <c r="F733" s="13" t="s">
        <v>15</v>
      </c>
      <c r="G733" s="13">
        <f t="shared" si="15"/>
        <v>8</v>
      </c>
      <c r="H733" s="4">
        <v>13.0</v>
      </c>
      <c r="K733" s="13">
        <v>21.0</v>
      </c>
      <c r="L733" s="13">
        <v>420000.0</v>
      </c>
    </row>
    <row r="734">
      <c r="B734" s="94">
        <v>46108.0</v>
      </c>
      <c r="C734" s="4" t="s">
        <v>113</v>
      </c>
      <c r="D734" s="4" t="s">
        <v>304</v>
      </c>
      <c r="E734" s="4" t="s">
        <v>57</v>
      </c>
      <c r="F734" s="13" t="s">
        <v>4</v>
      </c>
      <c r="H734" s="13">
        <f>sum(H722:H733)</f>
        <v>28</v>
      </c>
      <c r="I734" s="4">
        <v>3.0</v>
      </c>
      <c r="K734" s="13">
        <v>25.0</v>
      </c>
      <c r="L734" s="13">
        <v>500000.0</v>
      </c>
      <c r="M734" s="13">
        <f>sum(L734:L745)+500000+ 500000</f>
        <v>2002000</v>
      </c>
    </row>
    <row r="735">
      <c r="B735" s="94">
        <v>46108.0</v>
      </c>
      <c r="C735" s="4" t="s">
        <v>113</v>
      </c>
      <c r="D735" s="4" t="s">
        <v>304</v>
      </c>
      <c r="E735" s="4" t="s">
        <v>57</v>
      </c>
      <c r="F735" s="13" t="s">
        <v>5</v>
      </c>
      <c r="H735" s="4">
        <v>3.0</v>
      </c>
      <c r="K735" s="13">
        <v>3.0</v>
      </c>
      <c r="L735" s="13">
        <v>60000.0</v>
      </c>
    </row>
    <row r="736">
      <c r="B736" s="94">
        <v>46108.0</v>
      </c>
      <c r="C736" s="4" t="s">
        <v>113</v>
      </c>
      <c r="D736" s="4" t="s">
        <v>304</v>
      </c>
      <c r="E736" s="4" t="s">
        <v>57</v>
      </c>
      <c r="F736" s="13" t="s">
        <v>6</v>
      </c>
      <c r="H736" s="4">
        <v>3.0</v>
      </c>
      <c r="I736" s="4">
        <v>2.0</v>
      </c>
      <c r="K736" s="13">
        <v>1.0</v>
      </c>
      <c r="L736" s="13">
        <v>20000.0</v>
      </c>
    </row>
    <row r="737">
      <c r="B737" s="94">
        <v>46108.0</v>
      </c>
      <c r="C737" s="4" t="s">
        <v>113</v>
      </c>
      <c r="D737" s="4" t="s">
        <v>304</v>
      </c>
      <c r="E737" s="4" t="s">
        <v>57</v>
      </c>
      <c r="F737" s="13" t="s">
        <v>7</v>
      </c>
      <c r="H737" s="4">
        <v>3.0</v>
      </c>
      <c r="I737" s="4">
        <v>3.0</v>
      </c>
      <c r="K737" s="13">
        <v>0.0</v>
      </c>
      <c r="L737" s="13">
        <v>0.0</v>
      </c>
    </row>
    <row r="738">
      <c r="B738" s="94">
        <v>46108.0</v>
      </c>
      <c r="C738" s="4" t="s">
        <v>113</v>
      </c>
      <c r="D738" s="4" t="s">
        <v>304</v>
      </c>
      <c r="E738" s="4" t="s">
        <v>57</v>
      </c>
      <c r="F738" s="13" t="s">
        <v>8</v>
      </c>
      <c r="H738" s="4">
        <v>5.0</v>
      </c>
      <c r="I738" s="4">
        <v>2.0</v>
      </c>
      <c r="K738" s="13">
        <v>3.0</v>
      </c>
      <c r="L738" s="13">
        <v>60000.0</v>
      </c>
    </row>
    <row r="739">
      <c r="B739" s="94">
        <v>46108.0</v>
      </c>
      <c r="C739" s="4" t="s">
        <v>113</v>
      </c>
      <c r="D739" s="4" t="s">
        <v>304</v>
      </c>
      <c r="E739" s="4" t="s">
        <v>57</v>
      </c>
      <c r="F739" s="13" t="s">
        <v>9</v>
      </c>
      <c r="H739" s="4">
        <v>6.0</v>
      </c>
      <c r="I739" s="4">
        <v>3.0</v>
      </c>
      <c r="K739" s="13">
        <v>3.0</v>
      </c>
      <c r="L739" s="13">
        <v>60000.0</v>
      </c>
    </row>
    <row r="740">
      <c r="B740" s="94">
        <v>46108.0</v>
      </c>
      <c r="C740" s="4" t="s">
        <v>113</v>
      </c>
      <c r="D740" s="4" t="s">
        <v>304</v>
      </c>
      <c r="E740" s="4" t="s">
        <v>57</v>
      </c>
      <c r="F740" s="13" t="s">
        <v>10</v>
      </c>
      <c r="H740" s="4">
        <v>2.0</v>
      </c>
      <c r="K740" s="13">
        <v>2.0</v>
      </c>
      <c r="L740" s="13">
        <v>40000.0</v>
      </c>
    </row>
    <row r="741">
      <c r="B741" s="94">
        <v>46108.0</v>
      </c>
      <c r="C741" s="4" t="s">
        <v>113</v>
      </c>
      <c r="D741" s="4" t="s">
        <v>304</v>
      </c>
      <c r="E741" s="4" t="s">
        <v>57</v>
      </c>
      <c r="F741" s="13" t="s">
        <v>11</v>
      </c>
      <c r="H741" s="4">
        <v>2.0</v>
      </c>
      <c r="I741" s="4">
        <v>1.0</v>
      </c>
      <c r="K741" s="13">
        <v>1.0</v>
      </c>
      <c r="L741" s="13">
        <v>20000.0</v>
      </c>
    </row>
    <row r="742">
      <c r="B742" s="94">
        <v>46108.0</v>
      </c>
      <c r="C742" s="4" t="s">
        <v>113</v>
      </c>
      <c r="D742" s="4" t="s">
        <v>304</v>
      </c>
      <c r="E742" s="4" t="s">
        <v>57</v>
      </c>
      <c r="F742" s="13" t="s">
        <v>12</v>
      </c>
      <c r="H742" s="4">
        <v>2.0</v>
      </c>
      <c r="K742" s="13">
        <v>2.0</v>
      </c>
      <c r="L742" s="13">
        <v>40000.0</v>
      </c>
    </row>
    <row r="743">
      <c r="B743" s="94">
        <v>46108.0</v>
      </c>
      <c r="C743" s="4" t="s">
        <v>113</v>
      </c>
      <c r="D743" s="4" t="s">
        <v>304</v>
      </c>
      <c r="E743" s="4" t="s">
        <v>57</v>
      </c>
      <c r="F743" s="13" t="s">
        <v>13</v>
      </c>
      <c r="H743" s="4">
        <v>2.0</v>
      </c>
      <c r="K743" s="13">
        <v>2.0</v>
      </c>
      <c r="L743" s="13">
        <v>40000.0</v>
      </c>
    </row>
    <row r="744">
      <c r="B744" s="94">
        <v>46108.0</v>
      </c>
      <c r="C744" s="4" t="s">
        <v>113</v>
      </c>
      <c r="D744" s="4" t="s">
        <v>304</v>
      </c>
      <c r="E744" s="4" t="s">
        <v>57</v>
      </c>
      <c r="F744" s="13" t="s">
        <v>14</v>
      </c>
      <c r="H744" s="4">
        <v>3.0</v>
      </c>
      <c r="I744" s="4">
        <v>2.0</v>
      </c>
      <c r="K744" s="13">
        <v>1.0</v>
      </c>
      <c r="L744" s="13">
        <v>22000.0</v>
      </c>
    </row>
    <row r="745">
      <c r="B745" s="94">
        <v>46108.0</v>
      </c>
      <c r="C745" s="4" t="s">
        <v>113</v>
      </c>
      <c r="D745" s="4" t="s">
        <v>304</v>
      </c>
      <c r="E745" s="4" t="s">
        <v>57</v>
      </c>
      <c r="F745" s="13" t="s">
        <v>15</v>
      </c>
      <c r="H745" s="4">
        <v>30.0</v>
      </c>
      <c r="I745" s="4">
        <v>23.0</v>
      </c>
      <c r="K745" s="13">
        <v>7.0</v>
      </c>
      <c r="L745" s="13">
        <v>140000.0</v>
      </c>
    </row>
    <row r="746">
      <c r="A746" s="13"/>
      <c r="B746" s="94">
        <v>46108.0</v>
      </c>
      <c r="C746" s="4" t="s">
        <v>114</v>
      </c>
      <c r="D746" s="4" t="s">
        <v>304</v>
      </c>
      <c r="E746" s="4" t="s">
        <v>299</v>
      </c>
      <c r="F746" s="13" t="s">
        <v>4</v>
      </c>
      <c r="G746" s="13"/>
      <c r="H746" s="13"/>
      <c r="I746" s="13"/>
      <c r="J746" s="13"/>
      <c r="K746" s="13">
        <v>0.0</v>
      </c>
      <c r="L746" s="13">
        <v>0.0</v>
      </c>
      <c r="M746" s="13"/>
      <c r="N746" s="13"/>
      <c r="O746" s="13"/>
      <c r="P746" s="13"/>
      <c r="Q746" s="13"/>
      <c r="R746" s="13"/>
      <c r="S746" s="13"/>
      <c r="T746" s="13"/>
      <c r="U746" s="13"/>
      <c r="V746" s="13"/>
      <c r="W746" s="13"/>
      <c r="X746" s="13"/>
      <c r="Y746" s="13"/>
      <c r="Z746" s="13"/>
      <c r="AA746" s="13"/>
      <c r="AB746" s="13"/>
      <c r="AC746" s="13"/>
    </row>
    <row r="747">
      <c r="A747" s="13"/>
      <c r="B747" s="94">
        <v>46108.0</v>
      </c>
      <c r="C747" s="4" t="s">
        <v>114</v>
      </c>
      <c r="D747" s="4" t="s">
        <v>304</v>
      </c>
      <c r="E747" s="4" t="s">
        <v>299</v>
      </c>
      <c r="F747" s="13" t="s">
        <v>5</v>
      </c>
      <c r="G747" s="13"/>
      <c r="H747" s="13"/>
      <c r="I747" s="13"/>
      <c r="J747" s="13"/>
      <c r="K747" s="13">
        <v>0.0</v>
      </c>
      <c r="L747" s="13">
        <v>0.0</v>
      </c>
      <c r="M747" s="13"/>
      <c r="N747" s="13"/>
      <c r="O747" s="13"/>
      <c r="P747" s="13"/>
      <c r="Q747" s="13"/>
      <c r="R747" s="13"/>
      <c r="S747" s="13"/>
      <c r="T747" s="13"/>
      <c r="U747" s="13"/>
      <c r="V747" s="13"/>
      <c r="W747" s="13"/>
      <c r="X747" s="13"/>
      <c r="Y747" s="13"/>
      <c r="Z747" s="13"/>
      <c r="AA747" s="13"/>
      <c r="AB747" s="13"/>
      <c r="AC747" s="13"/>
    </row>
    <row r="748">
      <c r="A748" s="13"/>
      <c r="B748" s="94">
        <v>46108.0</v>
      </c>
      <c r="C748" s="4" t="s">
        <v>114</v>
      </c>
      <c r="D748" s="4" t="s">
        <v>304</v>
      </c>
      <c r="E748" s="4" t="s">
        <v>299</v>
      </c>
      <c r="F748" s="13" t="s">
        <v>6</v>
      </c>
      <c r="G748" s="13"/>
      <c r="H748" s="13"/>
      <c r="I748" s="13"/>
      <c r="J748" s="13"/>
      <c r="K748" s="13">
        <v>0.0</v>
      </c>
      <c r="L748" s="13">
        <v>0.0</v>
      </c>
      <c r="M748" s="13"/>
      <c r="N748" s="13"/>
      <c r="O748" s="13"/>
      <c r="P748" s="13"/>
      <c r="Q748" s="13"/>
      <c r="R748" s="13"/>
      <c r="S748" s="13"/>
      <c r="T748" s="13"/>
      <c r="U748" s="13"/>
      <c r="V748" s="13"/>
      <c r="W748" s="13"/>
      <c r="X748" s="13"/>
      <c r="Y748" s="13"/>
      <c r="Z748" s="13"/>
      <c r="AA748" s="13"/>
      <c r="AB748" s="13"/>
      <c r="AC748" s="13"/>
    </row>
    <row r="749">
      <c r="A749" s="13"/>
      <c r="B749" s="94">
        <v>46108.0</v>
      </c>
      <c r="C749" s="4" t="s">
        <v>114</v>
      </c>
      <c r="D749" s="4" t="s">
        <v>304</v>
      </c>
      <c r="E749" s="4" t="s">
        <v>299</v>
      </c>
      <c r="F749" s="13" t="s">
        <v>7</v>
      </c>
      <c r="G749" s="13"/>
      <c r="H749" s="13"/>
      <c r="I749" s="13"/>
      <c r="J749" s="13"/>
      <c r="K749" s="13">
        <v>0.0</v>
      </c>
      <c r="L749" s="13">
        <v>0.0</v>
      </c>
      <c r="M749" s="13"/>
      <c r="N749" s="13"/>
      <c r="O749" s="13"/>
      <c r="P749" s="13"/>
      <c r="Q749" s="13"/>
      <c r="R749" s="13"/>
      <c r="S749" s="13"/>
      <c r="T749" s="13"/>
      <c r="U749" s="13"/>
      <c r="V749" s="13"/>
      <c r="W749" s="13"/>
      <c r="X749" s="13"/>
      <c r="Y749" s="13"/>
      <c r="Z749" s="13"/>
      <c r="AA749" s="13"/>
      <c r="AB749" s="13"/>
      <c r="AC749" s="13"/>
    </row>
    <row r="750">
      <c r="A750" s="13"/>
      <c r="B750" s="94">
        <v>46108.0</v>
      </c>
      <c r="C750" s="4" t="s">
        <v>114</v>
      </c>
      <c r="D750" s="4" t="s">
        <v>304</v>
      </c>
      <c r="E750" s="4" t="s">
        <v>299</v>
      </c>
      <c r="F750" s="13" t="s">
        <v>8</v>
      </c>
      <c r="G750" s="13"/>
      <c r="H750" s="13"/>
      <c r="I750" s="13"/>
      <c r="J750" s="13"/>
      <c r="K750" s="13">
        <v>0.0</v>
      </c>
      <c r="L750" s="13">
        <v>0.0</v>
      </c>
      <c r="M750" s="13"/>
      <c r="N750" s="13"/>
      <c r="O750" s="13"/>
      <c r="P750" s="13"/>
      <c r="Q750" s="13"/>
      <c r="R750" s="13"/>
      <c r="S750" s="13"/>
      <c r="T750" s="13"/>
      <c r="U750" s="13"/>
      <c r="V750" s="13"/>
      <c r="W750" s="13"/>
      <c r="X750" s="13"/>
      <c r="Y750" s="13"/>
      <c r="Z750" s="13"/>
      <c r="AA750" s="13"/>
      <c r="AB750" s="13"/>
      <c r="AC750" s="13"/>
    </row>
    <row r="751">
      <c r="A751" s="13"/>
      <c r="B751" s="94">
        <v>46108.0</v>
      </c>
      <c r="C751" s="4" t="s">
        <v>114</v>
      </c>
      <c r="D751" s="4" t="s">
        <v>304</v>
      </c>
      <c r="E751" s="4" t="s">
        <v>299</v>
      </c>
      <c r="F751" s="13" t="s">
        <v>9</v>
      </c>
      <c r="G751" s="13"/>
      <c r="H751" s="13"/>
      <c r="I751" s="13"/>
      <c r="J751" s="13"/>
      <c r="K751" s="13">
        <v>0.0</v>
      </c>
      <c r="L751" s="13">
        <v>0.0</v>
      </c>
      <c r="M751" s="13"/>
      <c r="N751" s="13"/>
      <c r="O751" s="13"/>
      <c r="P751" s="13"/>
      <c r="Q751" s="13"/>
      <c r="R751" s="13"/>
      <c r="S751" s="13"/>
      <c r="T751" s="13"/>
      <c r="U751" s="13"/>
      <c r="V751" s="13"/>
      <c r="W751" s="13"/>
      <c r="X751" s="13"/>
      <c r="Y751" s="13"/>
      <c r="Z751" s="13"/>
      <c r="AA751" s="13"/>
      <c r="AB751" s="13"/>
      <c r="AC751" s="13"/>
    </row>
    <row r="752">
      <c r="A752" s="13"/>
      <c r="B752" s="94">
        <v>46108.0</v>
      </c>
      <c r="C752" s="4" t="s">
        <v>114</v>
      </c>
      <c r="D752" s="4" t="s">
        <v>304</v>
      </c>
      <c r="E752" s="4" t="s">
        <v>299</v>
      </c>
      <c r="F752" s="13" t="s">
        <v>10</v>
      </c>
      <c r="G752" s="13"/>
      <c r="H752" s="13"/>
      <c r="I752" s="13"/>
      <c r="J752" s="13"/>
      <c r="K752" s="13">
        <v>0.0</v>
      </c>
      <c r="L752" s="13">
        <v>0.0</v>
      </c>
      <c r="M752" s="13"/>
      <c r="N752" s="13"/>
      <c r="O752" s="13"/>
      <c r="P752" s="13"/>
      <c r="Q752" s="13"/>
      <c r="R752" s="13"/>
      <c r="S752" s="13"/>
      <c r="T752" s="13"/>
      <c r="U752" s="13"/>
      <c r="V752" s="13"/>
      <c r="W752" s="13"/>
      <c r="X752" s="13"/>
      <c r="Y752" s="13"/>
      <c r="Z752" s="13"/>
      <c r="AA752" s="13"/>
      <c r="AB752" s="13"/>
      <c r="AC752" s="13"/>
    </row>
    <row r="753">
      <c r="A753" s="13"/>
      <c r="B753" s="94">
        <v>46108.0</v>
      </c>
      <c r="C753" s="4" t="s">
        <v>114</v>
      </c>
      <c r="D753" s="4" t="s">
        <v>304</v>
      </c>
      <c r="E753" s="4" t="s">
        <v>299</v>
      </c>
      <c r="F753" s="13" t="s">
        <v>11</v>
      </c>
      <c r="G753" s="13"/>
      <c r="H753" s="13"/>
      <c r="I753" s="13"/>
      <c r="J753" s="13"/>
      <c r="K753" s="13">
        <v>0.0</v>
      </c>
      <c r="L753" s="13">
        <v>0.0</v>
      </c>
      <c r="M753" s="13"/>
      <c r="N753" s="13"/>
      <c r="O753" s="13"/>
      <c r="P753" s="13"/>
      <c r="Q753" s="13"/>
      <c r="R753" s="13"/>
      <c r="S753" s="13"/>
      <c r="T753" s="13"/>
      <c r="U753" s="13"/>
      <c r="V753" s="13"/>
      <c r="W753" s="13"/>
      <c r="X753" s="13"/>
      <c r="Y753" s="13"/>
      <c r="Z753" s="13"/>
      <c r="AA753" s="13"/>
      <c r="AB753" s="13"/>
      <c r="AC753" s="13"/>
    </row>
    <row r="754">
      <c r="A754" s="13"/>
      <c r="B754" s="94">
        <v>46108.0</v>
      </c>
      <c r="C754" s="4" t="s">
        <v>114</v>
      </c>
      <c r="D754" s="4" t="s">
        <v>304</v>
      </c>
      <c r="E754" s="4" t="s">
        <v>299</v>
      </c>
      <c r="F754" s="13" t="s">
        <v>12</v>
      </c>
      <c r="G754" s="13"/>
      <c r="H754" s="13"/>
      <c r="I754" s="13"/>
      <c r="J754" s="13"/>
      <c r="K754" s="13">
        <v>0.0</v>
      </c>
      <c r="L754" s="13">
        <v>0.0</v>
      </c>
      <c r="M754" s="13"/>
      <c r="N754" s="13"/>
      <c r="O754" s="13"/>
      <c r="P754" s="13"/>
      <c r="Q754" s="13"/>
      <c r="R754" s="13"/>
      <c r="S754" s="13"/>
      <c r="T754" s="13"/>
      <c r="U754" s="13"/>
      <c r="V754" s="13"/>
      <c r="W754" s="13"/>
      <c r="X754" s="13"/>
      <c r="Y754" s="13"/>
      <c r="Z754" s="13"/>
      <c r="AA754" s="13"/>
      <c r="AB754" s="13"/>
      <c r="AC754" s="13"/>
    </row>
    <row r="755">
      <c r="A755" s="13"/>
      <c r="B755" s="94">
        <v>46108.0</v>
      </c>
      <c r="C755" s="4" t="s">
        <v>114</v>
      </c>
      <c r="D755" s="4" t="s">
        <v>304</v>
      </c>
      <c r="E755" s="4" t="s">
        <v>299</v>
      </c>
      <c r="F755" s="13" t="s">
        <v>13</v>
      </c>
      <c r="G755" s="13"/>
      <c r="H755" s="13"/>
      <c r="I755" s="13"/>
      <c r="J755" s="13"/>
      <c r="K755" s="13">
        <v>0.0</v>
      </c>
      <c r="L755" s="13">
        <v>0.0</v>
      </c>
      <c r="M755" s="13"/>
      <c r="N755" s="13"/>
      <c r="O755" s="13"/>
      <c r="P755" s="13"/>
      <c r="Q755" s="13"/>
      <c r="R755" s="13"/>
      <c r="S755" s="13"/>
      <c r="T755" s="13"/>
      <c r="U755" s="13"/>
      <c r="V755" s="13"/>
      <c r="W755" s="13"/>
      <c r="X755" s="13"/>
      <c r="Y755" s="13"/>
      <c r="Z755" s="13"/>
      <c r="AA755" s="13"/>
      <c r="AB755" s="13"/>
      <c r="AC755" s="13"/>
    </row>
    <row r="756">
      <c r="A756" s="13"/>
      <c r="B756" s="94">
        <v>46108.0</v>
      </c>
      <c r="C756" s="4" t="s">
        <v>114</v>
      </c>
      <c r="D756" s="4" t="s">
        <v>304</v>
      </c>
      <c r="E756" s="4" t="s">
        <v>299</v>
      </c>
      <c r="F756" s="13" t="s">
        <v>14</v>
      </c>
      <c r="G756" s="13"/>
      <c r="H756" s="13"/>
      <c r="I756" s="13"/>
      <c r="J756" s="13"/>
      <c r="K756" s="13">
        <v>0.0</v>
      </c>
      <c r="L756" s="13">
        <v>0.0</v>
      </c>
      <c r="M756" s="13"/>
      <c r="N756" s="13"/>
      <c r="O756" s="13"/>
      <c r="P756" s="13"/>
      <c r="Q756" s="13"/>
      <c r="R756" s="13"/>
      <c r="S756" s="13"/>
      <c r="T756" s="13"/>
      <c r="U756" s="13"/>
      <c r="V756" s="13"/>
      <c r="W756" s="13"/>
      <c r="X756" s="13"/>
      <c r="Y756" s="13"/>
      <c r="Z756" s="13"/>
      <c r="AA756" s="13"/>
      <c r="AB756" s="13"/>
      <c r="AC756" s="13"/>
    </row>
    <row r="757">
      <c r="A757" s="13"/>
      <c r="B757" s="94">
        <v>46108.0</v>
      </c>
      <c r="C757" s="4" t="s">
        <v>114</v>
      </c>
      <c r="D757" s="4" t="s">
        <v>304</v>
      </c>
      <c r="E757" s="4" t="s">
        <v>299</v>
      </c>
      <c r="F757" s="13" t="s">
        <v>15</v>
      </c>
      <c r="G757" s="13"/>
      <c r="H757" s="13"/>
      <c r="I757" s="13"/>
      <c r="J757" s="13"/>
      <c r="K757" s="13">
        <v>0.0</v>
      </c>
      <c r="L757" s="13">
        <v>0.0</v>
      </c>
      <c r="M757" s="13"/>
      <c r="N757" s="13"/>
      <c r="O757" s="13"/>
      <c r="P757" s="13"/>
      <c r="Q757" s="13"/>
      <c r="R757" s="13"/>
      <c r="S757" s="13"/>
      <c r="T757" s="13"/>
      <c r="U757" s="13"/>
      <c r="V757" s="13"/>
      <c r="W757" s="13"/>
      <c r="X757" s="13"/>
      <c r="Y757" s="13"/>
      <c r="Z757" s="13"/>
      <c r="AA757" s="13"/>
      <c r="AB757" s="13"/>
      <c r="AC757" s="13"/>
    </row>
    <row r="758">
      <c r="B758" s="94">
        <v>46108.0</v>
      </c>
      <c r="C758" s="4" t="s">
        <v>113</v>
      </c>
      <c r="D758" s="4" t="s">
        <v>93</v>
      </c>
      <c r="E758" s="4" t="s">
        <v>53</v>
      </c>
      <c r="F758" s="13" t="s">
        <v>4</v>
      </c>
      <c r="H758" s="4">
        <v>5.0</v>
      </c>
      <c r="K758" s="13">
        <v>5.0</v>
      </c>
      <c r="L758" s="13">
        <v>100000.0</v>
      </c>
      <c r="M758" s="13">
        <f>sum(L758:L769)+500000</f>
        <v>1786000</v>
      </c>
    </row>
    <row r="759">
      <c r="B759" s="94">
        <v>46108.0</v>
      </c>
      <c r="C759" s="4" t="s">
        <v>113</v>
      </c>
      <c r="D759" s="4" t="s">
        <v>93</v>
      </c>
      <c r="E759" s="4" t="s">
        <v>53</v>
      </c>
      <c r="F759" s="13" t="s">
        <v>5</v>
      </c>
      <c r="H759" s="4">
        <v>5.0</v>
      </c>
      <c r="K759" s="13">
        <v>5.0</v>
      </c>
      <c r="L759" s="13">
        <v>100000.0</v>
      </c>
    </row>
    <row r="760">
      <c r="B760" s="94">
        <v>46108.0</v>
      </c>
      <c r="C760" s="4" t="s">
        <v>113</v>
      </c>
      <c r="D760" s="4" t="s">
        <v>93</v>
      </c>
      <c r="E760" s="4" t="s">
        <v>53</v>
      </c>
      <c r="F760" s="13" t="s">
        <v>6</v>
      </c>
      <c r="H760" s="4">
        <v>3.0</v>
      </c>
      <c r="I760" s="4">
        <v>1.0</v>
      </c>
      <c r="K760" s="13">
        <v>2.0</v>
      </c>
      <c r="L760" s="13">
        <v>40000.0</v>
      </c>
    </row>
    <row r="761">
      <c r="B761" s="94">
        <v>46108.0</v>
      </c>
      <c r="C761" s="4" t="s">
        <v>113</v>
      </c>
      <c r="D761" s="4" t="s">
        <v>93</v>
      </c>
      <c r="E761" s="4" t="s">
        <v>53</v>
      </c>
      <c r="F761" s="13" t="s">
        <v>7</v>
      </c>
      <c r="H761" s="4">
        <v>2.0</v>
      </c>
      <c r="K761" s="13">
        <v>2.0</v>
      </c>
      <c r="L761" s="13">
        <v>40000.0</v>
      </c>
    </row>
    <row r="762">
      <c r="B762" s="94">
        <v>46108.0</v>
      </c>
      <c r="C762" s="4" t="s">
        <v>113</v>
      </c>
      <c r="D762" s="4" t="s">
        <v>93</v>
      </c>
      <c r="E762" s="4" t="s">
        <v>53</v>
      </c>
      <c r="F762" s="13" t="s">
        <v>8</v>
      </c>
      <c r="H762" s="4">
        <v>5.0</v>
      </c>
      <c r="K762" s="13">
        <v>5.0</v>
      </c>
      <c r="L762" s="13">
        <v>100000.0</v>
      </c>
    </row>
    <row r="763">
      <c r="B763" s="94">
        <v>46108.0</v>
      </c>
      <c r="C763" s="4" t="s">
        <v>113</v>
      </c>
      <c r="D763" s="4" t="s">
        <v>93</v>
      </c>
      <c r="E763" s="4" t="s">
        <v>53</v>
      </c>
      <c r="F763" s="13" t="s">
        <v>9</v>
      </c>
      <c r="H763" s="4">
        <v>5.0</v>
      </c>
      <c r="K763" s="13">
        <v>5.0</v>
      </c>
      <c r="L763" s="13">
        <v>100000.0</v>
      </c>
    </row>
    <row r="764">
      <c r="B764" s="94">
        <v>46108.0</v>
      </c>
      <c r="C764" s="4" t="s">
        <v>113</v>
      </c>
      <c r="D764" s="4" t="s">
        <v>93</v>
      </c>
      <c r="E764" s="4" t="s">
        <v>53</v>
      </c>
      <c r="F764" s="13" t="s">
        <v>10</v>
      </c>
      <c r="H764" s="4">
        <v>2.0</v>
      </c>
      <c r="K764" s="13">
        <v>2.0</v>
      </c>
      <c r="L764" s="13">
        <v>40000.0</v>
      </c>
    </row>
    <row r="765">
      <c r="B765" s="94">
        <v>46108.0</v>
      </c>
      <c r="C765" s="4" t="s">
        <v>113</v>
      </c>
      <c r="D765" s="4" t="s">
        <v>93</v>
      </c>
      <c r="E765" s="4" t="s">
        <v>53</v>
      </c>
      <c r="F765" s="13" t="s">
        <v>11</v>
      </c>
      <c r="H765" s="4">
        <v>2.0</v>
      </c>
      <c r="K765" s="13">
        <v>2.0</v>
      </c>
      <c r="L765" s="13">
        <v>40000.0</v>
      </c>
    </row>
    <row r="766">
      <c r="B766" s="94">
        <v>46108.0</v>
      </c>
      <c r="C766" s="4" t="s">
        <v>113</v>
      </c>
      <c r="D766" s="4" t="s">
        <v>93</v>
      </c>
      <c r="E766" s="4" t="s">
        <v>53</v>
      </c>
      <c r="F766" s="13" t="s">
        <v>12</v>
      </c>
      <c r="H766" s="4">
        <v>2.0</v>
      </c>
      <c r="K766" s="13">
        <v>2.0</v>
      </c>
      <c r="L766" s="13">
        <v>40000.0</v>
      </c>
    </row>
    <row r="767">
      <c r="B767" s="94">
        <v>46108.0</v>
      </c>
      <c r="C767" s="4" t="s">
        <v>113</v>
      </c>
      <c r="D767" s="4" t="s">
        <v>93</v>
      </c>
      <c r="E767" s="4" t="s">
        <v>53</v>
      </c>
      <c r="F767" s="13" t="s">
        <v>13</v>
      </c>
      <c r="H767" s="4">
        <v>4.0</v>
      </c>
      <c r="I767" s="4">
        <v>1.0</v>
      </c>
      <c r="K767" s="13">
        <v>3.0</v>
      </c>
      <c r="L767" s="13">
        <v>60000.0</v>
      </c>
    </row>
    <row r="768">
      <c r="B768" s="94">
        <v>46108.0</v>
      </c>
      <c r="C768" s="4" t="s">
        <v>113</v>
      </c>
      <c r="D768" s="4" t="s">
        <v>93</v>
      </c>
      <c r="E768" s="4" t="s">
        <v>53</v>
      </c>
      <c r="F768" s="13" t="s">
        <v>14</v>
      </c>
      <c r="H768" s="4">
        <v>3.0</v>
      </c>
      <c r="K768" s="13">
        <v>3.0</v>
      </c>
      <c r="L768" s="13">
        <v>66000.0</v>
      </c>
    </row>
    <row r="769">
      <c r="B769" s="94">
        <v>46108.0</v>
      </c>
      <c r="C769" s="4" t="s">
        <v>113</v>
      </c>
      <c r="D769" s="4" t="s">
        <v>93</v>
      </c>
      <c r="E769" s="4" t="s">
        <v>53</v>
      </c>
      <c r="F769" s="13" t="s">
        <v>15</v>
      </c>
      <c r="H769" s="4">
        <v>30.0</v>
      </c>
      <c r="I769" s="4">
        <v>2.0</v>
      </c>
      <c r="K769" s="13">
        <v>28.0</v>
      </c>
      <c r="L769" s="13">
        <v>560000.0</v>
      </c>
    </row>
    <row r="770">
      <c r="A770" s="13"/>
      <c r="B770" s="94">
        <v>46108.0</v>
      </c>
      <c r="C770" s="4" t="s">
        <v>114</v>
      </c>
      <c r="D770" s="4" t="s">
        <v>93</v>
      </c>
      <c r="E770" s="4" t="s">
        <v>299</v>
      </c>
      <c r="F770" s="13" t="s">
        <v>4</v>
      </c>
      <c r="G770" s="13"/>
      <c r="H770" s="13"/>
      <c r="I770" s="13"/>
      <c r="J770" s="13"/>
      <c r="K770" s="13">
        <v>0.0</v>
      </c>
      <c r="L770" s="13">
        <v>0.0</v>
      </c>
      <c r="M770" s="13"/>
      <c r="N770" s="13"/>
      <c r="O770" s="13"/>
      <c r="P770" s="13"/>
      <c r="Q770" s="13"/>
      <c r="R770" s="13"/>
      <c r="S770" s="13"/>
      <c r="T770" s="13"/>
      <c r="U770" s="13"/>
      <c r="V770" s="13"/>
      <c r="W770" s="13"/>
      <c r="X770" s="13"/>
      <c r="Y770" s="13"/>
      <c r="Z770" s="13"/>
      <c r="AA770" s="13"/>
      <c r="AB770" s="13"/>
      <c r="AC770" s="13"/>
    </row>
    <row r="771">
      <c r="A771" s="13"/>
      <c r="B771" s="94">
        <v>46108.0</v>
      </c>
      <c r="C771" s="4" t="s">
        <v>114</v>
      </c>
      <c r="D771" s="4" t="s">
        <v>93</v>
      </c>
      <c r="E771" s="4" t="s">
        <v>299</v>
      </c>
      <c r="F771" s="13" t="s">
        <v>5</v>
      </c>
      <c r="G771" s="13"/>
      <c r="H771" s="13"/>
      <c r="I771" s="13"/>
      <c r="J771" s="13"/>
      <c r="K771" s="13">
        <v>0.0</v>
      </c>
      <c r="L771" s="13">
        <v>0.0</v>
      </c>
      <c r="M771" s="13"/>
      <c r="N771" s="13"/>
      <c r="O771" s="13"/>
      <c r="P771" s="13"/>
      <c r="Q771" s="13"/>
      <c r="R771" s="13"/>
      <c r="S771" s="13"/>
      <c r="T771" s="13"/>
      <c r="U771" s="13"/>
      <c r="V771" s="13"/>
      <c r="W771" s="13"/>
      <c r="X771" s="13"/>
      <c r="Y771" s="13"/>
      <c r="Z771" s="13"/>
      <c r="AA771" s="13"/>
      <c r="AB771" s="13"/>
      <c r="AC771" s="13"/>
    </row>
    <row r="772">
      <c r="A772" s="13"/>
      <c r="B772" s="94">
        <v>46108.0</v>
      </c>
      <c r="C772" s="4" t="s">
        <v>114</v>
      </c>
      <c r="D772" s="4" t="s">
        <v>93</v>
      </c>
      <c r="E772" s="4" t="s">
        <v>299</v>
      </c>
      <c r="F772" s="13" t="s">
        <v>6</v>
      </c>
      <c r="G772" s="13"/>
      <c r="H772" s="13"/>
      <c r="I772" s="13"/>
      <c r="J772" s="13"/>
      <c r="K772" s="13">
        <v>0.0</v>
      </c>
      <c r="L772" s="13">
        <v>0.0</v>
      </c>
      <c r="M772" s="13"/>
      <c r="N772" s="13"/>
      <c r="O772" s="13"/>
      <c r="P772" s="13"/>
      <c r="Q772" s="13"/>
      <c r="R772" s="13"/>
      <c r="S772" s="13"/>
      <c r="T772" s="13"/>
      <c r="U772" s="13"/>
      <c r="V772" s="13"/>
      <c r="W772" s="13"/>
      <c r="X772" s="13"/>
      <c r="Y772" s="13"/>
      <c r="Z772" s="13"/>
      <c r="AA772" s="13"/>
      <c r="AB772" s="13"/>
      <c r="AC772" s="13"/>
    </row>
    <row r="773">
      <c r="A773" s="13"/>
      <c r="B773" s="94">
        <v>46108.0</v>
      </c>
      <c r="C773" s="4" t="s">
        <v>114</v>
      </c>
      <c r="D773" s="4" t="s">
        <v>93</v>
      </c>
      <c r="E773" s="4" t="s">
        <v>299</v>
      </c>
      <c r="F773" s="13" t="s">
        <v>7</v>
      </c>
      <c r="G773" s="13"/>
      <c r="H773" s="13"/>
      <c r="I773" s="13"/>
      <c r="J773" s="13"/>
      <c r="K773" s="13">
        <v>0.0</v>
      </c>
      <c r="L773" s="13">
        <v>0.0</v>
      </c>
      <c r="M773" s="13"/>
      <c r="N773" s="13"/>
      <c r="O773" s="13"/>
      <c r="P773" s="13"/>
      <c r="Q773" s="13"/>
      <c r="R773" s="13"/>
      <c r="S773" s="13"/>
      <c r="T773" s="13"/>
      <c r="U773" s="13"/>
      <c r="V773" s="13"/>
      <c r="W773" s="13"/>
      <c r="X773" s="13"/>
      <c r="Y773" s="13"/>
      <c r="Z773" s="13"/>
      <c r="AA773" s="13"/>
      <c r="AB773" s="13"/>
      <c r="AC773" s="13"/>
    </row>
    <row r="774">
      <c r="A774" s="13"/>
      <c r="B774" s="94">
        <v>46108.0</v>
      </c>
      <c r="C774" s="4" t="s">
        <v>114</v>
      </c>
      <c r="D774" s="4" t="s">
        <v>93</v>
      </c>
      <c r="E774" s="4" t="s">
        <v>299</v>
      </c>
      <c r="F774" s="13" t="s">
        <v>8</v>
      </c>
      <c r="G774" s="13"/>
      <c r="H774" s="13"/>
      <c r="I774" s="13"/>
      <c r="J774" s="13"/>
      <c r="K774" s="13">
        <v>0.0</v>
      </c>
      <c r="L774" s="13">
        <v>0.0</v>
      </c>
      <c r="M774" s="13"/>
      <c r="N774" s="13"/>
      <c r="O774" s="13"/>
      <c r="P774" s="13"/>
      <c r="Q774" s="13"/>
      <c r="R774" s="13"/>
      <c r="S774" s="13"/>
      <c r="T774" s="13"/>
      <c r="U774" s="13"/>
      <c r="V774" s="13"/>
      <c r="W774" s="13"/>
      <c r="X774" s="13"/>
      <c r="Y774" s="13"/>
      <c r="Z774" s="13"/>
      <c r="AA774" s="13"/>
      <c r="AB774" s="13"/>
      <c r="AC774" s="13"/>
    </row>
    <row r="775">
      <c r="A775" s="13"/>
      <c r="B775" s="94">
        <v>46108.0</v>
      </c>
      <c r="C775" s="4" t="s">
        <v>114</v>
      </c>
      <c r="D775" s="4" t="s">
        <v>93</v>
      </c>
      <c r="E775" s="4" t="s">
        <v>299</v>
      </c>
      <c r="F775" s="13" t="s">
        <v>9</v>
      </c>
      <c r="G775" s="13"/>
      <c r="H775" s="13"/>
      <c r="I775" s="13"/>
      <c r="J775" s="13"/>
      <c r="K775" s="13">
        <v>0.0</v>
      </c>
      <c r="L775" s="13">
        <v>0.0</v>
      </c>
      <c r="M775" s="13"/>
      <c r="N775" s="13"/>
      <c r="O775" s="13"/>
      <c r="P775" s="13"/>
      <c r="Q775" s="13"/>
      <c r="R775" s="13"/>
      <c r="S775" s="13"/>
      <c r="T775" s="13"/>
      <c r="U775" s="13"/>
      <c r="V775" s="13"/>
      <c r="W775" s="13"/>
      <c r="X775" s="13"/>
      <c r="Y775" s="13"/>
      <c r="Z775" s="13"/>
      <c r="AA775" s="13"/>
      <c r="AB775" s="13"/>
      <c r="AC775" s="13"/>
    </row>
    <row r="776">
      <c r="A776" s="13"/>
      <c r="B776" s="94">
        <v>46108.0</v>
      </c>
      <c r="C776" s="4" t="s">
        <v>114</v>
      </c>
      <c r="D776" s="4" t="s">
        <v>93</v>
      </c>
      <c r="E776" s="4" t="s">
        <v>299</v>
      </c>
      <c r="F776" s="13" t="s">
        <v>10</v>
      </c>
      <c r="G776" s="13"/>
      <c r="H776" s="13"/>
      <c r="I776" s="13"/>
      <c r="J776" s="13"/>
      <c r="K776" s="13">
        <v>0.0</v>
      </c>
      <c r="L776" s="13">
        <v>0.0</v>
      </c>
      <c r="M776" s="13"/>
      <c r="N776" s="13"/>
      <c r="O776" s="13"/>
      <c r="P776" s="13"/>
      <c r="Q776" s="13"/>
      <c r="R776" s="13"/>
      <c r="S776" s="13"/>
      <c r="T776" s="13"/>
      <c r="U776" s="13"/>
      <c r="V776" s="13"/>
      <c r="W776" s="13"/>
      <c r="X776" s="13"/>
      <c r="Y776" s="13"/>
      <c r="Z776" s="13"/>
      <c r="AA776" s="13"/>
      <c r="AB776" s="13"/>
      <c r="AC776" s="13"/>
    </row>
    <row r="777">
      <c r="A777" s="13"/>
      <c r="B777" s="94">
        <v>46108.0</v>
      </c>
      <c r="C777" s="4" t="s">
        <v>114</v>
      </c>
      <c r="D777" s="4" t="s">
        <v>93</v>
      </c>
      <c r="E777" s="4" t="s">
        <v>299</v>
      </c>
      <c r="F777" s="13" t="s">
        <v>11</v>
      </c>
      <c r="G777" s="13"/>
      <c r="H777" s="13"/>
      <c r="I777" s="13"/>
      <c r="J777" s="13"/>
      <c r="K777" s="13">
        <v>0.0</v>
      </c>
      <c r="L777" s="13">
        <v>0.0</v>
      </c>
      <c r="M777" s="13"/>
      <c r="N777" s="13"/>
      <c r="O777" s="13"/>
      <c r="P777" s="13"/>
      <c r="Q777" s="13"/>
      <c r="R777" s="13"/>
      <c r="S777" s="13"/>
      <c r="T777" s="13"/>
      <c r="U777" s="13"/>
      <c r="V777" s="13"/>
      <c r="W777" s="13"/>
      <c r="X777" s="13"/>
      <c r="Y777" s="13"/>
      <c r="Z777" s="13"/>
      <c r="AA777" s="13"/>
      <c r="AB777" s="13"/>
      <c r="AC777" s="13"/>
    </row>
    <row r="778">
      <c r="A778" s="13"/>
      <c r="B778" s="94">
        <v>46108.0</v>
      </c>
      <c r="C778" s="4" t="s">
        <v>114</v>
      </c>
      <c r="D778" s="4" t="s">
        <v>93</v>
      </c>
      <c r="E778" s="4" t="s">
        <v>299</v>
      </c>
      <c r="F778" s="13" t="s">
        <v>12</v>
      </c>
      <c r="G778" s="13"/>
      <c r="H778" s="13"/>
      <c r="I778" s="13"/>
      <c r="J778" s="13"/>
      <c r="K778" s="13">
        <v>0.0</v>
      </c>
      <c r="L778" s="13">
        <v>0.0</v>
      </c>
      <c r="M778" s="13"/>
      <c r="N778" s="13"/>
      <c r="O778" s="13"/>
      <c r="P778" s="13"/>
      <c r="Q778" s="13"/>
      <c r="R778" s="13"/>
      <c r="S778" s="13"/>
      <c r="T778" s="13"/>
      <c r="U778" s="13"/>
      <c r="V778" s="13"/>
      <c r="W778" s="13"/>
      <c r="X778" s="13"/>
      <c r="Y778" s="13"/>
      <c r="Z778" s="13"/>
      <c r="AA778" s="13"/>
      <c r="AB778" s="13"/>
      <c r="AC778" s="13"/>
    </row>
    <row r="779">
      <c r="A779" s="13"/>
      <c r="B779" s="94">
        <v>46108.0</v>
      </c>
      <c r="C779" s="4" t="s">
        <v>114</v>
      </c>
      <c r="D779" s="4" t="s">
        <v>93</v>
      </c>
      <c r="E779" s="4" t="s">
        <v>299</v>
      </c>
      <c r="F779" s="13" t="s">
        <v>13</v>
      </c>
      <c r="G779" s="13"/>
      <c r="H779" s="13"/>
      <c r="I779" s="13"/>
      <c r="J779" s="13"/>
      <c r="K779" s="13">
        <v>0.0</v>
      </c>
      <c r="L779" s="13">
        <v>0.0</v>
      </c>
      <c r="M779" s="13"/>
      <c r="N779" s="13"/>
      <c r="O779" s="13"/>
      <c r="P779" s="13"/>
      <c r="Q779" s="13"/>
      <c r="R779" s="13"/>
      <c r="S779" s="13"/>
      <c r="T779" s="13"/>
      <c r="U779" s="13"/>
      <c r="V779" s="13"/>
      <c r="W779" s="13"/>
      <c r="X779" s="13"/>
      <c r="Y779" s="13"/>
      <c r="Z779" s="13"/>
      <c r="AA779" s="13"/>
      <c r="AB779" s="13"/>
      <c r="AC779" s="13"/>
    </row>
    <row r="780">
      <c r="A780" s="13"/>
      <c r="B780" s="94">
        <v>46108.0</v>
      </c>
      <c r="C780" s="4" t="s">
        <v>114</v>
      </c>
      <c r="D780" s="4" t="s">
        <v>93</v>
      </c>
      <c r="E780" s="4" t="s">
        <v>299</v>
      </c>
      <c r="F780" s="13" t="s">
        <v>14</v>
      </c>
      <c r="G780" s="13"/>
      <c r="H780" s="13"/>
      <c r="I780" s="13"/>
      <c r="J780" s="13"/>
      <c r="K780" s="13">
        <v>0.0</v>
      </c>
      <c r="L780" s="13">
        <v>0.0</v>
      </c>
      <c r="M780" s="13"/>
      <c r="N780" s="13"/>
      <c r="O780" s="13"/>
      <c r="P780" s="13"/>
      <c r="Q780" s="13"/>
      <c r="R780" s="13"/>
      <c r="S780" s="13"/>
      <c r="T780" s="13"/>
      <c r="U780" s="13"/>
      <c r="V780" s="13"/>
      <c r="W780" s="13"/>
      <c r="X780" s="13"/>
      <c r="Y780" s="13"/>
      <c r="Z780" s="13"/>
      <c r="AA780" s="13"/>
      <c r="AB780" s="13"/>
      <c r="AC780" s="13"/>
    </row>
    <row r="781">
      <c r="A781" s="13"/>
      <c r="B781" s="94">
        <v>46108.0</v>
      </c>
      <c r="C781" s="4" t="s">
        <v>114</v>
      </c>
      <c r="D781" s="4" t="s">
        <v>93</v>
      </c>
      <c r="E781" s="4" t="s">
        <v>299</v>
      </c>
      <c r="F781" s="13" t="s">
        <v>15</v>
      </c>
      <c r="G781" s="13"/>
      <c r="H781" s="13"/>
      <c r="I781" s="13"/>
      <c r="J781" s="13"/>
      <c r="K781" s="13">
        <v>0.0</v>
      </c>
      <c r="L781" s="13">
        <v>0.0</v>
      </c>
      <c r="M781" s="13"/>
      <c r="N781" s="13"/>
      <c r="O781" s="13"/>
      <c r="P781" s="13"/>
      <c r="Q781" s="13"/>
      <c r="R781" s="13"/>
      <c r="S781" s="13"/>
      <c r="T781" s="13"/>
      <c r="U781" s="13"/>
      <c r="V781" s="13"/>
      <c r="W781" s="13"/>
      <c r="X781" s="13"/>
      <c r="Y781" s="13"/>
      <c r="Z781" s="13"/>
      <c r="AA781" s="13"/>
      <c r="AB781" s="13"/>
      <c r="AC781" s="13"/>
    </row>
    <row r="782">
      <c r="A782" s="13"/>
      <c r="B782" s="11">
        <v>46111.0</v>
      </c>
      <c r="C782" s="4" t="s">
        <v>113</v>
      </c>
      <c r="D782" s="4" t="s">
        <v>89</v>
      </c>
      <c r="E782" s="4" t="s">
        <v>299</v>
      </c>
      <c r="F782" s="13" t="s">
        <v>4</v>
      </c>
      <c r="G782" s="13"/>
      <c r="I782" s="13"/>
      <c r="J782" s="13"/>
      <c r="K782" s="13">
        <v>0.0</v>
      </c>
      <c r="L782" s="13">
        <v>0.0</v>
      </c>
      <c r="M782" s="13">
        <f>sum(L782:L793)+500000</f>
        <v>500000</v>
      </c>
      <c r="N782" s="13"/>
      <c r="O782" s="13"/>
      <c r="P782" s="13"/>
      <c r="Q782" s="13"/>
      <c r="R782" s="13"/>
      <c r="S782" s="13"/>
      <c r="T782" s="13"/>
      <c r="U782" s="13"/>
      <c r="V782" s="13"/>
      <c r="W782" s="13"/>
      <c r="X782" s="13"/>
      <c r="Y782" s="13"/>
      <c r="Z782" s="13"/>
      <c r="AA782" s="13"/>
      <c r="AB782" s="13"/>
      <c r="AC782" s="13"/>
    </row>
    <row r="783">
      <c r="A783" s="13"/>
      <c r="B783" s="11">
        <v>46111.0</v>
      </c>
      <c r="C783" s="4" t="s">
        <v>113</v>
      </c>
      <c r="D783" s="4" t="s">
        <v>89</v>
      </c>
      <c r="E783" s="4" t="s">
        <v>299</v>
      </c>
      <c r="F783" s="13" t="s">
        <v>5</v>
      </c>
      <c r="G783" s="13"/>
      <c r="I783" s="13"/>
      <c r="J783" s="13"/>
      <c r="K783" s="13">
        <v>0.0</v>
      </c>
      <c r="L783" s="13">
        <v>0.0</v>
      </c>
      <c r="M783" s="13"/>
      <c r="N783" s="13"/>
      <c r="O783" s="13"/>
      <c r="P783" s="13"/>
      <c r="Q783" s="13"/>
      <c r="R783" s="13"/>
      <c r="S783" s="13"/>
      <c r="T783" s="13"/>
      <c r="U783" s="13"/>
      <c r="V783" s="13"/>
      <c r="W783" s="13"/>
      <c r="X783" s="13"/>
      <c r="Y783" s="13"/>
      <c r="Z783" s="13"/>
      <c r="AA783" s="13"/>
      <c r="AB783" s="13"/>
      <c r="AC783" s="13"/>
    </row>
    <row r="784">
      <c r="A784" s="13"/>
      <c r="B784" s="11">
        <v>46111.0</v>
      </c>
      <c r="C784" s="4" t="s">
        <v>113</v>
      </c>
      <c r="D784" s="4" t="s">
        <v>89</v>
      </c>
      <c r="E784" s="4" t="s">
        <v>299</v>
      </c>
      <c r="F784" s="13" t="s">
        <v>6</v>
      </c>
      <c r="G784" s="13"/>
      <c r="I784" s="13"/>
      <c r="J784" s="13"/>
      <c r="K784" s="13">
        <v>0.0</v>
      </c>
      <c r="L784" s="13">
        <v>0.0</v>
      </c>
      <c r="M784" s="13"/>
      <c r="N784" s="13"/>
      <c r="O784" s="13"/>
      <c r="P784" s="13"/>
      <c r="Q784" s="13"/>
      <c r="R784" s="13"/>
      <c r="S784" s="13"/>
      <c r="T784" s="13"/>
      <c r="U784" s="13"/>
      <c r="V784" s="13"/>
      <c r="W784" s="13"/>
      <c r="X784" s="13"/>
      <c r="Y784" s="13"/>
      <c r="Z784" s="13"/>
      <c r="AA784" s="13"/>
      <c r="AB784" s="13"/>
      <c r="AC784" s="13"/>
    </row>
    <row r="785">
      <c r="A785" s="13"/>
      <c r="B785" s="11">
        <v>46111.0</v>
      </c>
      <c r="C785" s="4" t="s">
        <v>113</v>
      </c>
      <c r="D785" s="4" t="s">
        <v>89</v>
      </c>
      <c r="E785" s="4" t="s">
        <v>299</v>
      </c>
      <c r="F785" s="13" t="s">
        <v>7</v>
      </c>
      <c r="G785" s="13"/>
      <c r="I785" s="13"/>
      <c r="J785" s="13"/>
      <c r="K785" s="13">
        <v>0.0</v>
      </c>
      <c r="L785" s="13">
        <v>0.0</v>
      </c>
      <c r="M785" s="13"/>
      <c r="N785" s="13"/>
      <c r="O785" s="13"/>
      <c r="P785" s="13"/>
      <c r="Q785" s="13"/>
      <c r="R785" s="13"/>
      <c r="S785" s="13"/>
      <c r="T785" s="13"/>
      <c r="U785" s="13"/>
      <c r="V785" s="13"/>
      <c r="W785" s="13"/>
      <c r="X785" s="13"/>
      <c r="Y785" s="13"/>
      <c r="Z785" s="13"/>
      <c r="AA785" s="13"/>
      <c r="AB785" s="13"/>
      <c r="AC785" s="13"/>
    </row>
    <row r="786">
      <c r="A786" s="13"/>
      <c r="B786" s="11">
        <v>46111.0</v>
      </c>
      <c r="C786" s="4" t="s">
        <v>113</v>
      </c>
      <c r="D786" s="4" t="s">
        <v>89</v>
      </c>
      <c r="E786" s="4" t="s">
        <v>299</v>
      </c>
      <c r="F786" s="13" t="s">
        <v>8</v>
      </c>
      <c r="G786" s="13"/>
      <c r="I786" s="13"/>
      <c r="J786" s="13"/>
      <c r="K786" s="13">
        <v>0.0</v>
      </c>
      <c r="L786" s="13">
        <v>0.0</v>
      </c>
      <c r="M786" s="13"/>
      <c r="N786" s="13"/>
      <c r="O786" s="13"/>
      <c r="P786" s="13"/>
      <c r="Q786" s="13"/>
      <c r="R786" s="13"/>
      <c r="S786" s="13"/>
      <c r="T786" s="13"/>
      <c r="U786" s="13"/>
      <c r="V786" s="13"/>
      <c r="W786" s="13"/>
      <c r="X786" s="13"/>
      <c r="Y786" s="13"/>
      <c r="Z786" s="13"/>
      <c r="AA786" s="13"/>
      <c r="AB786" s="13"/>
      <c r="AC786" s="13"/>
    </row>
    <row r="787">
      <c r="A787" s="13"/>
      <c r="B787" s="11">
        <v>46111.0</v>
      </c>
      <c r="C787" s="4" t="s">
        <v>113</v>
      </c>
      <c r="D787" s="4" t="s">
        <v>89</v>
      </c>
      <c r="E787" s="4" t="s">
        <v>299</v>
      </c>
      <c r="F787" s="13" t="s">
        <v>9</v>
      </c>
      <c r="G787" s="13"/>
      <c r="I787" s="13"/>
      <c r="J787" s="13"/>
      <c r="K787" s="13">
        <v>0.0</v>
      </c>
      <c r="L787" s="13">
        <v>0.0</v>
      </c>
      <c r="M787" s="13"/>
      <c r="N787" s="13"/>
      <c r="O787" s="13"/>
      <c r="P787" s="13"/>
      <c r="Q787" s="13"/>
      <c r="R787" s="13"/>
      <c r="S787" s="13"/>
      <c r="T787" s="13"/>
      <c r="U787" s="13"/>
      <c r="V787" s="13"/>
      <c r="W787" s="13"/>
      <c r="X787" s="13"/>
      <c r="Y787" s="13"/>
      <c r="Z787" s="13"/>
      <c r="AA787" s="13"/>
      <c r="AB787" s="13"/>
      <c r="AC787" s="13"/>
    </row>
    <row r="788">
      <c r="A788" s="13"/>
      <c r="B788" s="11">
        <v>46111.0</v>
      </c>
      <c r="C788" s="4" t="s">
        <v>113</v>
      </c>
      <c r="D788" s="4" t="s">
        <v>89</v>
      </c>
      <c r="E788" s="4" t="s">
        <v>299</v>
      </c>
      <c r="F788" s="13" t="s">
        <v>10</v>
      </c>
      <c r="G788" s="13"/>
      <c r="I788" s="13"/>
      <c r="J788" s="13"/>
      <c r="K788" s="13">
        <v>0.0</v>
      </c>
      <c r="L788" s="13">
        <v>0.0</v>
      </c>
      <c r="M788" s="13"/>
      <c r="N788" s="13"/>
      <c r="O788" s="13"/>
      <c r="P788" s="13"/>
      <c r="Q788" s="13"/>
      <c r="R788" s="13"/>
      <c r="S788" s="13"/>
      <c r="T788" s="13"/>
      <c r="U788" s="13"/>
      <c r="V788" s="13"/>
      <c r="W788" s="13"/>
      <c r="X788" s="13"/>
      <c r="Y788" s="13"/>
      <c r="Z788" s="13"/>
      <c r="AA788" s="13"/>
      <c r="AB788" s="13"/>
      <c r="AC788" s="13"/>
    </row>
    <row r="789">
      <c r="A789" s="13"/>
      <c r="B789" s="11">
        <v>46111.0</v>
      </c>
      <c r="C789" s="4" t="s">
        <v>113</v>
      </c>
      <c r="D789" s="4" t="s">
        <v>89</v>
      </c>
      <c r="E789" s="4" t="s">
        <v>299</v>
      </c>
      <c r="F789" s="13" t="s">
        <v>11</v>
      </c>
      <c r="G789" s="13"/>
      <c r="I789" s="13"/>
      <c r="J789" s="13"/>
      <c r="K789" s="13">
        <v>0.0</v>
      </c>
      <c r="L789" s="13">
        <v>0.0</v>
      </c>
      <c r="M789" s="13"/>
      <c r="N789" s="13"/>
      <c r="O789" s="13"/>
      <c r="P789" s="13"/>
      <c r="Q789" s="13"/>
      <c r="R789" s="13"/>
      <c r="S789" s="13"/>
      <c r="T789" s="13"/>
      <c r="U789" s="13"/>
      <c r="V789" s="13"/>
      <c r="W789" s="13"/>
      <c r="X789" s="13"/>
      <c r="Y789" s="13"/>
      <c r="Z789" s="13"/>
      <c r="AA789" s="13"/>
      <c r="AB789" s="13"/>
      <c r="AC789" s="13"/>
    </row>
    <row r="790">
      <c r="A790" s="13"/>
      <c r="B790" s="11">
        <v>46111.0</v>
      </c>
      <c r="C790" s="4" t="s">
        <v>113</v>
      </c>
      <c r="D790" s="4" t="s">
        <v>89</v>
      </c>
      <c r="E790" s="4" t="s">
        <v>299</v>
      </c>
      <c r="F790" s="13" t="s">
        <v>12</v>
      </c>
      <c r="G790" s="13"/>
      <c r="I790" s="13"/>
      <c r="J790" s="13"/>
      <c r="K790" s="13">
        <v>0.0</v>
      </c>
      <c r="L790" s="13">
        <v>0.0</v>
      </c>
      <c r="M790" s="13"/>
      <c r="N790" s="13"/>
      <c r="O790" s="13"/>
      <c r="P790" s="13"/>
      <c r="Q790" s="13"/>
      <c r="R790" s="13"/>
      <c r="S790" s="13"/>
      <c r="T790" s="13"/>
      <c r="U790" s="13"/>
      <c r="V790" s="13"/>
      <c r="W790" s="13"/>
      <c r="X790" s="13"/>
      <c r="Y790" s="13"/>
      <c r="Z790" s="13"/>
      <c r="AA790" s="13"/>
      <c r="AB790" s="13"/>
      <c r="AC790" s="13"/>
    </row>
    <row r="791">
      <c r="A791" s="13"/>
      <c r="B791" s="11">
        <v>46111.0</v>
      </c>
      <c r="C791" s="4" t="s">
        <v>113</v>
      </c>
      <c r="D791" s="4" t="s">
        <v>89</v>
      </c>
      <c r="E791" s="4" t="s">
        <v>299</v>
      </c>
      <c r="F791" s="13" t="s">
        <v>13</v>
      </c>
      <c r="G791" s="13"/>
      <c r="I791" s="13"/>
      <c r="J791" s="13"/>
      <c r="K791" s="13">
        <v>0.0</v>
      </c>
      <c r="L791" s="13">
        <v>0.0</v>
      </c>
      <c r="M791" s="13"/>
      <c r="N791" s="13"/>
      <c r="O791" s="13"/>
      <c r="P791" s="13"/>
      <c r="Q791" s="13"/>
      <c r="R791" s="13"/>
      <c r="S791" s="13"/>
      <c r="T791" s="13"/>
      <c r="U791" s="13"/>
      <c r="V791" s="13"/>
      <c r="W791" s="13"/>
      <c r="X791" s="13"/>
      <c r="Y791" s="13"/>
      <c r="Z791" s="13"/>
      <c r="AA791" s="13"/>
      <c r="AB791" s="13"/>
      <c r="AC791" s="13"/>
    </row>
    <row r="792">
      <c r="A792" s="13"/>
      <c r="B792" s="11">
        <v>46111.0</v>
      </c>
      <c r="C792" s="4" t="s">
        <v>113</v>
      </c>
      <c r="D792" s="4" t="s">
        <v>89</v>
      </c>
      <c r="E792" s="4" t="s">
        <v>299</v>
      </c>
      <c r="F792" s="13" t="s">
        <v>14</v>
      </c>
      <c r="G792" s="13"/>
      <c r="I792" s="13"/>
      <c r="J792" s="13"/>
      <c r="K792" s="13">
        <v>0.0</v>
      </c>
      <c r="L792" s="13">
        <v>0.0</v>
      </c>
      <c r="M792" s="13"/>
      <c r="N792" s="13"/>
      <c r="O792" s="13"/>
      <c r="P792" s="13"/>
      <c r="Q792" s="13"/>
      <c r="R792" s="13"/>
      <c r="S792" s="13"/>
      <c r="T792" s="13"/>
      <c r="U792" s="13"/>
      <c r="V792" s="13"/>
      <c r="W792" s="13"/>
      <c r="X792" s="13"/>
      <c r="Y792" s="13"/>
      <c r="Z792" s="13"/>
      <c r="AA792" s="13"/>
      <c r="AB792" s="13"/>
      <c r="AC792" s="13"/>
    </row>
    <row r="793">
      <c r="A793" s="13"/>
      <c r="B793" s="11">
        <v>46111.0</v>
      </c>
      <c r="C793" s="4" t="s">
        <v>113</v>
      </c>
      <c r="D793" s="4" t="s">
        <v>89</v>
      </c>
      <c r="E793" s="4" t="s">
        <v>299</v>
      </c>
      <c r="F793" s="13" t="s">
        <v>15</v>
      </c>
      <c r="G793" s="13"/>
      <c r="I793" s="13"/>
      <c r="J793" s="13"/>
      <c r="K793" s="13">
        <v>0.0</v>
      </c>
      <c r="L793" s="13">
        <v>0.0</v>
      </c>
      <c r="M793" s="13"/>
      <c r="N793" s="13"/>
      <c r="O793" s="13"/>
      <c r="P793" s="13"/>
      <c r="Q793" s="13"/>
      <c r="R793" s="13"/>
      <c r="S793" s="13"/>
      <c r="T793" s="13"/>
      <c r="U793" s="13"/>
      <c r="V793" s="13"/>
      <c r="W793" s="13"/>
      <c r="X793" s="13"/>
      <c r="Y793" s="13"/>
      <c r="Z793" s="13"/>
      <c r="AA793" s="13"/>
      <c r="AB793" s="13"/>
      <c r="AC793" s="13"/>
    </row>
    <row r="794">
      <c r="B794" s="11">
        <v>46111.0</v>
      </c>
      <c r="C794" s="4" t="s">
        <v>114</v>
      </c>
      <c r="D794" s="4" t="s">
        <v>89</v>
      </c>
      <c r="E794" s="4" t="s">
        <v>71</v>
      </c>
      <c r="F794" s="13" t="s">
        <v>4</v>
      </c>
      <c r="H794" s="4">
        <v>4.0</v>
      </c>
      <c r="K794" s="13">
        <v>4.0</v>
      </c>
      <c r="L794" s="13">
        <v>80000.0</v>
      </c>
    </row>
    <row r="795">
      <c r="B795" s="11">
        <v>46111.0</v>
      </c>
      <c r="C795" s="4" t="s">
        <v>114</v>
      </c>
      <c r="D795" s="4" t="s">
        <v>89</v>
      </c>
      <c r="E795" s="4" t="s">
        <v>71</v>
      </c>
      <c r="F795" s="13" t="s">
        <v>5</v>
      </c>
      <c r="H795" s="4">
        <v>2.0</v>
      </c>
      <c r="K795" s="13">
        <v>2.0</v>
      </c>
      <c r="L795" s="13">
        <v>40000.0</v>
      </c>
    </row>
    <row r="796">
      <c r="B796" s="11">
        <v>46111.0</v>
      </c>
      <c r="C796" s="4" t="s">
        <v>114</v>
      </c>
      <c r="D796" s="4" t="s">
        <v>89</v>
      </c>
      <c r="E796" s="4" t="s">
        <v>71</v>
      </c>
      <c r="F796" s="13" t="s">
        <v>6</v>
      </c>
      <c r="H796" s="4">
        <v>2.0</v>
      </c>
      <c r="K796" s="13">
        <v>2.0</v>
      </c>
      <c r="L796" s="13">
        <v>40000.0</v>
      </c>
    </row>
    <row r="797">
      <c r="B797" s="11">
        <v>46111.0</v>
      </c>
      <c r="C797" s="4" t="s">
        <v>114</v>
      </c>
      <c r="D797" s="4" t="s">
        <v>89</v>
      </c>
      <c r="E797" s="4" t="s">
        <v>71</v>
      </c>
      <c r="F797" s="13" t="s">
        <v>7</v>
      </c>
      <c r="H797" s="4">
        <v>2.0</v>
      </c>
      <c r="K797" s="13">
        <v>2.0</v>
      </c>
      <c r="L797" s="13">
        <v>40000.0</v>
      </c>
    </row>
    <row r="798">
      <c r="B798" s="11">
        <v>46111.0</v>
      </c>
      <c r="C798" s="4" t="s">
        <v>114</v>
      </c>
      <c r="D798" s="4" t="s">
        <v>89</v>
      </c>
      <c r="E798" s="4" t="s">
        <v>71</v>
      </c>
      <c r="F798" s="13" t="s">
        <v>8</v>
      </c>
      <c r="H798" s="59">
        <v>4.0</v>
      </c>
      <c r="K798" s="13">
        <v>4.0</v>
      </c>
      <c r="L798" s="13">
        <v>80000.0</v>
      </c>
    </row>
    <row r="799">
      <c r="B799" s="11">
        <v>46111.0</v>
      </c>
      <c r="C799" s="4" t="s">
        <v>114</v>
      </c>
      <c r="D799" s="4" t="s">
        <v>89</v>
      </c>
      <c r="E799" s="4" t="s">
        <v>71</v>
      </c>
      <c r="F799" s="13" t="s">
        <v>9</v>
      </c>
      <c r="H799" s="4">
        <v>4.0</v>
      </c>
      <c r="K799" s="13">
        <v>4.0</v>
      </c>
      <c r="L799" s="13">
        <v>80000.0</v>
      </c>
    </row>
    <row r="800">
      <c r="B800" s="11">
        <v>46111.0</v>
      </c>
      <c r="C800" s="4" t="s">
        <v>114</v>
      </c>
      <c r="D800" s="4" t="s">
        <v>89</v>
      </c>
      <c r="E800" s="4" t="s">
        <v>71</v>
      </c>
      <c r="F800" s="13" t="s">
        <v>10</v>
      </c>
      <c r="H800" s="4">
        <v>2.0</v>
      </c>
      <c r="K800" s="13">
        <v>2.0</v>
      </c>
      <c r="L800" s="13">
        <v>40000.0</v>
      </c>
    </row>
    <row r="801">
      <c r="B801" s="11">
        <v>46111.0</v>
      </c>
      <c r="C801" s="4" t="s">
        <v>114</v>
      </c>
      <c r="D801" s="4" t="s">
        <v>89</v>
      </c>
      <c r="E801" s="4" t="s">
        <v>71</v>
      </c>
      <c r="F801" s="13" t="s">
        <v>11</v>
      </c>
      <c r="K801" s="13">
        <v>0.0</v>
      </c>
      <c r="L801" s="13">
        <v>0.0</v>
      </c>
    </row>
    <row r="802">
      <c r="B802" s="11">
        <v>46111.0</v>
      </c>
      <c r="C802" s="4" t="s">
        <v>114</v>
      </c>
      <c r="D802" s="4" t="s">
        <v>89</v>
      </c>
      <c r="E802" s="4" t="s">
        <v>71</v>
      </c>
      <c r="F802" s="13" t="s">
        <v>12</v>
      </c>
      <c r="H802" s="4">
        <v>2.0</v>
      </c>
      <c r="K802" s="13">
        <v>2.0</v>
      </c>
      <c r="L802" s="13">
        <v>40000.0</v>
      </c>
    </row>
    <row r="803">
      <c r="B803" s="11">
        <v>46111.0</v>
      </c>
      <c r="C803" s="4" t="s">
        <v>114</v>
      </c>
      <c r="D803" s="4" t="s">
        <v>89</v>
      </c>
      <c r="E803" s="4" t="s">
        <v>71</v>
      </c>
      <c r="F803" s="13" t="s">
        <v>13</v>
      </c>
      <c r="H803" s="4">
        <v>3.0</v>
      </c>
      <c r="K803" s="13">
        <v>3.0</v>
      </c>
      <c r="L803" s="13">
        <v>60000.0</v>
      </c>
    </row>
    <row r="804">
      <c r="B804" s="11">
        <v>46111.0</v>
      </c>
      <c r="C804" s="4" t="s">
        <v>114</v>
      </c>
      <c r="D804" s="4" t="s">
        <v>89</v>
      </c>
      <c r="E804" s="4" t="s">
        <v>71</v>
      </c>
      <c r="F804" s="13" t="s">
        <v>14</v>
      </c>
      <c r="H804" s="4">
        <v>2.0</v>
      </c>
      <c r="K804" s="13">
        <v>2.0</v>
      </c>
      <c r="L804" s="13">
        <v>44000.0</v>
      </c>
    </row>
    <row r="805">
      <c r="B805" s="11">
        <v>46111.0</v>
      </c>
      <c r="C805" s="4" t="s">
        <v>114</v>
      </c>
      <c r="D805" s="4" t="s">
        <v>89</v>
      </c>
      <c r="E805" s="4" t="s">
        <v>71</v>
      </c>
      <c r="F805" s="13" t="s">
        <v>15</v>
      </c>
      <c r="H805" s="4">
        <v>20.0</v>
      </c>
      <c r="K805" s="13">
        <v>20.0</v>
      </c>
      <c r="L805" s="13">
        <v>400000.0</v>
      </c>
    </row>
    <row r="806">
      <c r="A806" s="13"/>
      <c r="B806" s="11">
        <v>46111.0</v>
      </c>
      <c r="C806" s="4" t="s">
        <v>113</v>
      </c>
      <c r="D806" s="4" t="s">
        <v>81</v>
      </c>
      <c r="E806" s="4" t="s">
        <v>299</v>
      </c>
      <c r="F806" s="13" t="s">
        <v>4</v>
      </c>
      <c r="G806" s="13"/>
      <c r="I806" s="13"/>
      <c r="J806" s="13"/>
      <c r="K806" s="13">
        <v>0.0</v>
      </c>
      <c r="L806" s="13">
        <v>0.0</v>
      </c>
      <c r="M806" s="13">
        <f>sum(L806:L817)+500000</f>
        <v>500000</v>
      </c>
      <c r="N806" s="13"/>
      <c r="O806" s="13"/>
      <c r="P806" s="13"/>
      <c r="Q806" s="13"/>
      <c r="R806" s="13"/>
      <c r="S806" s="13"/>
      <c r="T806" s="13"/>
      <c r="U806" s="13"/>
      <c r="V806" s="13"/>
      <c r="W806" s="13"/>
      <c r="X806" s="13"/>
      <c r="Y806" s="13"/>
      <c r="Z806" s="13"/>
      <c r="AA806" s="13"/>
      <c r="AB806" s="13"/>
      <c r="AC806" s="13"/>
    </row>
    <row r="807">
      <c r="A807" s="13"/>
      <c r="B807" s="11">
        <v>46111.0</v>
      </c>
      <c r="C807" s="4" t="s">
        <v>113</v>
      </c>
      <c r="D807" s="4" t="s">
        <v>81</v>
      </c>
      <c r="E807" s="4" t="s">
        <v>299</v>
      </c>
      <c r="F807" s="13" t="s">
        <v>5</v>
      </c>
      <c r="G807" s="13"/>
      <c r="I807" s="13"/>
      <c r="J807" s="13"/>
      <c r="K807" s="13">
        <v>0.0</v>
      </c>
      <c r="L807" s="13">
        <v>0.0</v>
      </c>
      <c r="M807" s="13"/>
      <c r="N807" s="13"/>
      <c r="O807" s="13"/>
      <c r="P807" s="13"/>
      <c r="Q807" s="13"/>
      <c r="R807" s="13"/>
      <c r="S807" s="13"/>
      <c r="T807" s="13"/>
      <c r="U807" s="13"/>
      <c r="V807" s="13"/>
      <c r="W807" s="13"/>
      <c r="X807" s="13"/>
      <c r="Y807" s="13"/>
      <c r="Z807" s="13"/>
      <c r="AA807" s="13"/>
      <c r="AB807" s="13"/>
      <c r="AC807" s="13"/>
    </row>
    <row r="808">
      <c r="A808" s="13"/>
      <c r="B808" s="11">
        <v>46111.0</v>
      </c>
      <c r="C808" s="4" t="s">
        <v>113</v>
      </c>
      <c r="D808" s="4" t="s">
        <v>81</v>
      </c>
      <c r="E808" s="4" t="s">
        <v>299</v>
      </c>
      <c r="F808" s="13" t="s">
        <v>6</v>
      </c>
      <c r="G808" s="13"/>
      <c r="I808" s="13"/>
      <c r="J808" s="13"/>
      <c r="K808" s="13">
        <v>0.0</v>
      </c>
      <c r="L808" s="13">
        <v>0.0</v>
      </c>
      <c r="M808" s="13"/>
      <c r="N808" s="13"/>
      <c r="O808" s="13"/>
      <c r="P808" s="13"/>
      <c r="Q808" s="13"/>
      <c r="R808" s="13"/>
      <c r="S808" s="13"/>
      <c r="T808" s="13"/>
      <c r="U808" s="13"/>
      <c r="V808" s="13"/>
      <c r="W808" s="13"/>
      <c r="X808" s="13"/>
      <c r="Y808" s="13"/>
      <c r="Z808" s="13"/>
      <c r="AA808" s="13"/>
      <c r="AB808" s="13"/>
      <c r="AC808" s="13"/>
    </row>
    <row r="809">
      <c r="A809" s="13"/>
      <c r="B809" s="11">
        <v>46111.0</v>
      </c>
      <c r="C809" s="4" t="s">
        <v>113</v>
      </c>
      <c r="D809" s="4" t="s">
        <v>81</v>
      </c>
      <c r="E809" s="4" t="s">
        <v>299</v>
      </c>
      <c r="F809" s="13" t="s">
        <v>7</v>
      </c>
      <c r="G809" s="13"/>
      <c r="I809" s="13"/>
      <c r="J809" s="13"/>
      <c r="K809" s="13">
        <v>0.0</v>
      </c>
      <c r="L809" s="13">
        <v>0.0</v>
      </c>
      <c r="M809" s="13"/>
      <c r="N809" s="13"/>
      <c r="O809" s="13"/>
      <c r="P809" s="13"/>
      <c r="Q809" s="13"/>
      <c r="R809" s="13"/>
      <c r="S809" s="13"/>
      <c r="T809" s="13"/>
      <c r="U809" s="13"/>
      <c r="V809" s="13"/>
      <c r="W809" s="13"/>
      <c r="X809" s="13"/>
      <c r="Y809" s="13"/>
      <c r="Z809" s="13"/>
      <c r="AA809" s="13"/>
      <c r="AB809" s="13"/>
      <c r="AC809" s="13"/>
    </row>
    <row r="810">
      <c r="A810" s="13"/>
      <c r="B810" s="11">
        <v>46111.0</v>
      </c>
      <c r="C810" s="4" t="s">
        <v>113</v>
      </c>
      <c r="D810" s="4" t="s">
        <v>81</v>
      </c>
      <c r="E810" s="4" t="s">
        <v>299</v>
      </c>
      <c r="F810" s="13" t="s">
        <v>8</v>
      </c>
      <c r="G810" s="13"/>
      <c r="I810" s="13"/>
      <c r="J810" s="13"/>
      <c r="K810" s="13">
        <v>0.0</v>
      </c>
      <c r="L810" s="13">
        <v>0.0</v>
      </c>
      <c r="M810" s="13"/>
      <c r="N810" s="13"/>
      <c r="O810" s="13"/>
      <c r="P810" s="13"/>
      <c r="Q810" s="13"/>
      <c r="R810" s="13"/>
      <c r="S810" s="13"/>
      <c r="T810" s="13"/>
      <c r="U810" s="13"/>
      <c r="V810" s="13"/>
      <c r="W810" s="13"/>
      <c r="X810" s="13"/>
      <c r="Y810" s="13"/>
      <c r="Z810" s="13"/>
      <c r="AA810" s="13"/>
      <c r="AB810" s="13"/>
      <c r="AC810" s="13"/>
    </row>
    <row r="811">
      <c r="A811" s="13"/>
      <c r="B811" s="11">
        <v>46111.0</v>
      </c>
      <c r="C811" s="4" t="s">
        <v>113</v>
      </c>
      <c r="D811" s="4" t="s">
        <v>81</v>
      </c>
      <c r="E811" s="4" t="s">
        <v>299</v>
      </c>
      <c r="F811" s="13" t="s">
        <v>9</v>
      </c>
      <c r="G811" s="13"/>
      <c r="I811" s="13"/>
      <c r="J811" s="13"/>
      <c r="K811" s="13">
        <v>0.0</v>
      </c>
      <c r="L811" s="13">
        <v>0.0</v>
      </c>
      <c r="M811" s="13"/>
      <c r="N811" s="13"/>
      <c r="O811" s="13"/>
      <c r="P811" s="13"/>
      <c r="Q811" s="13"/>
      <c r="R811" s="13"/>
      <c r="S811" s="13"/>
      <c r="T811" s="13"/>
      <c r="U811" s="13"/>
      <c r="V811" s="13"/>
      <c r="W811" s="13"/>
      <c r="X811" s="13"/>
      <c r="Y811" s="13"/>
      <c r="Z811" s="13"/>
      <c r="AA811" s="13"/>
      <c r="AB811" s="13"/>
      <c r="AC811" s="13"/>
    </row>
    <row r="812">
      <c r="A812" s="13"/>
      <c r="B812" s="11">
        <v>46111.0</v>
      </c>
      <c r="C812" s="4" t="s">
        <v>113</v>
      </c>
      <c r="D812" s="4" t="s">
        <v>81</v>
      </c>
      <c r="E812" s="4" t="s">
        <v>299</v>
      </c>
      <c r="F812" s="13" t="s">
        <v>10</v>
      </c>
      <c r="G812" s="13"/>
      <c r="I812" s="13"/>
      <c r="J812" s="13"/>
      <c r="K812" s="13">
        <v>0.0</v>
      </c>
      <c r="L812" s="13">
        <v>0.0</v>
      </c>
      <c r="M812" s="13"/>
      <c r="N812" s="13"/>
      <c r="O812" s="13"/>
      <c r="P812" s="13"/>
      <c r="Q812" s="13"/>
      <c r="R812" s="13"/>
      <c r="S812" s="13"/>
      <c r="T812" s="13"/>
      <c r="U812" s="13"/>
      <c r="V812" s="13"/>
      <c r="W812" s="13"/>
      <c r="X812" s="13"/>
      <c r="Y812" s="13"/>
      <c r="Z812" s="13"/>
      <c r="AA812" s="13"/>
      <c r="AB812" s="13"/>
      <c r="AC812" s="13"/>
    </row>
    <row r="813">
      <c r="A813" s="13"/>
      <c r="B813" s="11">
        <v>46111.0</v>
      </c>
      <c r="C813" s="4" t="s">
        <v>113</v>
      </c>
      <c r="D813" s="4" t="s">
        <v>81</v>
      </c>
      <c r="E813" s="4" t="s">
        <v>299</v>
      </c>
      <c r="F813" s="13" t="s">
        <v>11</v>
      </c>
      <c r="G813" s="13"/>
      <c r="I813" s="13"/>
      <c r="J813" s="13"/>
      <c r="K813" s="13">
        <v>0.0</v>
      </c>
      <c r="L813" s="13">
        <v>0.0</v>
      </c>
      <c r="M813" s="13"/>
      <c r="N813" s="13"/>
      <c r="O813" s="13"/>
      <c r="P813" s="13"/>
      <c r="Q813" s="13"/>
      <c r="R813" s="13"/>
      <c r="S813" s="13"/>
      <c r="T813" s="13"/>
      <c r="U813" s="13"/>
      <c r="V813" s="13"/>
      <c r="W813" s="13"/>
      <c r="X813" s="13"/>
      <c r="Y813" s="13"/>
      <c r="Z813" s="13"/>
      <c r="AA813" s="13"/>
      <c r="AB813" s="13"/>
      <c r="AC813" s="13"/>
    </row>
    <row r="814">
      <c r="A814" s="13"/>
      <c r="B814" s="11">
        <v>46111.0</v>
      </c>
      <c r="C814" s="4" t="s">
        <v>113</v>
      </c>
      <c r="D814" s="4" t="s">
        <v>81</v>
      </c>
      <c r="E814" s="4" t="s">
        <v>299</v>
      </c>
      <c r="F814" s="13" t="s">
        <v>12</v>
      </c>
      <c r="G814" s="13"/>
      <c r="I814" s="13"/>
      <c r="J814" s="13"/>
      <c r="K814" s="13">
        <v>0.0</v>
      </c>
      <c r="L814" s="13">
        <v>0.0</v>
      </c>
      <c r="M814" s="13"/>
      <c r="N814" s="13"/>
      <c r="O814" s="13"/>
      <c r="P814" s="13"/>
      <c r="Q814" s="13"/>
      <c r="R814" s="13"/>
      <c r="S814" s="13"/>
      <c r="T814" s="13"/>
      <c r="U814" s="13"/>
      <c r="V814" s="13"/>
      <c r="W814" s="13"/>
      <c r="X814" s="13"/>
      <c r="Y814" s="13"/>
      <c r="Z814" s="13"/>
      <c r="AA814" s="13"/>
      <c r="AB814" s="13"/>
      <c r="AC814" s="13"/>
    </row>
    <row r="815">
      <c r="A815" s="13"/>
      <c r="B815" s="11">
        <v>46111.0</v>
      </c>
      <c r="C815" s="4" t="s">
        <v>113</v>
      </c>
      <c r="D815" s="4" t="s">
        <v>81</v>
      </c>
      <c r="E815" s="4" t="s">
        <v>299</v>
      </c>
      <c r="F815" s="13" t="s">
        <v>13</v>
      </c>
      <c r="G815" s="13"/>
      <c r="I815" s="13"/>
      <c r="J815" s="13"/>
      <c r="K815" s="13">
        <v>0.0</v>
      </c>
      <c r="L815" s="13">
        <v>0.0</v>
      </c>
      <c r="M815" s="13"/>
      <c r="N815" s="13"/>
      <c r="O815" s="13"/>
      <c r="P815" s="13"/>
      <c r="Q815" s="13"/>
      <c r="R815" s="13"/>
      <c r="S815" s="13"/>
      <c r="T815" s="13"/>
      <c r="U815" s="13"/>
      <c r="V815" s="13"/>
      <c r="W815" s="13"/>
      <c r="X815" s="13"/>
      <c r="Y815" s="13"/>
      <c r="Z815" s="13"/>
      <c r="AA815" s="13"/>
      <c r="AB815" s="13"/>
      <c r="AC815" s="13"/>
    </row>
    <row r="816">
      <c r="A816" s="13"/>
      <c r="B816" s="11">
        <v>46111.0</v>
      </c>
      <c r="C816" s="4" t="s">
        <v>113</v>
      </c>
      <c r="D816" s="4" t="s">
        <v>81</v>
      </c>
      <c r="E816" s="4" t="s">
        <v>299</v>
      </c>
      <c r="F816" s="13" t="s">
        <v>14</v>
      </c>
      <c r="G816" s="13"/>
      <c r="I816" s="13"/>
      <c r="J816" s="13"/>
      <c r="K816" s="13">
        <v>0.0</v>
      </c>
      <c r="L816" s="13">
        <v>0.0</v>
      </c>
      <c r="M816" s="13"/>
      <c r="N816" s="13"/>
      <c r="O816" s="13"/>
      <c r="P816" s="13"/>
      <c r="Q816" s="13"/>
      <c r="R816" s="13"/>
      <c r="S816" s="13"/>
      <c r="T816" s="13"/>
      <c r="U816" s="13"/>
      <c r="V816" s="13"/>
      <c r="W816" s="13"/>
      <c r="X816" s="13"/>
      <c r="Y816" s="13"/>
      <c r="Z816" s="13"/>
      <c r="AA816" s="13"/>
      <c r="AB816" s="13"/>
      <c r="AC816" s="13"/>
    </row>
    <row r="817">
      <c r="A817" s="13"/>
      <c r="B817" s="11">
        <v>46111.0</v>
      </c>
      <c r="C817" s="4" t="s">
        <v>113</v>
      </c>
      <c r="D817" s="4" t="s">
        <v>81</v>
      </c>
      <c r="E817" s="4" t="s">
        <v>299</v>
      </c>
      <c r="F817" s="13" t="s">
        <v>15</v>
      </c>
      <c r="G817" s="13"/>
      <c r="I817" s="13"/>
      <c r="J817" s="13"/>
      <c r="K817" s="13">
        <v>0.0</v>
      </c>
      <c r="L817" s="13">
        <v>0.0</v>
      </c>
      <c r="M817" s="13"/>
      <c r="N817" s="13"/>
      <c r="O817" s="13"/>
      <c r="P817" s="13"/>
      <c r="Q817" s="13"/>
      <c r="R817" s="13"/>
      <c r="S817" s="13"/>
      <c r="T817" s="13"/>
      <c r="U817" s="13"/>
      <c r="V817" s="13"/>
      <c r="W817" s="13"/>
      <c r="X817" s="13"/>
      <c r="Y817" s="13"/>
      <c r="Z817" s="13"/>
      <c r="AA817" s="13"/>
      <c r="AB817" s="13"/>
      <c r="AC817" s="13"/>
    </row>
    <row r="818">
      <c r="A818" s="13"/>
      <c r="B818" s="11">
        <v>46111.0</v>
      </c>
      <c r="C818" s="4" t="s">
        <v>114</v>
      </c>
      <c r="D818" s="4" t="s">
        <v>81</v>
      </c>
      <c r="E818" s="4" t="s">
        <v>299</v>
      </c>
      <c r="F818" s="13" t="s">
        <v>4</v>
      </c>
      <c r="G818" s="13"/>
      <c r="H818" s="13"/>
      <c r="I818" s="13"/>
      <c r="J818" s="13"/>
      <c r="K818" s="13">
        <v>0.0</v>
      </c>
      <c r="L818" s="13">
        <v>0.0</v>
      </c>
      <c r="M818" s="13"/>
      <c r="N818" s="13"/>
      <c r="O818" s="13"/>
      <c r="P818" s="13"/>
      <c r="Q818" s="13"/>
      <c r="R818" s="13"/>
      <c r="S818" s="13"/>
      <c r="T818" s="13"/>
      <c r="U818" s="13"/>
      <c r="V818" s="13"/>
      <c r="W818" s="13"/>
      <c r="X818" s="13"/>
      <c r="Y818" s="13"/>
      <c r="Z818" s="13"/>
      <c r="AA818" s="13"/>
      <c r="AB818" s="13"/>
      <c r="AC818" s="13"/>
    </row>
    <row r="819">
      <c r="A819" s="13"/>
      <c r="B819" s="11">
        <v>46111.0</v>
      </c>
      <c r="C819" s="4" t="s">
        <v>114</v>
      </c>
      <c r="D819" s="4" t="s">
        <v>81</v>
      </c>
      <c r="E819" s="4" t="s">
        <v>299</v>
      </c>
      <c r="F819" s="13" t="s">
        <v>5</v>
      </c>
      <c r="G819" s="13"/>
      <c r="H819" s="13"/>
      <c r="I819" s="13"/>
      <c r="J819" s="13"/>
      <c r="K819" s="13">
        <v>0.0</v>
      </c>
      <c r="L819" s="13">
        <v>0.0</v>
      </c>
      <c r="M819" s="13"/>
      <c r="N819" s="13"/>
      <c r="O819" s="13"/>
      <c r="P819" s="13"/>
      <c r="Q819" s="13"/>
      <c r="R819" s="13"/>
      <c r="S819" s="13"/>
      <c r="T819" s="13"/>
      <c r="U819" s="13"/>
      <c r="V819" s="13"/>
      <c r="W819" s="13"/>
      <c r="X819" s="13"/>
      <c r="Y819" s="13"/>
      <c r="Z819" s="13"/>
      <c r="AA819" s="13"/>
      <c r="AB819" s="13"/>
      <c r="AC819" s="13"/>
    </row>
    <row r="820">
      <c r="A820" s="13"/>
      <c r="B820" s="11">
        <v>46111.0</v>
      </c>
      <c r="C820" s="4" t="s">
        <v>114</v>
      </c>
      <c r="D820" s="4" t="s">
        <v>81</v>
      </c>
      <c r="E820" s="4" t="s">
        <v>299</v>
      </c>
      <c r="F820" s="13" t="s">
        <v>6</v>
      </c>
      <c r="G820" s="13"/>
      <c r="H820" s="13"/>
      <c r="I820" s="13"/>
      <c r="J820" s="13"/>
      <c r="K820" s="13">
        <v>0.0</v>
      </c>
      <c r="L820" s="13">
        <v>0.0</v>
      </c>
      <c r="M820" s="13"/>
      <c r="N820" s="13"/>
      <c r="O820" s="13"/>
      <c r="P820" s="13"/>
      <c r="Q820" s="13"/>
      <c r="R820" s="13"/>
      <c r="S820" s="13"/>
      <c r="T820" s="13"/>
      <c r="U820" s="13"/>
      <c r="V820" s="13"/>
      <c r="W820" s="13"/>
      <c r="X820" s="13"/>
      <c r="Y820" s="13"/>
      <c r="Z820" s="13"/>
      <c r="AA820" s="13"/>
      <c r="AB820" s="13"/>
      <c r="AC820" s="13"/>
    </row>
    <row r="821">
      <c r="A821" s="13"/>
      <c r="B821" s="11">
        <v>46111.0</v>
      </c>
      <c r="C821" s="4" t="s">
        <v>114</v>
      </c>
      <c r="D821" s="4" t="s">
        <v>81</v>
      </c>
      <c r="E821" s="4" t="s">
        <v>299</v>
      </c>
      <c r="F821" s="13" t="s">
        <v>7</v>
      </c>
      <c r="G821" s="13"/>
      <c r="H821" s="13"/>
      <c r="I821" s="13"/>
      <c r="J821" s="13"/>
      <c r="K821" s="13">
        <v>0.0</v>
      </c>
      <c r="L821" s="13">
        <v>0.0</v>
      </c>
      <c r="M821" s="13"/>
      <c r="N821" s="13"/>
      <c r="O821" s="13"/>
      <c r="P821" s="13"/>
      <c r="Q821" s="13"/>
      <c r="R821" s="13"/>
      <c r="S821" s="13"/>
      <c r="T821" s="13"/>
      <c r="U821" s="13"/>
      <c r="V821" s="13"/>
      <c r="W821" s="13"/>
      <c r="X821" s="13"/>
      <c r="Y821" s="13"/>
      <c r="Z821" s="13"/>
      <c r="AA821" s="13"/>
      <c r="AB821" s="13"/>
      <c r="AC821" s="13"/>
    </row>
    <row r="822">
      <c r="A822" s="13"/>
      <c r="B822" s="11">
        <v>46111.0</v>
      </c>
      <c r="C822" s="4" t="s">
        <v>114</v>
      </c>
      <c r="D822" s="4" t="s">
        <v>81</v>
      </c>
      <c r="E822" s="4" t="s">
        <v>299</v>
      </c>
      <c r="F822" s="13" t="s">
        <v>8</v>
      </c>
      <c r="G822" s="13"/>
      <c r="H822" s="13"/>
      <c r="I822" s="13"/>
      <c r="J822" s="13"/>
      <c r="K822" s="13">
        <v>0.0</v>
      </c>
      <c r="L822" s="13">
        <v>0.0</v>
      </c>
      <c r="M822" s="13"/>
      <c r="N822" s="13"/>
      <c r="O822" s="13"/>
      <c r="P822" s="13"/>
      <c r="Q822" s="13"/>
      <c r="R822" s="13"/>
      <c r="S822" s="13"/>
      <c r="T822" s="13"/>
      <c r="U822" s="13"/>
      <c r="V822" s="13"/>
      <c r="W822" s="13"/>
      <c r="X822" s="13"/>
      <c r="Y822" s="13"/>
      <c r="Z822" s="13"/>
      <c r="AA822" s="13"/>
      <c r="AB822" s="13"/>
      <c r="AC822" s="13"/>
    </row>
    <row r="823">
      <c r="A823" s="13"/>
      <c r="B823" s="11">
        <v>46111.0</v>
      </c>
      <c r="C823" s="4" t="s">
        <v>114</v>
      </c>
      <c r="D823" s="4" t="s">
        <v>81</v>
      </c>
      <c r="E823" s="4" t="s">
        <v>299</v>
      </c>
      <c r="F823" s="13" t="s">
        <v>9</v>
      </c>
      <c r="G823" s="13"/>
      <c r="H823" s="13"/>
      <c r="I823" s="13"/>
      <c r="J823" s="13"/>
      <c r="K823" s="13">
        <v>0.0</v>
      </c>
      <c r="L823" s="13">
        <v>0.0</v>
      </c>
      <c r="M823" s="13"/>
      <c r="N823" s="13"/>
      <c r="O823" s="13"/>
      <c r="P823" s="13"/>
      <c r="Q823" s="13"/>
      <c r="R823" s="13"/>
      <c r="S823" s="13"/>
      <c r="T823" s="13"/>
      <c r="U823" s="13"/>
      <c r="V823" s="13"/>
      <c r="W823" s="13"/>
      <c r="X823" s="13"/>
      <c r="Y823" s="13"/>
      <c r="Z823" s="13"/>
      <c r="AA823" s="13"/>
      <c r="AB823" s="13"/>
      <c r="AC823" s="13"/>
    </row>
    <row r="824">
      <c r="A824" s="13"/>
      <c r="B824" s="11">
        <v>46111.0</v>
      </c>
      <c r="C824" s="4" t="s">
        <v>114</v>
      </c>
      <c r="D824" s="4" t="s">
        <v>81</v>
      </c>
      <c r="E824" s="4" t="s">
        <v>299</v>
      </c>
      <c r="F824" s="13" t="s">
        <v>10</v>
      </c>
      <c r="G824" s="13"/>
      <c r="H824" s="13"/>
      <c r="I824" s="13"/>
      <c r="J824" s="13"/>
      <c r="K824" s="13">
        <v>0.0</v>
      </c>
      <c r="L824" s="13">
        <v>0.0</v>
      </c>
      <c r="M824" s="13"/>
      <c r="N824" s="13"/>
      <c r="O824" s="13"/>
      <c r="P824" s="13"/>
      <c r="Q824" s="13"/>
      <c r="R824" s="13"/>
      <c r="S824" s="13"/>
      <c r="T824" s="13"/>
      <c r="U824" s="13"/>
      <c r="V824" s="13"/>
      <c r="W824" s="13"/>
      <c r="X824" s="13"/>
      <c r="Y824" s="13"/>
      <c r="Z824" s="13"/>
      <c r="AA824" s="13"/>
      <c r="AB824" s="13"/>
      <c r="AC824" s="13"/>
    </row>
    <row r="825">
      <c r="A825" s="13"/>
      <c r="B825" s="11">
        <v>46111.0</v>
      </c>
      <c r="C825" s="4" t="s">
        <v>114</v>
      </c>
      <c r="D825" s="4" t="s">
        <v>81</v>
      </c>
      <c r="E825" s="4" t="s">
        <v>299</v>
      </c>
      <c r="F825" s="13" t="s">
        <v>11</v>
      </c>
      <c r="G825" s="13"/>
      <c r="H825" s="13"/>
      <c r="I825" s="13"/>
      <c r="J825" s="13"/>
      <c r="K825" s="13">
        <v>0.0</v>
      </c>
      <c r="L825" s="13">
        <v>0.0</v>
      </c>
      <c r="M825" s="13"/>
      <c r="N825" s="13"/>
      <c r="O825" s="13"/>
      <c r="P825" s="13"/>
      <c r="Q825" s="13"/>
      <c r="R825" s="13"/>
      <c r="S825" s="13"/>
      <c r="T825" s="13"/>
      <c r="U825" s="13"/>
      <c r="V825" s="13"/>
      <c r="W825" s="13"/>
      <c r="X825" s="13"/>
      <c r="Y825" s="13"/>
      <c r="Z825" s="13"/>
      <c r="AA825" s="13"/>
      <c r="AB825" s="13"/>
      <c r="AC825" s="13"/>
    </row>
    <row r="826">
      <c r="A826" s="13"/>
      <c r="B826" s="11">
        <v>46111.0</v>
      </c>
      <c r="C826" s="4" t="s">
        <v>114</v>
      </c>
      <c r="D826" s="4" t="s">
        <v>81</v>
      </c>
      <c r="E826" s="4" t="s">
        <v>299</v>
      </c>
      <c r="F826" s="13" t="s">
        <v>12</v>
      </c>
      <c r="G826" s="13"/>
      <c r="H826" s="13"/>
      <c r="I826" s="13"/>
      <c r="J826" s="13"/>
      <c r="K826" s="13">
        <v>0.0</v>
      </c>
      <c r="L826" s="13">
        <v>0.0</v>
      </c>
      <c r="M826" s="13"/>
      <c r="N826" s="13"/>
      <c r="O826" s="13"/>
      <c r="P826" s="13"/>
      <c r="Q826" s="13"/>
      <c r="R826" s="13"/>
      <c r="S826" s="13"/>
      <c r="T826" s="13"/>
      <c r="U826" s="13"/>
      <c r="V826" s="13"/>
      <c r="W826" s="13"/>
      <c r="X826" s="13"/>
      <c r="Y826" s="13"/>
      <c r="Z826" s="13"/>
      <c r="AA826" s="13"/>
      <c r="AB826" s="13"/>
      <c r="AC826" s="13"/>
    </row>
    <row r="827">
      <c r="A827" s="13"/>
      <c r="B827" s="11">
        <v>46111.0</v>
      </c>
      <c r="C827" s="4" t="s">
        <v>114</v>
      </c>
      <c r="D827" s="4" t="s">
        <v>81</v>
      </c>
      <c r="E827" s="4" t="s">
        <v>299</v>
      </c>
      <c r="F827" s="13" t="s">
        <v>13</v>
      </c>
      <c r="G827" s="13"/>
      <c r="H827" s="13"/>
      <c r="I827" s="13"/>
      <c r="J827" s="13"/>
      <c r="K827" s="13">
        <v>0.0</v>
      </c>
      <c r="L827" s="13">
        <v>0.0</v>
      </c>
      <c r="M827" s="13"/>
      <c r="N827" s="13"/>
      <c r="O827" s="13"/>
      <c r="P827" s="13"/>
      <c r="Q827" s="13"/>
      <c r="R827" s="13"/>
      <c r="S827" s="13"/>
      <c r="T827" s="13"/>
      <c r="U827" s="13"/>
      <c r="V827" s="13"/>
      <c r="W827" s="13"/>
      <c r="X827" s="13"/>
      <c r="Y827" s="13"/>
      <c r="Z827" s="13"/>
      <c r="AA827" s="13"/>
      <c r="AB827" s="13"/>
      <c r="AC827" s="13"/>
    </row>
    <row r="828">
      <c r="A828" s="13"/>
      <c r="B828" s="11">
        <v>46111.0</v>
      </c>
      <c r="C828" s="4" t="s">
        <v>114</v>
      </c>
      <c r="D828" s="4" t="s">
        <v>81</v>
      </c>
      <c r="E828" s="4" t="s">
        <v>299</v>
      </c>
      <c r="F828" s="13" t="s">
        <v>14</v>
      </c>
      <c r="G828" s="13"/>
      <c r="H828" s="13"/>
      <c r="I828" s="13"/>
      <c r="J828" s="13"/>
      <c r="K828" s="13">
        <v>0.0</v>
      </c>
      <c r="L828" s="13">
        <v>0.0</v>
      </c>
      <c r="M828" s="13"/>
      <c r="N828" s="13"/>
      <c r="O828" s="13"/>
      <c r="P828" s="13"/>
      <c r="Q828" s="13"/>
      <c r="R828" s="13"/>
      <c r="S828" s="13"/>
      <c r="T828" s="13"/>
      <c r="U828" s="13"/>
      <c r="V828" s="13"/>
      <c r="W828" s="13"/>
      <c r="X828" s="13"/>
      <c r="Y828" s="13"/>
      <c r="Z828" s="13"/>
      <c r="AA828" s="13"/>
      <c r="AB828" s="13"/>
      <c r="AC828" s="13"/>
    </row>
    <row r="829">
      <c r="A829" s="13"/>
      <c r="B829" s="11">
        <v>46111.0</v>
      </c>
      <c r="C829" s="4" t="s">
        <v>114</v>
      </c>
      <c r="D829" s="4" t="s">
        <v>81</v>
      </c>
      <c r="E829" s="4" t="s">
        <v>299</v>
      </c>
      <c r="F829" s="13" t="s">
        <v>15</v>
      </c>
      <c r="G829" s="13"/>
      <c r="H829" s="13"/>
      <c r="I829" s="13"/>
      <c r="J829" s="13"/>
      <c r="K829" s="13">
        <v>0.0</v>
      </c>
      <c r="L829" s="13">
        <v>0.0</v>
      </c>
      <c r="M829" s="13"/>
      <c r="N829" s="13"/>
      <c r="O829" s="13"/>
      <c r="P829" s="13"/>
      <c r="Q829" s="13"/>
      <c r="R829" s="13"/>
      <c r="S829" s="13"/>
      <c r="T829" s="13"/>
      <c r="U829" s="13"/>
      <c r="V829" s="13"/>
      <c r="W829" s="13"/>
      <c r="X829" s="13"/>
      <c r="Y829" s="13"/>
      <c r="Z829" s="13"/>
      <c r="AA829" s="13"/>
      <c r="AB829" s="13"/>
      <c r="AC829" s="13"/>
    </row>
    <row r="830">
      <c r="A830" s="13"/>
      <c r="B830" s="11">
        <v>46111.0</v>
      </c>
      <c r="C830" s="4" t="s">
        <v>113</v>
      </c>
      <c r="D830" s="4" t="s">
        <v>304</v>
      </c>
      <c r="E830" s="4" t="s">
        <v>299</v>
      </c>
      <c r="F830" s="13" t="s">
        <v>4</v>
      </c>
      <c r="G830" s="13"/>
      <c r="H830" s="13"/>
      <c r="I830" s="13"/>
      <c r="J830" s="13"/>
      <c r="K830" s="13">
        <v>0.0</v>
      </c>
      <c r="L830" s="13">
        <v>0.0</v>
      </c>
      <c r="M830" s="13"/>
      <c r="N830" s="13"/>
      <c r="O830" s="13"/>
      <c r="P830" s="13"/>
      <c r="Q830" s="13"/>
      <c r="R830" s="13"/>
      <c r="S830" s="13"/>
      <c r="T830" s="13"/>
      <c r="U830" s="13"/>
      <c r="V830" s="13"/>
      <c r="W830" s="13"/>
      <c r="X830" s="13"/>
      <c r="Y830" s="13"/>
      <c r="Z830" s="13"/>
      <c r="AA830" s="13"/>
      <c r="AB830" s="13"/>
      <c r="AC830" s="13"/>
    </row>
    <row r="831">
      <c r="A831" s="13"/>
      <c r="B831" s="11">
        <v>46111.0</v>
      </c>
      <c r="C831" s="4" t="s">
        <v>113</v>
      </c>
      <c r="D831" s="4" t="s">
        <v>304</v>
      </c>
      <c r="E831" s="4" t="s">
        <v>299</v>
      </c>
      <c r="F831" s="13" t="s">
        <v>5</v>
      </c>
      <c r="G831" s="13"/>
      <c r="H831" s="13"/>
      <c r="I831" s="13"/>
      <c r="J831" s="13"/>
      <c r="K831" s="13">
        <v>0.0</v>
      </c>
      <c r="L831" s="13">
        <v>0.0</v>
      </c>
      <c r="M831" s="13"/>
      <c r="N831" s="13"/>
      <c r="O831" s="13"/>
      <c r="P831" s="13"/>
      <c r="Q831" s="13"/>
      <c r="R831" s="13"/>
      <c r="S831" s="13"/>
      <c r="T831" s="13"/>
      <c r="U831" s="13"/>
      <c r="V831" s="13"/>
      <c r="W831" s="13"/>
      <c r="X831" s="13"/>
      <c r="Y831" s="13"/>
      <c r="Z831" s="13"/>
      <c r="AA831" s="13"/>
      <c r="AB831" s="13"/>
      <c r="AC831" s="13"/>
    </row>
    <row r="832">
      <c r="A832" s="13"/>
      <c r="B832" s="11">
        <v>46111.0</v>
      </c>
      <c r="C832" s="4" t="s">
        <v>113</v>
      </c>
      <c r="D832" s="4" t="s">
        <v>304</v>
      </c>
      <c r="E832" s="4" t="s">
        <v>299</v>
      </c>
      <c r="F832" s="13" t="s">
        <v>6</v>
      </c>
      <c r="G832" s="13"/>
      <c r="H832" s="13"/>
      <c r="I832" s="13"/>
      <c r="J832" s="13"/>
      <c r="K832" s="13">
        <v>0.0</v>
      </c>
      <c r="L832" s="13">
        <v>0.0</v>
      </c>
      <c r="M832" s="13"/>
      <c r="N832" s="13"/>
      <c r="O832" s="13"/>
      <c r="P832" s="13"/>
      <c r="Q832" s="13"/>
      <c r="R832" s="13"/>
      <c r="S832" s="13"/>
      <c r="T832" s="13"/>
      <c r="U832" s="13"/>
      <c r="V832" s="13"/>
      <c r="W832" s="13"/>
      <c r="X832" s="13"/>
      <c r="Y832" s="13"/>
      <c r="Z832" s="13"/>
      <c r="AA832" s="13"/>
      <c r="AB832" s="13"/>
      <c r="AC832" s="13"/>
    </row>
    <row r="833">
      <c r="A833" s="13"/>
      <c r="B833" s="11">
        <v>46111.0</v>
      </c>
      <c r="C833" s="4" t="s">
        <v>113</v>
      </c>
      <c r="D833" s="4" t="s">
        <v>304</v>
      </c>
      <c r="E833" s="4" t="s">
        <v>299</v>
      </c>
      <c r="F833" s="13" t="s">
        <v>7</v>
      </c>
      <c r="G833" s="13"/>
      <c r="H833" s="13"/>
      <c r="I833" s="13"/>
      <c r="J833" s="13"/>
      <c r="K833" s="13">
        <v>0.0</v>
      </c>
      <c r="L833" s="13">
        <v>0.0</v>
      </c>
      <c r="M833" s="13"/>
      <c r="N833" s="13"/>
      <c r="O833" s="13"/>
      <c r="P833" s="13"/>
      <c r="Q833" s="13"/>
      <c r="R833" s="13"/>
      <c r="S833" s="13"/>
      <c r="T833" s="13"/>
      <c r="U833" s="13"/>
      <c r="V833" s="13"/>
      <c r="W833" s="13"/>
      <c r="X833" s="13"/>
      <c r="Y833" s="13"/>
      <c r="Z833" s="13"/>
      <c r="AA833" s="13"/>
      <c r="AB833" s="13"/>
      <c r="AC833" s="13"/>
    </row>
    <row r="834">
      <c r="A834" s="13"/>
      <c r="B834" s="11">
        <v>46111.0</v>
      </c>
      <c r="C834" s="4" t="s">
        <v>113</v>
      </c>
      <c r="D834" s="4" t="s">
        <v>304</v>
      </c>
      <c r="E834" s="4" t="s">
        <v>299</v>
      </c>
      <c r="F834" s="13" t="s">
        <v>8</v>
      </c>
      <c r="G834" s="13"/>
      <c r="H834" s="13"/>
      <c r="I834" s="13"/>
      <c r="J834" s="13"/>
      <c r="K834" s="13">
        <v>0.0</v>
      </c>
      <c r="L834" s="13">
        <v>0.0</v>
      </c>
      <c r="M834" s="13"/>
      <c r="N834" s="13"/>
      <c r="O834" s="13"/>
      <c r="P834" s="13"/>
      <c r="Q834" s="13"/>
      <c r="R834" s="13"/>
      <c r="S834" s="13"/>
      <c r="T834" s="13"/>
      <c r="U834" s="13"/>
      <c r="V834" s="13"/>
      <c r="W834" s="13"/>
      <c r="X834" s="13"/>
      <c r="Y834" s="13"/>
      <c r="Z834" s="13"/>
      <c r="AA834" s="13"/>
      <c r="AB834" s="13"/>
      <c r="AC834" s="13"/>
    </row>
    <row r="835">
      <c r="A835" s="13"/>
      <c r="B835" s="11">
        <v>46111.0</v>
      </c>
      <c r="C835" s="4" t="s">
        <v>113</v>
      </c>
      <c r="D835" s="4" t="s">
        <v>304</v>
      </c>
      <c r="E835" s="4" t="s">
        <v>299</v>
      </c>
      <c r="F835" s="13" t="s">
        <v>9</v>
      </c>
      <c r="G835" s="13"/>
      <c r="H835" s="13"/>
      <c r="I835" s="13"/>
      <c r="J835" s="13"/>
      <c r="K835" s="13">
        <v>0.0</v>
      </c>
      <c r="L835" s="13">
        <v>0.0</v>
      </c>
      <c r="M835" s="13"/>
      <c r="N835" s="13"/>
      <c r="O835" s="13"/>
      <c r="P835" s="13"/>
      <c r="Q835" s="13"/>
      <c r="R835" s="13"/>
      <c r="S835" s="13"/>
      <c r="T835" s="13"/>
      <c r="U835" s="13"/>
      <c r="V835" s="13"/>
      <c r="W835" s="13"/>
      <c r="X835" s="13"/>
      <c r="Y835" s="13"/>
      <c r="Z835" s="13"/>
      <c r="AA835" s="13"/>
      <c r="AB835" s="13"/>
      <c r="AC835" s="13"/>
    </row>
    <row r="836">
      <c r="A836" s="13"/>
      <c r="B836" s="11">
        <v>46111.0</v>
      </c>
      <c r="C836" s="4" t="s">
        <v>113</v>
      </c>
      <c r="D836" s="4" t="s">
        <v>304</v>
      </c>
      <c r="E836" s="4" t="s">
        <v>299</v>
      </c>
      <c r="F836" s="13" t="s">
        <v>10</v>
      </c>
      <c r="G836" s="13"/>
      <c r="H836" s="13"/>
      <c r="I836" s="13"/>
      <c r="J836" s="13"/>
      <c r="K836" s="13">
        <v>0.0</v>
      </c>
      <c r="L836" s="13">
        <v>0.0</v>
      </c>
      <c r="M836" s="13"/>
      <c r="N836" s="13"/>
      <c r="O836" s="13"/>
      <c r="P836" s="13"/>
      <c r="Q836" s="13"/>
      <c r="R836" s="13"/>
      <c r="S836" s="13"/>
      <c r="T836" s="13"/>
      <c r="U836" s="13"/>
      <c r="V836" s="13"/>
      <c r="W836" s="13"/>
      <c r="X836" s="13"/>
      <c r="Y836" s="13"/>
      <c r="Z836" s="13"/>
      <c r="AA836" s="13"/>
      <c r="AB836" s="13"/>
      <c r="AC836" s="13"/>
    </row>
    <row r="837">
      <c r="A837" s="13"/>
      <c r="B837" s="11">
        <v>46111.0</v>
      </c>
      <c r="C837" s="4" t="s">
        <v>113</v>
      </c>
      <c r="D837" s="4" t="s">
        <v>304</v>
      </c>
      <c r="E837" s="4" t="s">
        <v>299</v>
      </c>
      <c r="F837" s="13" t="s">
        <v>11</v>
      </c>
      <c r="G837" s="13"/>
      <c r="H837" s="13"/>
      <c r="I837" s="13"/>
      <c r="J837" s="13"/>
      <c r="K837" s="13">
        <v>0.0</v>
      </c>
      <c r="L837" s="13">
        <v>0.0</v>
      </c>
      <c r="M837" s="13"/>
      <c r="N837" s="13"/>
      <c r="O837" s="13"/>
      <c r="P837" s="13"/>
      <c r="Q837" s="13"/>
      <c r="R837" s="13"/>
      <c r="S837" s="13"/>
      <c r="T837" s="13"/>
      <c r="U837" s="13"/>
      <c r="V837" s="13"/>
      <c r="W837" s="13"/>
      <c r="X837" s="13"/>
      <c r="Y837" s="13"/>
      <c r="Z837" s="13"/>
      <c r="AA837" s="13"/>
      <c r="AB837" s="13"/>
      <c r="AC837" s="13"/>
    </row>
    <row r="838">
      <c r="A838" s="13"/>
      <c r="B838" s="11">
        <v>46111.0</v>
      </c>
      <c r="C838" s="4" t="s">
        <v>113</v>
      </c>
      <c r="D838" s="4" t="s">
        <v>304</v>
      </c>
      <c r="E838" s="4" t="s">
        <v>299</v>
      </c>
      <c r="F838" s="13" t="s">
        <v>12</v>
      </c>
      <c r="G838" s="13"/>
      <c r="H838" s="13"/>
      <c r="I838" s="13"/>
      <c r="J838" s="13"/>
      <c r="K838" s="13">
        <v>0.0</v>
      </c>
      <c r="L838" s="13">
        <v>0.0</v>
      </c>
      <c r="M838" s="13"/>
      <c r="N838" s="13"/>
      <c r="O838" s="13"/>
      <c r="P838" s="13"/>
      <c r="Q838" s="13"/>
      <c r="R838" s="13"/>
      <c r="S838" s="13"/>
      <c r="T838" s="13"/>
      <c r="U838" s="13"/>
      <c r="V838" s="13"/>
      <c r="W838" s="13"/>
      <c r="X838" s="13"/>
      <c r="Y838" s="13"/>
      <c r="Z838" s="13"/>
      <c r="AA838" s="13"/>
      <c r="AB838" s="13"/>
      <c r="AC838" s="13"/>
    </row>
    <row r="839">
      <c r="A839" s="13"/>
      <c r="B839" s="11">
        <v>46111.0</v>
      </c>
      <c r="C839" s="4" t="s">
        <v>113</v>
      </c>
      <c r="D839" s="4" t="s">
        <v>304</v>
      </c>
      <c r="E839" s="4" t="s">
        <v>299</v>
      </c>
      <c r="F839" s="13" t="s">
        <v>13</v>
      </c>
      <c r="G839" s="13"/>
      <c r="H839" s="13"/>
      <c r="I839" s="13"/>
      <c r="J839" s="13"/>
      <c r="K839" s="13">
        <v>0.0</v>
      </c>
      <c r="L839" s="13">
        <v>0.0</v>
      </c>
      <c r="M839" s="13"/>
      <c r="N839" s="13"/>
      <c r="O839" s="13"/>
      <c r="P839" s="13"/>
      <c r="Q839" s="13"/>
      <c r="R839" s="13"/>
      <c r="S839" s="13"/>
      <c r="T839" s="13"/>
      <c r="U839" s="13"/>
      <c r="V839" s="13"/>
      <c r="W839" s="13"/>
      <c r="X839" s="13"/>
      <c r="Y839" s="13"/>
      <c r="Z839" s="13"/>
      <c r="AA839" s="13"/>
      <c r="AB839" s="13"/>
      <c r="AC839" s="13"/>
    </row>
    <row r="840">
      <c r="A840" s="13"/>
      <c r="B840" s="11">
        <v>46111.0</v>
      </c>
      <c r="C840" s="4" t="s">
        <v>113</v>
      </c>
      <c r="D840" s="4" t="s">
        <v>304</v>
      </c>
      <c r="E840" s="4" t="s">
        <v>299</v>
      </c>
      <c r="F840" s="13" t="s">
        <v>14</v>
      </c>
      <c r="G840" s="13"/>
      <c r="H840" s="13"/>
      <c r="I840" s="13"/>
      <c r="J840" s="13"/>
      <c r="K840" s="13">
        <v>0.0</v>
      </c>
      <c r="L840" s="13">
        <v>0.0</v>
      </c>
      <c r="M840" s="13"/>
      <c r="N840" s="13"/>
      <c r="O840" s="13"/>
      <c r="P840" s="13"/>
      <c r="Q840" s="13"/>
      <c r="R840" s="13"/>
      <c r="S840" s="13"/>
      <c r="T840" s="13"/>
      <c r="U840" s="13"/>
      <c r="V840" s="13"/>
      <c r="W840" s="13"/>
      <c r="X840" s="13"/>
      <c r="Y840" s="13"/>
      <c r="Z840" s="13"/>
      <c r="AA840" s="13"/>
      <c r="AB840" s="13"/>
      <c r="AC840" s="13"/>
    </row>
    <row r="841">
      <c r="A841" s="13"/>
      <c r="B841" s="11">
        <v>46111.0</v>
      </c>
      <c r="C841" s="4" t="s">
        <v>113</v>
      </c>
      <c r="D841" s="4" t="s">
        <v>304</v>
      </c>
      <c r="E841" s="4" t="s">
        <v>299</v>
      </c>
      <c r="F841" s="13" t="s">
        <v>15</v>
      </c>
      <c r="G841" s="13"/>
      <c r="H841" s="13"/>
      <c r="I841" s="13"/>
      <c r="J841" s="13"/>
      <c r="K841" s="13">
        <v>0.0</v>
      </c>
      <c r="L841" s="13">
        <v>0.0</v>
      </c>
      <c r="M841" s="13"/>
      <c r="N841" s="13"/>
      <c r="O841" s="13"/>
      <c r="P841" s="13"/>
      <c r="Q841" s="13"/>
      <c r="R841" s="13"/>
      <c r="S841" s="13"/>
      <c r="T841" s="13"/>
      <c r="U841" s="13"/>
      <c r="V841" s="13"/>
      <c r="W841" s="13"/>
      <c r="X841" s="13"/>
      <c r="Y841" s="13"/>
      <c r="Z841" s="13"/>
      <c r="AA841" s="13"/>
      <c r="AB841" s="13"/>
      <c r="AC841" s="13"/>
    </row>
    <row r="842">
      <c r="B842" s="11">
        <v>46111.0</v>
      </c>
      <c r="C842" s="4" t="s">
        <v>114</v>
      </c>
      <c r="D842" s="4" t="s">
        <v>304</v>
      </c>
      <c r="E842" s="4" t="s">
        <v>86</v>
      </c>
      <c r="F842" s="13" t="s">
        <v>4</v>
      </c>
      <c r="H842" s="4">
        <v>4.0</v>
      </c>
      <c r="I842" s="4">
        <v>2.0</v>
      </c>
      <c r="K842" s="13">
        <v>2.0</v>
      </c>
      <c r="L842" s="13">
        <v>40000.0</v>
      </c>
    </row>
    <row r="843">
      <c r="B843" s="11">
        <v>46111.0</v>
      </c>
      <c r="C843" s="4" t="s">
        <v>114</v>
      </c>
      <c r="D843" s="4" t="s">
        <v>304</v>
      </c>
      <c r="E843" s="4" t="s">
        <v>86</v>
      </c>
      <c r="F843" s="13" t="s">
        <v>5</v>
      </c>
      <c r="K843" s="13">
        <v>0.0</v>
      </c>
      <c r="L843" s="13">
        <v>0.0</v>
      </c>
    </row>
    <row r="844">
      <c r="B844" s="11">
        <v>46111.0</v>
      </c>
      <c r="C844" s="4" t="s">
        <v>114</v>
      </c>
      <c r="D844" s="4" t="s">
        <v>304</v>
      </c>
      <c r="E844" s="4" t="s">
        <v>86</v>
      </c>
      <c r="F844" s="13" t="s">
        <v>6</v>
      </c>
      <c r="H844" s="4">
        <v>1.0</v>
      </c>
      <c r="K844" s="13">
        <v>1.0</v>
      </c>
      <c r="L844" s="13">
        <v>20000.0</v>
      </c>
    </row>
    <row r="845">
      <c r="B845" s="11">
        <v>46111.0</v>
      </c>
      <c r="C845" s="4" t="s">
        <v>114</v>
      </c>
      <c r="D845" s="4" t="s">
        <v>304</v>
      </c>
      <c r="E845" s="4" t="s">
        <v>86</v>
      </c>
      <c r="F845" s="13" t="s">
        <v>7</v>
      </c>
      <c r="H845" s="4">
        <v>2.0</v>
      </c>
      <c r="I845" s="4">
        <v>1.0</v>
      </c>
      <c r="K845" s="13">
        <v>1.0</v>
      </c>
      <c r="L845" s="13">
        <v>20000.0</v>
      </c>
    </row>
    <row r="846">
      <c r="B846" s="11">
        <v>46111.0</v>
      </c>
      <c r="C846" s="4" t="s">
        <v>114</v>
      </c>
      <c r="D846" s="4" t="s">
        <v>304</v>
      </c>
      <c r="E846" s="4" t="s">
        <v>86</v>
      </c>
      <c r="F846" s="13" t="s">
        <v>8</v>
      </c>
      <c r="H846" s="4">
        <v>3.0</v>
      </c>
      <c r="K846" s="13">
        <v>3.0</v>
      </c>
      <c r="L846" s="13">
        <v>60000.0</v>
      </c>
    </row>
    <row r="847">
      <c r="B847" s="11">
        <v>46111.0</v>
      </c>
      <c r="C847" s="4" t="s">
        <v>114</v>
      </c>
      <c r="D847" s="4" t="s">
        <v>304</v>
      </c>
      <c r="E847" s="4" t="s">
        <v>86</v>
      </c>
      <c r="F847" s="13" t="s">
        <v>9</v>
      </c>
      <c r="H847" s="4">
        <v>3.0</v>
      </c>
      <c r="I847" s="4">
        <v>2.0</v>
      </c>
      <c r="K847" s="13">
        <v>1.0</v>
      </c>
      <c r="L847" s="13">
        <v>20000.0</v>
      </c>
    </row>
    <row r="848">
      <c r="B848" s="11">
        <v>46111.0</v>
      </c>
      <c r="C848" s="4" t="s">
        <v>114</v>
      </c>
      <c r="D848" s="4" t="s">
        <v>304</v>
      </c>
      <c r="E848" s="4" t="s">
        <v>86</v>
      </c>
      <c r="F848" s="13" t="s">
        <v>10</v>
      </c>
      <c r="H848" s="4">
        <v>2.0</v>
      </c>
      <c r="K848" s="13">
        <v>2.0</v>
      </c>
      <c r="L848" s="13">
        <v>40000.0</v>
      </c>
    </row>
    <row r="849">
      <c r="B849" s="11">
        <v>46111.0</v>
      </c>
      <c r="C849" s="4" t="s">
        <v>114</v>
      </c>
      <c r="D849" s="4" t="s">
        <v>304</v>
      </c>
      <c r="E849" s="4" t="s">
        <v>86</v>
      </c>
      <c r="F849" s="13" t="s">
        <v>11</v>
      </c>
      <c r="K849" s="13">
        <v>0.0</v>
      </c>
      <c r="L849" s="13">
        <v>0.0</v>
      </c>
    </row>
    <row r="850">
      <c r="B850" s="11">
        <v>46111.0</v>
      </c>
      <c r="C850" s="4" t="s">
        <v>114</v>
      </c>
      <c r="D850" s="4" t="s">
        <v>304</v>
      </c>
      <c r="E850" s="4" t="s">
        <v>86</v>
      </c>
      <c r="F850" s="13" t="s">
        <v>12</v>
      </c>
      <c r="H850" s="4">
        <v>2.0</v>
      </c>
      <c r="I850" s="4">
        <v>2.0</v>
      </c>
      <c r="K850" s="13">
        <v>0.0</v>
      </c>
      <c r="L850" s="13">
        <v>0.0</v>
      </c>
    </row>
    <row r="851">
      <c r="B851" s="11">
        <v>46111.0</v>
      </c>
      <c r="C851" s="4" t="s">
        <v>114</v>
      </c>
      <c r="D851" s="4" t="s">
        <v>304</v>
      </c>
      <c r="E851" s="4" t="s">
        <v>86</v>
      </c>
      <c r="F851" s="13" t="s">
        <v>13</v>
      </c>
      <c r="H851" s="4">
        <v>3.0</v>
      </c>
      <c r="I851" s="4">
        <v>2.0</v>
      </c>
      <c r="K851" s="13">
        <v>1.0</v>
      </c>
      <c r="L851" s="13">
        <v>20000.0</v>
      </c>
    </row>
    <row r="852">
      <c r="B852" s="11">
        <v>46111.0</v>
      </c>
      <c r="C852" s="4" t="s">
        <v>114</v>
      </c>
      <c r="D852" s="4" t="s">
        <v>304</v>
      </c>
      <c r="E852" s="4" t="s">
        <v>86</v>
      </c>
      <c r="F852" s="13" t="s">
        <v>14</v>
      </c>
      <c r="K852" s="13">
        <v>0.0</v>
      </c>
      <c r="L852" s="13">
        <v>0.0</v>
      </c>
    </row>
    <row r="853">
      <c r="B853" s="11">
        <v>46111.0</v>
      </c>
      <c r="C853" s="4" t="s">
        <v>114</v>
      </c>
      <c r="D853" s="4" t="s">
        <v>304</v>
      </c>
      <c r="E853" s="4" t="s">
        <v>86</v>
      </c>
      <c r="F853" s="13" t="s">
        <v>15</v>
      </c>
      <c r="H853" s="4">
        <v>20.0</v>
      </c>
      <c r="I853" s="4">
        <v>7.0</v>
      </c>
      <c r="K853" s="13">
        <v>13.0</v>
      </c>
      <c r="L853" s="13">
        <v>260000.0</v>
      </c>
    </row>
    <row r="854">
      <c r="B854" s="94">
        <f>B853+1</f>
        <v>46112</v>
      </c>
      <c r="C854" s="4" t="s">
        <v>113</v>
      </c>
      <c r="D854" s="4" t="s">
        <v>304</v>
      </c>
      <c r="E854" s="4" t="s">
        <v>71</v>
      </c>
      <c r="F854" s="13" t="s">
        <v>4</v>
      </c>
      <c r="G854" s="13">
        <f t="shared" ref="G854:G865" si="16">I842</f>
        <v>2</v>
      </c>
      <c r="H854" s="4">
        <v>3.0</v>
      </c>
      <c r="K854" s="13">
        <v>5.0</v>
      </c>
      <c r="L854" s="13">
        <v>100000.0</v>
      </c>
      <c r="N854" s="13">
        <f>sum(G854:G865)+sum(H854:H865)</f>
        <v>62</v>
      </c>
      <c r="O854" s="13">
        <f t="shared" ref="O854:O865" si="17">G854+H854</f>
        <v>5</v>
      </c>
    </row>
    <row r="855">
      <c r="B855" s="94">
        <v>46112.0</v>
      </c>
      <c r="C855" s="4" t="s">
        <v>113</v>
      </c>
      <c r="D855" s="4" t="s">
        <v>304</v>
      </c>
      <c r="E855" s="4" t="s">
        <v>71</v>
      </c>
      <c r="F855" s="13" t="s">
        <v>5</v>
      </c>
      <c r="G855" s="13" t="str">
        <f t="shared" si="16"/>
        <v/>
      </c>
      <c r="H855" s="4">
        <v>4.0</v>
      </c>
      <c r="K855" s="13">
        <v>4.0</v>
      </c>
      <c r="L855" s="13">
        <v>80000.0</v>
      </c>
      <c r="O855" s="13">
        <f t="shared" si="17"/>
        <v>4</v>
      </c>
    </row>
    <row r="856">
      <c r="B856" s="94">
        <v>46112.0</v>
      </c>
      <c r="C856" s="4" t="s">
        <v>113</v>
      </c>
      <c r="D856" s="4" t="s">
        <v>304</v>
      </c>
      <c r="E856" s="4" t="s">
        <v>71</v>
      </c>
      <c r="F856" s="13" t="s">
        <v>6</v>
      </c>
      <c r="G856" s="13" t="str">
        <f t="shared" si="16"/>
        <v/>
      </c>
      <c r="H856" s="4">
        <v>2.0</v>
      </c>
      <c r="K856" s="13">
        <v>2.0</v>
      </c>
      <c r="L856" s="13">
        <v>40000.0</v>
      </c>
      <c r="O856" s="13">
        <f t="shared" si="17"/>
        <v>2</v>
      </c>
    </row>
    <row r="857">
      <c r="B857" s="94">
        <v>46112.0</v>
      </c>
      <c r="C857" s="4" t="s">
        <v>113</v>
      </c>
      <c r="D857" s="4" t="s">
        <v>304</v>
      </c>
      <c r="E857" s="4" t="s">
        <v>71</v>
      </c>
      <c r="F857" s="13" t="s">
        <v>7</v>
      </c>
      <c r="G857" s="13">
        <f t="shared" si="16"/>
        <v>1</v>
      </c>
      <c r="K857" s="13">
        <v>1.0</v>
      </c>
      <c r="L857" s="13">
        <v>20000.0</v>
      </c>
      <c r="O857" s="13">
        <f t="shared" si="17"/>
        <v>1</v>
      </c>
    </row>
    <row r="858">
      <c r="B858" s="94">
        <v>46112.0</v>
      </c>
      <c r="C858" s="4" t="s">
        <v>113</v>
      </c>
      <c r="D858" s="4" t="s">
        <v>304</v>
      </c>
      <c r="E858" s="4" t="s">
        <v>71</v>
      </c>
      <c r="F858" s="13" t="s">
        <v>8</v>
      </c>
      <c r="G858" s="13" t="str">
        <f t="shared" si="16"/>
        <v/>
      </c>
      <c r="H858" s="4">
        <v>4.0</v>
      </c>
      <c r="K858" s="13">
        <v>4.0</v>
      </c>
      <c r="L858" s="13">
        <v>80000.0</v>
      </c>
      <c r="O858" s="13">
        <f t="shared" si="17"/>
        <v>4</v>
      </c>
    </row>
    <row r="859">
      <c r="B859" s="94">
        <v>46112.0</v>
      </c>
      <c r="C859" s="4" t="s">
        <v>113</v>
      </c>
      <c r="D859" s="4" t="s">
        <v>304</v>
      </c>
      <c r="E859" s="4" t="s">
        <v>71</v>
      </c>
      <c r="F859" s="13" t="s">
        <v>9</v>
      </c>
      <c r="G859" s="13">
        <f t="shared" si="16"/>
        <v>2</v>
      </c>
      <c r="H859" s="4">
        <v>2.0</v>
      </c>
      <c r="K859" s="13">
        <v>4.0</v>
      </c>
      <c r="L859" s="13">
        <v>80000.0</v>
      </c>
      <c r="O859" s="13">
        <f t="shared" si="17"/>
        <v>4</v>
      </c>
    </row>
    <row r="860">
      <c r="B860" s="94">
        <v>46112.0</v>
      </c>
      <c r="C860" s="4" t="s">
        <v>113</v>
      </c>
      <c r="D860" s="4" t="s">
        <v>304</v>
      </c>
      <c r="E860" s="4" t="s">
        <v>71</v>
      </c>
      <c r="F860" s="13" t="s">
        <v>10</v>
      </c>
      <c r="G860" s="13" t="str">
        <f t="shared" si="16"/>
        <v/>
      </c>
      <c r="H860" s="4">
        <v>2.0</v>
      </c>
      <c r="K860" s="13">
        <v>2.0</v>
      </c>
      <c r="L860" s="13">
        <v>40000.0</v>
      </c>
      <c r="O860" s="13">
        <f t="shared" si="17"/>
        <v>2</v>
      </c>
    </row>
    <row r="861">
      <c r="B861" s="94">
        <v>46112.0</v>
      </c>
      <c r="C861" s="4" t="s">
        <v>113</v>
      </c>
      <c r="D861" s="4" t="s">
        <v>304</v>
      </c>
      <c r="E861" s="4" t="s">
        <v>71</v>
      </c>
      <c r="F861" s="13" t="s">
        <v>11</v>
      </c>
      <c r="G861" s="13" t="str">
        <f t="shared" si="16"/>
        <v/>
      </c>
      <c r="K861" s="13">
        <v>0.0</v>
      </c>
      <c r="L861" s="13">
        <v>0.0</v>
      </c>
      <c r="O861" s="13">
        <f t="shared" si="17"/>
        <v>0</v>
      </c>
    </row>
    <row r="862">
      <c r="B862" s="94">
        <v>46112.0</v>
      </c>
      <c r="C862" s="4" t="s">
        <v>113</v>
      </c>
      <c r="D862" s="4" t="s">
        <v>304</v>
      </c>
      <c r="E862" s="4" t="s">
        <v>71</v>
      </c>
      <c r="F862" s="13" t="s">
        <v>12</v>
      </c>
      <c r="G862" s="13">
        <f t="shared" si="16"/>
        <v>2</v>
      </c>
      <c r="H862" s="4">
        <v>2.0</v>
      </c>
      <c r="K862" s="13">
        <v>4.0</v>
      </c>
      <c r="L862" s="13">
        <v>80000.0</v>
      </c>
      <c r="O862" s="13">
        <f t="shared" si="17"/>
        <v>4</v>
      </c>
    </row>
    <row r="863">
      <c r="B863" s="94">
        <v>46112.0</v>
      </c>
      <c r="C863" s="4" t="s">
        <v>113</v>
      </c>
      <c r="D863" s="4" t="s">
        <v>304</v>
      </c>
      <c r="E863" s="4" t="s">
        <v>71</v>
      </c>
      <c r="F863" s="13" t="s">
        <v>13</v>
      </c>
      <c r="G863" s="13">
        <f t="shared" si="16"/>
        <v>2</v>
      </c>
      <c r="H863" s="4">
        <v>2.0</v>
      </c>
      <c r="K863" s="13">
        <v>4.0</v>
      </c>
      <c r="L863" s="13">
        <v>80000.0</v>
      </c>
      <c r="O863" s="13">
        <f t="shared" si="17"/>
        <v>4</v>
      </c>
    </row>
    <row r="864">
      <c r="B864" s="94">
        <v>46112.0</v>
      </c>
      <c r="C864" s="4" t="s">
        <v>113</v>
      </c>
      <c r="D864" s="4" t="s">
        <v>304</v>
      </c>
      <c r="E864" s="4" t="s">
        <v>71</v>
      </c>
      <c r="F864" s="13" t="s">
        <v>14</v>
      </c>
      <c r="G864" s="13" t="str">
        <f t="shared" si="16"/>
        <v/>
      </c>
      <c r="H864" s="4">
        <v>2.0</v>
      </c>
      <c r="K864" s="13">
        <v>2.0</v>
      </c>
      <c r="L864" s="13">
        <v>44000.0</v>
      </c>
      <c r="O864" s="13">
        <f t="shared" si="17"/>
        <v>2</v>
      </c>
    </row>
    <row r="865">
      <c r="B865" s="94">
        <v>46112.0</v>
      </c>
      <c r="C865" s="4" t="s">
        <v>113</v>
      </c>
      <c r="D865" s="4" t="s">
        <v>304</v>
      </c>
      <c r="E865" s="4" t="s">
        <v>71</v>
      </c>
      <c r="F865" s="13" t="s">
        <v>15</v>
      </c>
      <c r="G865" s="13">
        <f t="shared" si="16"/>
        <v>7</v>
      </c>
      <c r="H865" s="4">
        <v>23.0</v>
      </c>
      <c r="K865" s="13">
        <v>30.0</v>
      </c>
      <c r="L865" s="13">
        <v>600000.0</v>
      </c>
      <c r="O865" s="13">
        <f t="shared" si="17"/>
        <v>30</v>
      </c>
    </row>
    <row r="866">
      <c r="B866" s="94">
        <v>46112.0</v>
      </c>
      <c r="C866" s="4" t="s">
        <v>114</v>
      </c>
      <c r="D866" s="4" t="s">
        <v>304</v>
      </c>
      <c r="E866" s="4" t="s">
        <v>303</v>
      </c>
      <c r="F866" s="13" t="s">
        <v>4</v>
      </c>
      <c r="K866" s="13">
        <v>0.0</v>
      </c>
      <c r="L866" s="13">
        <v>0.0</v>
      </c>
    </row>
    <row r="867">
      <c r="B867" s="94">
        <v>46112.0</v>
      </c>
      <c r="C867" s="4" t="s">
        <v>114</v>
      </c>
      <c r="D867" s="4" t="s">
        <v>304</v>
      </c>
      <c r="E867" s="4" t="s">
        <v>303</v>
      </c>
      <c r="F867" s="13" t="s">
        <v>5</v>
      </c>
      <c r="K867" s="13">
        <v>0.0</v>
      </c>
      <c r="L867" s="13">
        <v>0.0</v>
      </c>
    </row>
    <row r="868">
      <c r="B868" s="94">
        <v>46112.0</v>
      </c>
      <c r="C868" s="4" t="s">
        <v>114</v>
      </c>
      <c r="D868" s="4" t="s">
        <v>304</v>
      </c>
      <c r="E868" s="4" t="s">
        <v>303</v>
      </c>
      <c r="F868" s="13" t="s">
        <v>6</v>
      </c>
      <c r="K868" s="13">
        <v>0.0</v>
      </c>
      <c r="L868" s="13">
        <v>0.0</v>
      </c>
    </row>
    <row r="869">
      <c r="B869" s="94">
        <v>46112.0</v>
      </c>
      <c r="C869" s="4" t="s">
        <v>114</v>
      </c>
      <c r="D869" s="4" t="s">
        <v>304</v>
      </c>
      <c r="E869" s="4" t="s">
        <v>303</v>
      </c>
      <c r="F869" s="13" t="s">
        <v>7</v>
      </c>
      <c r="K869" s="13">
        <v>0.0</v>
      </c>
      <c r="L869" s="13">
        <v>0.0</v>
      </c>
    </row>
    <row r="870">
      <c r="B870" s="94">
        <v>46112.0</v>
      </c>
      <c r="C870" s="4" t="s">
        <v>114</v>
      </c>
      <c r="D870" s="4" t="s">
        <v>304</v>
      </c>
      <c r="E870" s="4" t="s">
        <v>303</v>
      </c>
      <c r="F870" s="13" t="s">
        <v>8</v>
      </c>
      <c r="K870" s="13">
        <v>0.0</v>
      </c>
      <c r="L870" s="13">
        <v>0.0</v>
      </c>
    </row>
    <row r="871">
      <c r="B871" s="94">
        <v>46112.0</v>
      </c>
      <c r="C871" s="4" t="s">
        <v>114</v>
      </c>
      <c r="D871" s="4" t="s">
        <v>304</v>
      </c>
      <c r="E871" s="4" t="s">
        <v>303</v>
      </c>
      <c r="F871" s="13" t="s">
        <v>9</v>
      </c>
      <c r="K871" s="13">
        <v>0.0</v>
      </c>
      <c r="L871" s="13">
        <v>0.0</v>
      </c>
    </row>
    <row r="872">
      <c r="B872" s="94">
        <v>46112.0</v>
      </c>
      <c r="C872" s="4" t="s">
        <v>114</v>
      </c>
      <c r="D872" s="4" t="s">
        <v>304</v>
      </c>
      <c r="E872" s="4" t="s">
        <v>303</v>
      </c>
      <c r="F872" s="13" t="s">
        <v>10</v>
      </c>
      <c r="K872" s="13">
        <v>0.0</v>
      </c>
      <c r="L872" s="13">
        <v>0.0</v>
      </c>
    </row>
    <row r="873">
      <c r="B873" s="94">
        <v>46112.0</v>
      </c>
      <c r="C873" s="4" t="s">
        <v>114</v>
      </c>
      <c r="D873" s="4" t="s">
        <v>304</v>
      </c>
      <c r="E873" s="4" t="s">
        <v>303</v>
      </c>
      <c r="F873" s="13" t="s">
        <v>11</v>
      </c>
      <c r="K873" s="13">
        <v>0.0</v>
      </c>
      <c r="L873" s="13">
        <v>0.0</v>
      </c>
    </row>
    <row r="874">
      <c r="B874" s="94">
        <v>46112.0</v>
      </c>
      <c r="C874" s="4" t="s">
        <v>114</v>
      </c>
      <c r="D874" s="4" t="s">
        <v>304</v>
      </c>
      <c r="E874" s="4" t="s">
        <v>303</v>
      </c>
      <c r="F874" s="13" t="s">
        <v>12</v>
      </c>
      <c r="K874" s="13">
        <v>0.0</v>
      </c>
      <c r="L874" s="13">
        <v>0.0</v>
      </c>
    </row>
    <row r="875">
      <c r="B875" s="94">
        <v>46112.0</v>
      </c>
      <c r="C875" s="4" t="s">
        <v>114</v>
      </c>
      <c r="D875" s="4" t="s">
        <v>304</v>
      </c>
      <c r="E875" s="4" t="s">
        <v>303</v>
      </c>
      <c r="F875" s="13" t="s">
        <v>13</v>
      </c>
      <c r="K875" s="13">
        <v>0.0</v>
      </c>
      <c r="L875" s="13">
        <v>0.0</v>
      </c>
    </row>
    <row r="876">
      <c r="B876" s="94">
        <v>46112.0</v>
      </c>
      <c r="C876" s="4" t="s">
        <v>114</v>
      </c>
      <c r="D876" s="4" t="s">
        <v>304</v>
      </c>
      <c r="E876" s="4" t="s">
        <v>303</v>
      </c>
      <c r="F876" s="13" t="s">
        <v>14</v>
      </c>
      <c r="K876" s="13">
        <v>0.0</v>
      </c>
      <c r="L876" s="13">
        <v>0.0</v>
      </c>
    </row>
    <row r="877">
      <c r="B877" s="94">
        <v>46112.0</v>
      </c>
      <c r="C877" s="4" t="s">
        <v>114</v>
      </c>
      <c r="D877" s="4" t="s">
        <v>304</v>
      </c>
      <c r="E877" s="4" t="s">
        <v>303</v>
      </c>
      <c r="F877" s="13" t="s">
        <v>15</v>
      </c>
      <c r="K877" s="13">
        <v>0.0</v>
      </c>
      <c r="L877" s="13">
        <v>0.0</v>
      </c>
    </row>
    <row r="878">
      <c r="B878" s="94">
        <f>B877+1</f>
        <v>46113</v>
      </c>
      <c r="C878" s="4" t="s">
        <v>113</v>
      </c>
      <c r="D878" s="4" t="s">
        <v>89</v>
      </c>
      <c r="E878" s="4" t="s">
        <v>86</v>
      </c>
      <c r="F878" s="13" t="s">
        <v>4</v>
      </c>
      <c r="H878" s="4">
        <v>12.0</v>
      </c>
      <c r="K878" s="13">
        <v>12.0</v>
      </c>
      <c r="L878" s="13">
        <v>240000.0</v>
      </c>
      <c r="M878" s="13">
        <f>sum(L878:L889)+500000+ 500000</f>
        <v>2850000</v>
      </c>
    </row>
    <row r="879">
      <c r="B879" s="94">
        <v>46113.0</v>
      </c>
      <c r="C879" s="4" t="s">
        <v>113</v>
      </c>
      <c r="D879" s="4" t="s">
        <v>89</v>
      </c>
      <c r="E879" s="4" t="s">
        <v>82</v>
      </c>
      <c r="F879" s="13" t="s">
        <v>5</v>
      </c>
      <c r="H879" s="4">
        <v>5.0</v>
      </c>
      <c r="I879" s="4">
        <v>4.0</v>
      </c>
      <c r="K879" s="13">
        <v>1.0</v>
      </c>
      <c r="L879" s="13">
        <v>20000.0</v>
      </c>
    </row>
    <row r="880">
      <c r="B880" s="94">
        <v>46113.0</v>
      </c>
      <c r="C880" s="4" t="s">
        <v>113</v>
      </c>
      <c r="D880" s="4" t="s">
        <v>89</v>
      </c>
      <c r="E880" s="4" t="s">
        <v>86</v>
      </c>
      <c r="F880" s="13" t="s">
        <v>6</v>
      </c>
      <c r="H880" s="4">
        <v>5.0</v>
      </c>
      <c r="I880" s="4">
        <v>4.0</v>
      </c>
      <c r="K880" s="13">
        <v>1.0</v>
      </c>
      <c r="L880" s="13">
        <v>20000.0</v>
      </c>
    </row>
    <row r="881">
      <c r="B881" s="94">
        <v>46113.0</v>
      </c>
      <c r="C881" s="4" t="s">
        <v>113</v>
      </c>
      <c r="D881" s="4" t="s">
        <v>89</v>
      </c>
      <c r="E881" s="4" t="s">
        <v>82</v>
      </c>
      <c r="F881" s="13" t="s">
        <v>7</v>
      </c>
      <c r="H881" s="4">
        <v>5.0</v>
      </c>
      <c r="I881" s="4">
        <v>1.0</v>
      </c>
      <c r="K881" s="13">
        <v>4.0</v>
      </c>
      <c r="L881" s="13">
        <v>80000.0</v>
      </c>
    </row>
    <row r="882">
      <c r="B882" s="94">
        <v>46113.0</v>
      </c>
      <c r="C882" s="4" t="s">
        <v>113</v>
      </c>
      <c r="D882" s="4" t="s">
        <v>89</v>
      </c>
      <c r="E882" s="4" t="s">
        <v>86</v>
      </c>
      <c r="F882" s="13" t="s">
        <v>8</v>
      </c>
      <c r="H882" s="4">
        <v>12.0</v>
      </c>
      <c r="I882" s="4">
        <v>5.0</v>
      </c>
      <c r="K882" s="13">
        <v>7.0</v>
      </c>
      <c r="L882" s="13">
        <v>140000.0</v>
      </c>
    </row>
    <row r="883">
      <c r="B883" s="94">
        <v>46113.0</v>
      </c>
      <c r="C883" s="4" t="s">
        <v>113</v>
      </c>
      <c r="D883" s="4" t="s">
        <v>89</v>
      </c>
      <c r="E883" s="4" t="s">
        <v>82</v>
      </c>
      <c r="F883" s="13" t="s">
        <v>9</v>
      </c>
      <c r="H883" s="4">
        <v>12.0</v>
      </c>
      <c r="K883" s="13">
        <v>12.0</v>
      </c>
      <c r="L883" s="13">
        <v>240000.0</v>
      </c>
    </row>
    <row r="884">
      <c r="B884" s="94">
        <v>46113.0</v>
      </c>
      <c r="C884" s="4" t="s">
        <v>113</v>
      </c>
      <c r="D884" s="4" t="s">
        <v>89</v>
      </c>
      <c r="E884" s="4" t="s">
        <v>86</v>
      </c>
      <c r="F884" s="13" t="s">
        <v>10</v>
      </c>
      <c r="H884" s="4">
        <v>5.0</v>
      </c>
      <c r="K884" s="13">
        <v>5.0</v>
      </c>
      <c r="L884" s="13">
        <v>100000.0</v>
      </c>
    </row>
    <row r="885">
      <c r="B885" s="94">
        <v>46113.0</v>
      </c>
      <c r="C885" s="4" t="s">
        <v>113</v>
      </c>
      <c r="D885" s="4" t="s">
        <v>89</v>
      </c>
      <c r="E885" s="4" t="s">
        <v>82</v>
      </c>
      <c r="F885" s="13" t="s">
        <v>11</v>
      </c>
      <c r="H885" s="4">
        <v>5.0</v>
      </c>
      <c r="I885" s="4">
        <v>2.0</v>
      </c>
      <c r="K885" s="13">
        <v>3.0</v>
      </c>
      <c r="L885" s="13">
        <v>60000.0</v>
      </c>
    </row>
    <row r="886">
      <c r="B886" s="94">
        <v>46113.0</v>
      </c>
      <c r="C886" s="4" t="s">
        <v>113</v>
      </c>
      <c r="D886" s="4" t="s">
        <v>89</v>
      </c>
      <c r="E886" s="4" t="s">
        <v>86</v>
      </c>
      <c r="F886" s="13" t="s">
        <v>12</v>
      </c>
      <c r="H886" s="4">
        <v>5.0</v>
      </c>
      <c r="I886" s="4">
        <v>1.0</v>
      </c>
      <c r="K886" s="13">
        <v>4.0</v>
      </c>
      <c r="L886" s="13">
        <v>80000.0</v>
      </c>
    </row>
    <row r="887">
      <c r="B887" s="94">
        <v>46113.0</v>
      </c>
      <c r="C887" s="4" t="s">
        <v>113</v>
      </c>
      <c r="D887" s="4" t="s">
        <v>89</v>
      </c>
      <c r="E887" s="4" t="s">
        <v>82</v>
      </c>
      <c r="F887" s="13" t="s">
        <v>13</v>
      </c>
      <c r="H887" s="4">
        <v>5.0</v>
      </c>
      <c r="K887" s="13">
        <v>5.0</v>
      </c>
      <c r="L887" s="13">
        <v>100000.0</v>
      </c>
    </row>
    <row r="888">
      <c r="B888" s="94">
        <v>46113.0</v>
      </c>
      <c r="C888" s="4" t="s">
        <v>113</v>
      </c>
      <c r="D888" s="4" t="s">
        <v>89</v>
      </c>
      <c r="E888" s="4" t="s">
        <v>86</v>
      </c>
      <c r="F888" s="13" t="s">
        <v>14</v>
      </c>
      <c r="H888" s="4">
        <v>5.0</v>
      </c>
      <c r="K888" s="13">
        <v>5.0</v>
      </c>
      <c r="L888" s="13">
        <v>110000.0</v>
      </c>
    </row>
    <row r="889">
      <c r="B889" s="94">
        <v>46113.0</v>
      </c>
      <c r="C889" s="4" t="s">
        <v>113</v>
      </c>
      <c r="D889" s="4" t="s">
        <v>89</v>
      </c>
      <c r="E889" s="4" t="s">
        <v>82</v>
      </c>
      <c r="F889" s="13" t="s">
        <v>15</v>
      </c>
      <c r="H889" s="4">
        <v>45.0</v>
      </c>
      <c r="I889" s="4">
        <v>12.0</v>
      </c>
      <c r="K889" s="13">
        <v>33.0</v>
      </c>
      <c r="L889" s="13">
        <v>660000.0</v>
      </c>
    </row>
    <row r="890">
      <c r="B890" s="94">
        <v>46113.0</v>
      </c>
      <c r="C890" s="4" t="s">
        <v>114</v>
      </c>
      <c r="D890" s="4" t="s">
        <v>89</v>
      </c>
      <c r="E890" s="13"/>
      <c r="F890" s="13" t="s">
        <v>4</v>
      </c>
      <c r="G890" s="13" t="str">
        <f t="shared" ref="G890:G901" si="18">I878</f>
        <v/>
      </c>
      <c r="K890" s="13">
        <v>0.0</v>
      </c>
      <c r="L890" s="13">
        <v>0.0</v>
      </c>
    </row>
    <row r="891">
      <c r="B891" s="94">
        <v>46113.0</v>
      </c>
      <c r="C891" s="4" t="s">
        <v>114</v>
      </c>
      <c r="D891" s="4" t="s">
        <v>89</v>
      </c>
      <c r="E891" s="13"/>
      <c r="F891" s="13" t="s">
        <v>5</v>
      </c>
      <c r="G891" s="13">
        <f t="shared" si="18"/>
        <v>4</v>
      </c>
      <c r="K891" s="13">
        <v>4.0</v>
      </c>
      <c r="L891" s="13">
        <v>80000.0</v>
      </c>
    </row>
    <row r="892">
      <c r="B892" s="94">
        <v>46113.0</v>
      </c>
      <c r="C892" s="4" t="s">
        <v>114</v>
      </c>
      <c r="D892" s="4" t="s">
        <v>89</v>
      </c>
      <c r="E892" s="13"/>
      <c r="F892" s="13" t="s">
        <v>6</v>
      </c>
      <c r="G892" s="13">
        <f t="shared" si="18"/>
        <v>4</v>
      </c>
      <c r="K892" s="13">
        <v>4.0</v>
      </c>
      <c r="L892" s="13">
        <v>80000.0</v>
      </c>
    </row>
    <row r="893">
      <c r="B893" s="94">
        <v>46113.0</v>
      </c>
      <c r="C893" s="4" t="s">
        <v>114</v>
      </c>
      <c r="D893" s="4" t="s">
        <v>89</v>
      </c>
      <c r="E893" s="13"/>
      <c r="F893" s="13" t="s">
        <v>7</v>
      </c>
      <c r="G893" s="13">
        <f t="shared" si="18"/>
        <v>1</v>
      </c>
      <c r="K893" s="13">
        <v>1.0</v>
      </c>
      <c r="L893" s="13">
        <v>20000.0</v>
      </c>
    </row>
    <row r="894">
      <c r="B894" s="94">
        <v>46113.0</v>
      </c>
      <c r="C894" s="4" t="s">
        <v>114</v>
      </c>
      <c r="D894" s="4" t="s">
        <v>89</v>
      </c>
      <c r="E894" s="13"/>
      <c r="F894" s="13" t="s">
        <v>8</v>
      </c>
      <c r="G894" s="13">
        <f t="shared" si="18"/>
        <v>5</v>
      </c>
      <c r="K894" s="13">
        <v>5.0</v>
      </c>
      <c r="L894" s="13">
        <v>100000.0</v>
      </c>
    </row>
    <row r="895">
      <c r="B895" s="94">
        <v>46113.0</v>
      </c>
      <c r="C895" s="4" t="s">
        <v>114</v>
      </c>
      <c r="D895" s="4" t="s">
        <v>89</v>
      </c>
      <c r="E895" s="13"/>
      <c r="F895" s="13" t="s">
        <v>9</v>
      </c>
      <c r="G895" s="13" t="str">
        <f t="shared" si="18"/>
        <v/>
      </c>
      <c r="K895" s="13">
        <v>0.0</v>
      </c>
      <c r="L895" s="13">
        <v>0.0</v>
      </c>
    </row>
    <row r="896">
      <c r="B896" s="94">
        <v>46113.0</v>
      </c>
      <c r="C896" s="4" t="s">
        <v>114</v>
      </c>
      <c r="D896" s="4" t="s">
        <v>89</v>
      </c>
      <c r="E896" s="13"/>
      <c r="F896" s="13" t="s">
        <v>10</v>
      </c>
      <c r="G896" s="13" t="str">
        <f t="shared" si="18"/>
        <v/>
      </c>
      <c r="K896" s="13">
        <v>0.0</v>
      </c>
      <c r="L896" s="13">
        <v>0.0</v>
      </c>
    </row>
    <row r="897">
      <c r="B897" s="94">
        <v>46113.0</v>
      </c>
      <c r="C897" s="4" t="s">
        <v>114</v>
      </c>
      <c r="D897" s="4" t="s">
        <v>89</v>
      </c>
      <c r="E897" s="13"/>
      <c r="F897" s="13" t="s">
        <v>11</v>
      </c>
      <c r="G897" s="13">
        <f t="shared" si="18"/>
        <v>2</v>
      </c>
      <c r="K897" s="13">
        <v>2.0</v>
      </c>
      <c r="L897" s="13">
        <v>40000.0</v>
      </c>
    </row>
    <row r="898">
      <c r="B898" s="94">
        <v>46113.0</v>
      </c>
      <c r="C898" s="4" t="s">
        <v>114</v>
      </c>
      <c r="D898" s="4" t="s">
        <v>89</v>
      </c>
      <c r="E898" s="13"/>
      <c r="F898" s="13" t="s">
        <v>12</v>
      </c>
      <c r="G898" s="13">
        <f t="shared" si="18"/>
        <v>1</v>
      </c>
      <c r="K898" s="13">
        <v>1.0</v>
      </c>
      <c r="L898" s="13">
        <v>20000.0</v>
      </c>
    </row>
    <row r="899">
      <c r="B899" s="94">
        <v>46113.0</v>
      </c>
      <c r="C899" s="4" t="s">
        <v>114</v>
      </c>
      <c r="D899" s="4" t="s">
        <v>89</v>
      </c>
      <c r="E899" s="13"/>
      <c r="F899" s="13" t="s">
        <v>13</v>
      </c>
      <c r="G899" s="13" t="str">
        <f t="shared" si="18"/>
        <v/>
      </c>
      <c r="K899" s="13">
        <v>0.0</v>
      </c>
      <c r="L899" s="13">
        <v>0.0</v>
      </c>
    </row>
    <row r="900">
      <c r="B900" s="94">
        <v>46113.0</v>
      </c>
      <c r="C900" s="4" t="s">
        <v>114</v>
      </c>
      <c r="D900" s="4" t="s">
        <v>89</v>
      </c>
      <c r="E900" s="13"/>
      <c r="F900" s="13" t="s">
        <v>14</v>
      </c>
      <c r="G900" s="13" t="str">
        <f t="shared" si="18"/>
        <v/>
      </c>
      <c r="K900" s="13">
        <v>0.0</v>
      </c>
      <c r="L900" s="13">
        <v>0.0</v>
      </c>
    </row>
    <row r="901">
      <c r="B901" s="94">
        <v>46113.0</v>
      </c>
      <c r="C901" s="4" t="s">
        <v>114</v>
      </c>
      <c r="D901" s="4" t="s">
        <v>89</v>
      </c>
      <c r="E901" s="13"/>
      <c r="F901" s="13" t="s">
        <v>15</v>
      </c>
      <c r="G901" s="13">
        <f t="shared" si="18"/>
        <v>12</v>
      </c>
      <c r="K901" s="13">
        <v>12.0</v>
      </c>
      <c r="L901" s="13">
        <v>240000.0</v>
      </c>
    </row>
    <row r="902">
      <c r="C902" s="4" t="s">
        <v>113</v>
      </c>
      <c r="D902" s="4" t="s">
        <v>304</v>
      </c>
      <c r="E902" s="4" t="s">
        <v>57</v>
      </c>
      <c r="F902" s="13" t="s">
        <v>4</v>
      </c>
      <c r="H902" s="4">
        <v>7.0</v>
      </c>
      <c r="I902" s="4">
        <v>1.0</v>
      </c>
      <c r="K902" s="13">
        <v>6.0</v>
      </c>
      <c r="L902" s="13">
        <v>120000.0</v>
      </c>
      <c r="M902" s="13">
        <f>sum(L902:L913)+500000</f>
        <v>1342000</v>
      </c>
    </row>
    <row r="903">
      <c r="C903" s="4" t="s">
        <v>113</v>
      </c>
      <c r="D903" s="4" t="s">
        <v>304</v>
      </c>
      <c r="E903" s="4" t="s">
        <v>57</v>
      </c>
      <c r="F903" s="13" t="s">
        <v>5</v>
      </c>
      <c r="H903" s="13">
        <v>4.0</v>
      </c>
      <c r="K903" s="13">
        <v>4.0</v>
      </c>
      <c r="L903" s="13">
        <v>80000.0</v>
      </c>
    </row>
    <row r="904">
      <c r="C904" s="4" t="s">
        <v>113</v>
      </c>
      <c r="D904" s="4" t="s">
        <v>304</v>
      </c>
      <c r="E904" s="4" t="s">
        <v>57</v>
      </c>
      <c r="F904" s="13" t="s">
        <v>6</v>
      </c>
      <c r="H904" s="4">
        <v>3.0</v>
      </c>
      <c r="I904" s="4">
        <v>2.0</v>
      </c>
      <c r="K904" s="13">
        <v>1.0</v>
      </c>
      <c r="L904" s="13">
        <v>20000.0</v>
      </c>
    </row>
    <row r="905">
      <c r="C905" s="4" t="s">
        <v>113</v>
      </c>
      <c r="D905" s="4" t="s">
        <v>304</v>
      </c>
      <c r="E905" s="4" t="s">
        <v>57</v>
      </c>
      <c r="F905" s="13" t="s">
        <v>7</v>
      </c>
      <c r="H905" s="4">
        <v>2.0</v>
      </c>
      <c r="I905" s="4">
        <v>1.0</v>
      </c>
      <c r="K905" s="13">
        <v>1.0</v>
      </c>
      <c r="L905" s="13">
        <v>20000.0</v>
      </c>
    </row>
    <row r="906">
      <c r="C906" s="4" t="s">
        <v>113</v>
      </c>
      <c r="D906" s="4" t="s">
        <v>304</v>
      </c>
      <c r="E906" s="4" t="s">
        <v>57</v>
      </c>
      <c r="F906" s="13" t="s">
        <v>8</v>
      </c>
      <c r="H906" s="4">
        <v>5.0</v>
      </c>
      <c r="I906" s="4">
        <v>2.0</v>
      </c>
      <c r="K906" s="13">
        <v>3.0</v>
      </c>
      <c r="L906" s="13">
        <v>60000.0</v>
      </c>
    </row>
    <row r="907">
      <c r="C907" s="4" t="s">
        <v>113</v>
      </c>
      <c r="D907" s="4" t="s">
        <v>304</v>
      </c>
      <c r="E907" s="4" t="s">
        <v>57</v>
      </c>
      <c r="F907" s="13" t="s">
        <v>9</v>
      </c>
      <c r="H907" s="4">
        <v>7.0</v>
      </c>
      <c r="I907" s="4">
        <v>2.0</v>
      </c>
      <c r="K907" s="13">
        <v>5.0</v>
      </c>
      <c r="L907" s="13">
        <v>100000.0</v>
      </c>
    </row>
    <row r="908">
      <c r="C908" s="4" t="s">
        <v>113</v>
      </c>
      <c r="D908" s="4" t="s">
        <v>304</v>
      </c>
      <c r="E908" s="4" t="s">
        <v>57</v>
      </c>
      <c r="F908" s="13" t="s">
        <v>10</v>
      </c>
      <c r="H908" s="13">
        <v>2.0</v>
      </c>
      <c r="K908" s="13">
        <v>2.0</v>
      </c>
      <c r="L908" s="13">
        <v>40000.0</v>
      </c>
    </row>
    <row r="909">
      <c r="C909" s="4" t="s">
        <v>113</v>
      </c>
      <c r="D909" s="4" t="s">
        <v>304</v>
      </c>
      <c r="E909" s="4" t="s">
        <v>57</v>
      </c>
      <c r="F909" s="13" t="s">
        <v>11</v>
      </c>
      <c r="H909" s="13">
        <v>0.0</v>
      </c>
      <c r="K909" s="13">
        <v>0.0</v>
      </c>
      <c r="L909" s="13">
        <v>0.0</v>
      </c>
    </row>
    <row r="910">
      <c r="C910" s="4" t="s">
        <v>113</v>
      </c>
      <c r="D910" s="4" t="s">
        <v>304</v>
      </c>
      <c r="E910" s="4" t="s">
        <v>57</v>
      </c>
      <c r="F910" s="13" t="s">
        <v>12</v>
      </c>
      <c r="H910" s="4">
        <v>2.0</v>
      </c>
      <c r="K910" s="13">
        <v>2.0</v>
      </c>
      <c r="L910" s="13">
        <v>40000.0</v>
      </c>
    </row>
    <row r="911">
      <c r="C911" s="4" t="s">
        <v>113</v>
      </c>
      <c r="D911" s="4" t="s">
        <v>304</v>
      </c>
      <c r="E911" s="4" t="s">
        <v>57</v>
      </c>
      <c r="F911" s="13" t="s">
        <v>13</v>
      </c>
      <c r="H911" s="13">
        <v>4.0</v>
      </c>
      <c r="I911" s="4">
        <v>1.0</v>
      </c>
      <c r="K911" s="13">
        <v>3.0</v>
      </c>
      <c r="L911" s="13">
        <v>60000.0</v>
      </c>
    </row>
    <row r="912">
      <c r="C912" s="4" t="s">
        <v>113</v>
      </c>
      <c r="D912" s="4" t="s">
        <v>304</v>
      </c>
      <c r="E912" s="4" t="s">
        <v>57</v>
      </c>
      <c r="F912" s="13" t="s">
        <v>14</v>
      </c>
      <c r="H912" s="13">
        <v>2.0</v>
      </c>
      <c r="I912" s="4">
        <v>1.0</v>
      </c>
      <c r="K912" s="13">
        <v>1.0</v>
      </c>
      <c r="L912" s="13">
        <v>22000.0</v>
      </c>
    </row>
    <row r="913">
      <c r="C913" s="4" t="s">
        <v>113</v>
      </c>
      <c r="D913" s="4" t="s">
        <v>304</v>
      </c>
      <c r="E913" s="4" t="s">
        <v>57</v>
      </c>
      <c r="F913" s="13" t="s">
        <v>15</v>
      </c>
      <c r="H913" s="4">
        <v>30.0</v>
      </c>
      <c r="I913" s="4">
        <v>16.0</v>
      </c>
      <c r="K913" s="13">
        <v>14.0</v>
      </c>
      <c r="L913" s="13">
        <v>280000.0</v>
      </c>
    </row>
    <row r="914">
      <c r="C914" s="4" t="s">
        <v>114</v>
      </c>
      <c r="D914" s="4" t="s">
        <v>304</v>
      </c>
      <c r="E914" s="13"/>
      <c r="F914" s="13" t="s">
        <v>4</v>
      </c>
      <c r="G914" s="13">
        <f t="shared" ref="G914:G925" si="19">I902</f>
        <v>1</v>
      </c>
      <c r="K914" s="13">
        <v>1.0</v>
      </c>
      <c r="L914" s="13">
        <v>20000.0</v>
      </c>
    </row>
    <row r="915">
      <c r="C915" s="4" t="s">
        <v>114</v>
      </c>
      <c r="D915" s="4" t="s">
        <v>304</v>
      </c>
      <c r="E915" s="13"/>
      <c r="F915" s="13" t="s">
        <v>5</v>
      </c>
      <c r="G915" s="13" t="str">
        <f t="shared" si="19"/>
        <v/>
      </c>
      <c r="K915" s="13">
        <v>0.0</v>
      </c>
      <c r="L915" s="13">
        <v>0.0</v>
      </c>
    </row>
    <row r="916">
      <c r="C916" s="4" t="s">
        <v>114</v>
      </c>
      <c r="D916" s="4" t="s">
        <v>304</v>
      </c>
      <c r="E916" s="13"/>
      <c r="F916" s="13" t="s">
        <v>6</v>
      </c>
      <c r="G916" s="13">
        <f t="shared" si="19"/>
        <v>2</v>
      </c>
      <c r="K916" s="13">
        <v>2.0</v>
      </c>
      <c r="L916" s="13">
        <v>40000.0</v>
      </c>
    </row>
    <row r="917">
      <c r="C917" s="4" t="s">
        <v>114</v>
      </c>
      <c r="D917" s="4" t="s">
        <v>304</v>
      </c>
      <c r="E917" s="13"/>
      <c r="F917" s="13" t="s">
        <v>7</v>
      </c>
      <c r="G917" s="13">
        <f t="shared" si="19"/>
        <v>1</v>
      </c>
      <c r="K917" s="13">
        <v>1.0</v>
      </c>
      <c r="L917" s="13">
        <v>20000.0</v>
      </c>
    </row>
    <row r="918">
      <c r="C918" s="4" t="s">
        <v>114</v>
      </c>
      <c r="D918" s="4" t="s">
        <v>304</v>
      </c>
      <c r="E918" s="13"/>
      <c r="F918" s="13" t="s">
        <v>8</v>
      </c>
      <c r="G918" s="13">
        <f t="shared" si="19"/>
        <v>2</v>
      </c>
      <c r="K918" s="13">
        <v>2.0</v>
      </c>
      <c r="L918" s="13">
        <v>40000.0</v>
      </c>
    </row>
    <row r="919">
      <c r="C919" s="4" t="s">
        <v>114</v>
      </c>
      <c r="D919" s="4" t="s">
        <v>304</v>
      </c>
      <c r="E919" s="13"/>
      <c r="F919" s="13" t="s">
        <v>9</v>
      </c>
      <c r="G919" s="13">
        <f t="shared" si="19"/>
        <v>2</v>
      </c>
      <c r="K919" s="13">
        <v>2.0</v>
      </c>
      <c r="L919" s="13">
        <v>40000.0</v>
      </c>
    </row>
    <row r="920">
      <c r="C920" s="4" t="s">
        <v>114</v>
      </c>
      <c r="D920" s="4" t="s">
        <v>304</v>
      </c>
      <c r="E920" s="13"/>
      <c r="F920" s="13" t="s">
        <v>10</v>
      </c>
      <c r="G920" s="13" t="str">
        <f t="shared" si="19"/>
        <v/>
      </c>
      <c r="K920" s="13">
        <v>0.0</v>
      </c>
      <c r="L920" s="13">
        <v>0.0</v>
      </c>
    </row>
    <row r="921">
      <c r="C921" s="4" t="s">
        <v>114</v>
      </c>
      <c r="D921" s="4" t="s">
        <v>304</v>
      </c>
      <c r="E921" s="13"/>
      <c r="F921" s="13" t="s">
        <v>11</v>
      </c>
      <c r="G921" s="13" t="str">
        <f t="shared" si="19"/>
        <v/>
      </c>
      <c r="K921" s="13">
        <v>0.0</v>
      </c>
      <c r="L921" s="13">
        <v>0.0</v>
      </c>
    </row>
    <row r="922">
      <c r="C922" s="4" t="s">
        <v>114</v>
      </c>
      <c r="D922" s="4" t="s">
        <v>304</v>
      </c>
      <c r="E922" s="13"/>
      <c r="F922" s="13" t="s">
        <v>12</v>
      </c>
      <c r="G922" s="13" t="str">
        <f t="shared" si="19"/>
        <v/>
      </c>
      <c r="K922" s="13">
        <v>0.0</v>
      </c>
      <c r="L922" s="13">
        <v>0.0</v>
      </c>
    </row>
    <row r="923">
      <c r="C923" s="4" t="s">
        <v>114</v>
      </c>
      <c r="D923" s="4" t="s">
        <v>304</v>
      </c>
      <c r="E923" s="13"/>
      <c r="F923" s="13" t="s">
        <v>13</v>
      </c>
      <c r="G923" s="13">
        <f t="shared" si="19"/>
        <v>1</v>
      </c>
      <c r="K923" s="13">
        <v>1.0</v>
      </c>
      <c r="L923" s="13">
        <v>20000.0</v>
      </c>
    </row>
    <row r="924">
      <c r="C924" s="4" t="s">
        <v>114</v>
      </c>
      <c r="D924" s="4" t="s">
        <v>304</v>
      </c>
      <c r="E924" s="13"/>
      <c r="F924" s="13" t="s">
        <v>14</v>
      </c>
      <c r="G924" s="13">
        <f t="shared" si="19"/>
        <v>1</v>
      </c>
      <c r="K924" s="13">
        <v>1.0</v>
      </c>
      <c r="L924" s="13">
        <v>22000.0</v>
      </c>
    </row>
    <row r="925">
      <c r="C925" s="4" t="s">
        <v>114</v>
      </c>
      <c r="D925" s="4" t="s">
        <v>304</v>
      </c>
      <c r="E925" s="13"/>
      <c r="F925" s="13" t="s">
        <v>15</v>
      </c>
      <c r="G925" s="13">
        <f t="shared" si="19"/>
        <v>16</v>
      </c>
      <c r="K925" s="13">
        <v>16.0</v>
      </c>
      <c r="L925" s="13">
        <v>320000.0</v>
      </c>
    </row>
    <row r="926">
      <c r="C926" s="4" t="s">
        <v>113</v>
      </c>
      <c r="D926" s="4" t="s">
        <v>80</v>
      </c>
      <c r="E926" s="4" t="s">
        <v>53</v>
      </c>
      <c r="F926" s="13" t="s">
        <v>4</v>
      </c>
      <c r="H926" s="4">
        <v>7.0</v>
      </c>
      <c r="K926" s="13">
        <v>7.0</v>
      </c>
      <c r="L926" s="13">
        <v>140000.0</v>
      </c>
      <c r="M926" s="13">
        <f>sum(L926:L937)+500000</f>
        <v>2024000</v>
      </c>
    </row>
    <row r="927">
      <c r="C927" s="4" t="s">
        <v>113</v>
      </c>
      <c r="D927" s="4" t="s">
        <v>80</v>
      </c>
      <c r="E927" s="4" t="s">
        <v>53</v>
      </c>
      <c r="F927" s="13" t="s">
        <v>5</v>
      </c>
      <c r="H927" s="4">
        <v>5.0</v>
      </c>
      <c r="K927" s="13">
        <v>5.0</v>
      </c>
      <c r="L927" s="13">
        <v>100000.0</v>
      </c>
    </row>
    <row r="928">
      <c r="C928" s="4" t="s">
        <v>113</v>
      </c>
      <c r="D928" s="4" t="s">
        <v>80</v>
      </c>
      <c r="E928" s="4" t="s">
        <v>53</v>
      </c>
      <c r="F928" s="13" t="s">
        <v>6</v>
      </c>
      <c r="H928" s="4">
        <v>4.0</v>
      </c>
      <c r="K928" s="13">
        <v>4.0</v>
      </c>
      <c r="L928" s="13">
        <v>80000.0</v>
      </c>
    </row>
    <row r="929">
      <c r="C929" s="4" t="s">
        <v>113</v>
      </c>
      <c r="D929" s="4" t="s">
        <v>80</v>
      </c>
      <c r="E929" s="4" t="s">
        <v>53</v>
      </c>
      <c r="F929" s="13" t="s">
        <v>7</v>
      </c>
      <c r="H929" s="4">
        <v>3.0</v>
      </c>
      <c r="K929" s="13">
        <v>3.0</v>
      </c>
      <c r="L929" s="13">
        <v>60000.0</v>
      </c>
    </row>
    <row r="930">
      <c r="C930" s="4" t="s">
        <v>113</v>
      </c>
      <c r="D930" s="4" t="s">
        <v>80</v>
      </c>
      <c r="E930" s="4" t="s">
        <v>53</v>
      </c>
      <c r="F930" s="13" t="s">
        <v>8</v>
      </c>
      <c r="H930" s="4">
        <v>6.0</v>
      </c>
      <c r="K930" s="13">
        <v>6.0</v>
      </c>
      <c r="L930" s="13">
        <v>120000.0</v>
      </c>
    </row>
    <row r="931">
      <c r="C931" s="4" t="s">
        <v>113</v>
      </c>
      <c r="D931" s="4" t="s">
        <v>80</v>
      </c>
      <c r="E931" s="4" t="s">
        <v>53</v>
      </c>
      <c r="F931" s="13" t="s">
        <v>9</v>
      </c>
      <c r="H931" s="4">
        <v>6.0</v>
      </c>
      <c r="K931" s="13">
        <v>6.0</v>
      </c>
      <c r="L931" s="13">
        <v>120000.0</v>
      </c>
    </row>
    <row r="932">
      <c r="C932" s="4" t="s">
        <v>113</v>
      </c>
      <c r="D932" s="4" t="s">
        <v>80</v>
      </c>
      <c r="E932" s="4" t="s">
        <v>53</v>
      </c>
      <c r="F932" s="13" t="s">
        <v>10</v>
      </c>
      <c r="H932" s="4">
        <v>3.0</v>
      </c>
      <c r="K932" s="13">
        <v>3.0</v>
      </c>
      <c r="L932" s="13">
        <v>60000.0</v>
      </c>
    </row>
    <row r="933">
      <c r="C933" s="4" t="s">
        <v>113</v>
      </c>
      <c r="D933" s="4" t="s">
        <v>80</v>
      </c>
      <c r="E933" s="4" t="s">
        <v>53</v>
      </c>
      <c r="F933" s="13" t="s">
        <v>11</v>
      </c>
      <c r="H933" s="4">
        <v>3.0</v>
      </c>
      <c r="K933" s="13">
        <v>3.0</v>
      </c>
      <c r="L933" s="13">
        <v>60000.0</v>
      </c>
    </row>
    <row r="934">
      <c r="C934" s="4" t="s">
        <v>113</v>
      </c>
      <c r="D934" s="4" t="s">
        <v>80</v>
      </c>
      <c r="E934" s="4" t="s">
        <v>53</v>
      </c>
      <c r="F934" s="13" t="s">
        <v>12</v>
      </c>
      <c r="H934" s="4">
        <v>3.0</v>
      </c>
      <c r="K934" s="13">
        <v>3.0</v>
      </c>
      <c r="L934" s="13">
        <v>60000.0</v>
      </c>
    </row>
    <row r="935">
      <c r="C935" s="4" t="s">
        <v>113</v>
      </c>
      <c r="D935" s="4" t="s">
        <v>80</v>
      </c>
      <c r="E935" s="4" t="s">
        <v>53</v>
      </c>
      <c r="F935" s="13" t="s">
        <v>13</v>
      </c>
      <c r="H935" s="4">
        <v>4.0</v>
      </c>
      <c r="K935" s="13">
        <v>4.0</v>
      </c>
      <c r="L935" s="13">
        <v>80000.0</v>
      </c>
    </row>
    <row r="936">
      <c r="C936" s="4" t="s">
        <v>113</v>
      </c>
      <c r="D936" s="4" t="s">
        <v>80</v>
      </c>
      <c r="E936" s="4" t="s">
        <v>53</v>
      </c>
      <c r="F936" s="13" t="s">
        <v>14</v>
      </c>
      <c r="H936" s="4">
        <v>2.0</v>
      </c>
      <c r="K936" s="13">
        <v>2.0</v>
      </c>
      <c r="L936" s="13">
        <v>44000.0</v>
      </c>
    </row>
    <row r="937">
      <c r="C937" s="4" t="s">
        <v>113</v>
      </c>
      <c r="D937" s="4" t="s">
        <v>80</v>
      </c>
      <c r="E937" s="4" t="s">
        <v>53</v>
      </c>
      <c r="F937" s="13" t="s">
        <v>15</v>
      </c>
      <c r="H937" s="4">
        <v>30.0</v>
      </c>
      <c r="K937" s="13">
        <v>30.0</v>
      </c>
      <c r="L937" s="13">
        <v>600000.0</v>
      </c>
    </row>
    <row r="938">
      <c r="C938" s="4" t="s">
        <v>114</v>
      </c>
      <c r="D938" s="13"/>
      <c r="E938" s="13"/>
      <c r="F938" s="13" t="s">
        <v>4</v>
      </c>
      <c r="K938" s="13">
        <v>0.0</v>
      </c>
      <c r="L938" s="13">
        <v>0.0</v>
      </c>
    </row>
    <row r="939">
      <c r="C939" s="4" t="s">
        <v>114</v>
      </c>
      <c r="D939" s="13"/>
      <c r="E939" s="13"/>
      <c r="F939" s="13" t="s">
        <v>5</v>
      </c>
      <c r="K939" s="13">
        <v>0.0</v>
      </c>
      <c r="L939" s="13">
        <v>0.0</v>
      </c>
    </row>
    <row r="940">
      <c r="C940" s="4" t="s">
        <v>114</v>
      </c>
      <c r="D940" s="13"/>
      <c r="E940" s="13"/>
      <c r="F940" s="13" t="s">
        <v>6</v>
      </c>
      <c r="K940" s="13">
        <v>0.0</v>
      </c>
      <c r="L940" s="13">
        <v>0.0</v>
      </c>
    </row>
    <row r="941">
      <c r="C941" s="4" t="s">
        <v>114</v>
      </c>
      <c r="D941" s="13"/>
      <c r="E941" s="13"/>
      <c r="F941" s="13" t="s">
        <v>7</v>
      </c>
      <c r="K941" s="13">
        <v>0.0</v>
      </c>
      <c r="L941" s="13">
        <v>0.0</v>
      </c>
    </row>
    <row r="942">
      <c r="C942" s="4" t="s">
        <v>114</v>
      </c>
      <c r="D942" s="13"/>
      <c r="E942" s="13"/>
      <c r="F942" s="13" t="s">
        <v>8</v>
      </c>
      <c r="K942" s="13">
        <v>0.0</v>
      </c>
      <c r="L942" s="13">
        <v>0.0</v>
      </c>
    </row>
    <row r="943">
      <c r="C943" s="4" t="s">
        <v>114</v>
      </c>
      <c r="D943" s="13"/>
      <c r="E943" s="13"/>
      <c r="F943" s="13" t="s">
        <v>9</v>
      </c>
      <c r="K943" s="13">
        <v>0.0</v>
      </c>
      <c r="L943" s="13">
        <v>0.0</v>
      </c>
    </row>
    <row r="944">
      <c r="C944" s="4" t="s">
        <v>114</v>
      </c>
      <c r="D944" s="13"/>
      <c r="E944" s="13"/>
      <c r="F944" s="13" t="s">
        <v>10</v>
      </c>
      <c r="K944" s="13">
        <v>0.0</v>
      </c>
      <c r="L944" s="13">
        <v>0.0</v>
      </c>
    </row>
    <row r="945">
      <c r="C945" s="4" t="s">
        <v>114</v>
      </c>
      <c r="D945" s="13"/>
      <c r="E945" s="13"/>
      <c r="F945" s="13" t="s">
        <v>11</v>
      </c>
      <c r="K945" s="13">
        <v>0.0</v>
      </c>
      <c r="L945" s="13">
        <v>0.0</v>
      </c>
    </row>
    <row r="946">
      <c r="C946" s="4" t="s">
        <v>114</v>
      </c>
      <c r="D946" s="13"/>
      <c r="E946" s="13"/>
      <c r="F946" s="13" t="s">
        <v>12</v>
      </c>
      <c r="K946" s="13">
        <v>0.0</v>
      </c>
      <c r="L946" s="13">
        <v>0.0</v>
      </c>
    </row>
    <row r="947">
      <c r="C947" s="4" t="s">
        <v>114</v>
      </c>
      <c r="D947" s="13"/>
      <c r="E947" s="13"/>
      <c r="F947" s="13" t="s">
        <v>13</v>
      </c>
      <c r="K947" s="13">
        <v>0.0</v>
      </c>
      <c r="L947" s="13">
        <v>0.0</v>
      </c>
    </row>
    <row r="948">
      <c r="C948" s="4" t="s">
        <v>114</v>
      </c>
      <c r="D948" s="13"/>
      <c r="E948" s="13"/>
      <c r="F948" s="13" t="s">
        <v>14</v>
      </c>
      <c r="K948" s="13">
        <v>0.0</v>
      </c>
      <c r="L948" s="13">
        <v>0.0</v>
      </c>
    </row>
    <row r="949">
      <c r="C949" s="4" t="s">
        <v>114</v>
      </c>
      <c r="D949" s="13"/>
      <c r="E949" s="13"/>
      <c r="F949" s="13" t="s">
        <v>15</v>
      </c>
      <c r="K949" s="13">
        <v>0.0</v>
      </c>
      <c r="L949" s="13">
        <v>0.0</v>
      </c>
    </row>
    <row r="950">
      <c r="C950" s="13"/>
      <c r="D950" s="13"/>
      <c r="E950" s="13"/>
      <c r="K950" s="13"/>
      <c r="L950" s="13"/>
    </row>
    <row r="951">
      <c r="C951" s="13"/>
      <c r="D951" s="13"/>
      <c r="E951" s="13"/>
      <c r="K951" s="13"/>
      <c r="L951" s="13"/>
    </row>
    <row r="952">
      <c r="C952" s="13"/>
      <c r="D952" s="13"/>
      <c r="E952" s="13"/>
      <c r="K952" s="13"/>
      <c r="L952" s="13"/>
    </row>
    <row r="953">
      <c r="C953" s="13"/>
      <c r="D953" s="13"/>
      <c r="E953" s="13"/>
      <c r="K953" s="13"/>
      <c r="L953" s="13"/>
    </row>
    <row r="954">
      <c r="C954" s="13"/>
      <c r="D954" s="13"/>
      <c r="E954" s="13"/>
      <c r="K954" s="13"/>
      <c r="L954" s="13"/>
    </row>
    <row r="955">
      <c r="C955" s="13"/>
      <c r="D955" s="13"/>
      <c r="E955" s="13"/>
      <c r="K955" s="13"/>
      <c r="L955" s="13"/>
    </row>
    <row r="956">
      <c r="C956" s="13"/>
      <c r="D956" s="13"/>
      <c r="E956" s="13"/>
      <c r="K956" s="13"/>
      <c r="L956" s="13"/>
    </row>
    <row r="957">
      <c r="C957" s="13"/>
      <c r="D957" s="13"/>
      <c r="E957" s="13"/>
      <c r="K957" s="13"/>
      <c r="L957" s="13"/>
    </row>
    <row r="958">
      <c r="C958" s="13"/>
      <c r="D958" s="13"/>
      <c r="E958" s="13"/>
      <c r="K958" s="13"/>
      <c r="L958" s="13"/>
    </row>
    <row r="959">
      <c r="C959" s="13"/>
      <c r="D959" s="13"/>
      <c r="E959" s="13"/>
      <c r="K959" s="13"/>
      <c r="L959" s="13"/>
    </row>
    <row r="960">
      <c r="C960" s="13"/>
      <c r="D960" s="13"/>
      <c r="E960" s="13"/>
      <c r="K960" s="13"/>
      <c r="L960" s="13"/>
    </row>
    <row r="961">
      <c r="C961" s="13"/>
      <c r="D961" s="13"/>
      <c r="E961" s="13"/>
      <c r="K961" s="13"/>
      <c r="L961" s="13"/>
    </row>
    <row r="962">
      <c r="C962" s="13"/>
      <c r="D962" s="13"/>
      <c r="E962" s="13"/>
      <c r="K962" s="13"/>
      <c r="L962" s="13"/>
    </row>
    <row r="963">
      <c r="C963" s="13"/>
      <c r="D963" s="13"/>
      <c r="E963" s="13"/>
      <c r="K963" s="13"/>
      <c r="L963" s="13"/>
    </row>
    <row r="964">
      <c r="C964" s="13"/>
      <c r="D964" s="13"/>
      <c r="E964" s="13"/>
      <c r="K964" s="13"/>
      <c r="L964" s="13"/>
    </row>
    <row r="965">
      <c r="C965" s="13"/>
      <c r="D965" s="13"/>
      <c r="E965" s="13"/>
      <c r="K965" s="13"/>
      <c r="L965" s="13"/>
    </row>
    <row r="966">
      <c r="C966" s="13"/>
      <c r="D966" s="13"/>
      <c r="E966" s="13"/>
      <c r="K966" s="13"/>
      <c r="L966" s="13"/>
    </row>
    <row r="967">
      <c r="C967" s="13"/>
      <c r="D967" s="13"/>
      <c r="E967" s="13"/>
      <c r="K967" s="13"/>
      <c r="L967" s="13"/>
    </row>
    <row r="968">
      <c r="C968" s="13"/>
      <c r="D968" s="13"/>
      <c r="E968" s="13"/>
      <c r="K968" s="13"/>
      <c r="L968" s="13"/>
    </row>
    <row r="969">
      <c r="C969" s="13"/>
      <c r="D969" s="13"/>
      <c r="E969" s="13"/>
      <c r="K969" s="13"/>
      <c r="L969" s="13"/>
    </row>
    <row r="970">
      <c r="C970" s="13"/>
      <c r="D970" s="13"/>
      <c r="E970" s="13"/>
      <c r="K970" s="13"/>
      <c r="L970" s="13"/>
    </row>
    <row r="971">
      <c r="C971" s="13"/>
      <c r="D971" s="13"/>
      <c r="E971" s="13"/>
      <c r="K971" s="13"/>
      <c r="L971" s="13"/>
    </row>
    <row r="972">
      <c r="C972" s="13"/>
      <c r="D972" s="13"/>
      <c r="E972" s="13"/>
      <c r="K972" s="13"/>
      <c r="L972" s="13"/>
    </row>
    <row r="973">
      <c r="C973" s="13"/>
      <c r="D973" s="13"/>
      <c r="E973" s="13"/>
      <c r="K973" s="13"/>
      <c r="L973" s="13"/>
    </row>
    <row r="974">
      <c r="C974" s="13"/>
      <c r="D974" s="13"/>
      <c r="E974" s="13"/>
      <c r="K974" s="13"/>
      <c r="L974" s="13"/>
    </row>
    <row r="975">
      <c r="C975" s="13"/>
      <c r="D975" s="13"/>
      <c r="E975" s="13"/>
      <c r="K975" s="13"/>
      <c r="L975" s="13"/>
    </row>
    <row r="976">
      <c r="C976" s="13"/>
      <c r="D976" s="13"/>
      <c r="E976" s="13"/>
      <c r="K976" s="13"/>
      <c r="L976" s="13"/>
    </row>
    <row r="977">
      <c r="C977" s="13"/>
      <c r="D977" s="13"/>
      <c r="E977" s="13"/>
      <c r="K977" s="13"/>
      <c r="L977" s="13"/>
    </row>
    <row r="978">
      <c r="C978" s="13"/>
      <c r="D978" s="13"/>
      <c r="E978" s="13"/>
      <c r="K978" s="13"/>
      <c r="L978" s="13"/>
    </row>
    <row r="979">
      <c r="C979" s="13"/>
      <c r="D979" s="13"/>
      <c r="E979" s="13"/>
      <c r="K979" s="13"/>
      <c r="L979" s="13"/>
    </row>
    <row r="980">
      <c r="C980" s="13"/>
      <c r="D980" s="13"/>
      <c r="E980" s="13"/>
      <c r="K980" s="13"/>
      <c r="L980" s="13"/>
    </row>
    <row r="981">
      <c r="C981" s="13"/>
      <c r="D981" s="13"/>
      <c r="E981" s="13"/>
      <c r="K981" s="13"/>
      <c r="L981" s="13"/>
    </row>
    <row r="982">
      <c r="C982" s="13"/>
      <c r="D982" s="13"/>
      <c r="E982" s="13"/>
      <c r="K982" s="13"/>
      <c r="L982" s="13"/>
    </row>
    <row r="983">
      <c r="C983" s="13"/>
      <c r="D983" s="13"/>
      <c r="E983" s="13"/>
      <c r="K983" s="13"/>
      <c r="L983" s="13"/>
    </row>
    <row r="984">
      <c r="C984" s="13"/>
      <c r="D984" s="13"/>
      <c r="E984" s="13"/>
      <c r="K984" s="13"/>
      <c r="L984" s="13"/>
    </row>
    <row r="985">
      <c r="C985" s="13"/>
      <c r="D985" s="13"/>
      <c r="E985" s="13"/>
      <c r="K985" s="13"/>
      <c r="L985" s="13"/>
    </row>
    <row r="986">
      <c r="C986" s="13"/>
      <c r="D986" s="13"/>
      <c r="E986" s="13"/>
      <c r="K986" s="13"/>
      <c r="L986" s="13"/>
    </row>
    <row r="987">
      <c r="C987" s="13"/>
      <c r="D987" s="13"/>
      <c r="E987" s="13"/>
      <c r="K987" s="13"/>
      <c r="L987" s="13"/>
    </row>
    <row r="988">
      <c r="C988" s="13"/>
      <c r="D988" s="13"/>
      <c r="E988" s="13"/>
      <c r="K988" s="13"/>
      <c r="L988" s="13"/>
    </row>
    <row r="989">
      <c r="C989" s="13"/>
      <c r="D989" s="13"/>
      <c r="E989" s="13"/>
      <c r="K989" s="13"/>
      <c r="L989" s="13"/>
    </row>
    <row r="990">
      <c r="C990" s="13"/>
      <c r="D990" s="13"/>
      <c r="E990" s="13"/>
      <c r="K990" s="13"/>
      <c r="L990" s="13"/>
    </row>
    <row r="991">
      <c r="C991" s="13"/>
      <c r="D991" s="13"/>
      <c r="E991" s="13"/>
      <c r="K991" s="13"/>
      <c r="L991" s="13"/>
    </row>
    <row r="992">
      <c r="C992" s="13"/>
      <c r="D992" s="13"/>
      <c r="E992" s="13"/>
      <c r="K992" s="13"/>
      <c r="L992" s="13"/>
    </row>
    <row r="993">
      <c r="C993" s="13"/>
      <c r="D993" s="13"/>
      <c r="E993" s="13"/>
      <c r="K993" s="13"/>
      <c r="L993" s="13"/>
    </row>
    <row r="994">
      <c r="C994" s="13"/>
      <c r="D994" s="13"/>
      <c r="E994" s="13"/>
      <c r="K994" s="13"/>
      <c r="L994" s="13"/>
    </row>
    <row r="995">
      <c r="C995" s="13"/>
      <c r="D995" s="13"/>
      <c r="E995" s="13"/>
      <c r="K995" s="13"/>
      <c r="L995" s="13"/>
    </row>
    <row r="996">
      <c r="C996" s="13"/>
      <c r="D996" s="13"/>
      <c r="E996" s="13"/>
      <c r="K996" s="13"/>
      <c r="L996" s="13"/>
    </row>
    <row r="997">
      <c r="C997" s="13"/>
      <c r="D997" s="13"/>
      <c r="E997" s="13"/>
      <c r="K997" s="13"/>
      <c r="L997" s="13"/>
    </row>
    <row r="998">
      <c r="C998" s="13"/>
      <c r="D998" s="13"/>
      <c r="E998" s="13"/>
      <c r="K998" s="13"/>
      <c r="L998" s="13"/>
    </row>
    <row r="999">
      <c r="C999" s="13"/>
      <c r="D999" s="13"/>
      <c r="E999" s="13"/>
      <c r="K999" s="13"/>
      <c r="L999" s="13"/>
    </row>
    <row r="1000">
      <c r="C1000" s="13"/>
      <c r="D1000" s="13"/>
      <c r="E1000" s="13"/>
      <c r="K1000" s="13"/>
      <c r="L1000" s="13"/>
    </row>
    <row r="1001">
      <c r="C1001" s="13"/>
      <c r="D1001" s="13"/>
      <c r="E1001" s="13"/>
      <c r="K1001" s="13"/>
      <c r="L1001" s="13"/>
    </row>
    <row r="1002">
      <c r="C1002" s="13"/>
      <c r="D1002" s="13"/>
      <c r="E1002" s="13"/>
      <c r="K1002" s="13"/>
      <c r="L1002" s="13"/>
    </row>
    <row r="1003">
      <c r="C1003" s="13"/>
      <c r="D1003" s="13"/>
      <c r="E1003" s="13"/>
      <c r="K1003" s="13"/>
      <c r="L1003" s="13"/>
    </row>
    <row r="1004">
      <c r="C1004" s="13"/>
      <c r="D1004" s="13"/>
      <c r="E1004" s="13"/>
      <c r="K1004" s="13"/>
      <c r="L1004" s="13"/>
    </row>
    <row r="1005">
      <c r="C1005" s="13"/>
      <c r="D1005" s="13"/>
      <c r="E1005" s="13"/>
      <c r="K1005" s="13"/>
      <c r="L1005" s="13"/>
    </row>
    <row r="1006">
      <c r="C1006" s="13"/>
      <c r="D1006" s="13"/>
      <c r="E1006" s="13"/>
      <c r="K1006" s="13"/>
      <c r="L1006" s="13"/>
    </row>
    <row r="1007">
      <c r="C1007" s="13"/>
      <c r="D1007" s="13"/>
      <c r="E1007" s="13"/>
      <c r="K1007" s="13"/>
      <c r="L1007" s="13"/>
    </row>
    <row r="1008">
      <c r="C1008" s="13"/>
      <c r="D1008" s="13"/>
      <c r="E1008" s="13"/>
      <c r="K1008" s="13"/>
      <c r="L1008" s="13"/>
    </row>
    <row r="1009">
      <c r="C1009" s="13"/>
      <c r="D1009" s="13"/>
      <c r="E1009" s="13"/>
      <c r="K1009" s="13"/>
      <c r="L1009" s="13"/>
    </row>
    <row r="1010">
      <c r="C1010" s="13"/>
      <c r="D1010" s="13"/>
      <c r="E1010" s="13"/>
      <c r="K1010" s="13"/>
      <c r="L1010" s="13"/>
    </row>
    <row r="1011">
      <c r="C1011" s="13"/>
      <c r="D1011" s="13"/>
      <c r="E1011" s="13"/>
      <c r="K1011" s="13"/>
      <c r="L1011" s="13"/>
    </row>
    <row r="1012">
      <c r="C1012" s="13"/>
      <c r="D1012" s="13"/>
      <c r="E1012" s="13"/>
      <c r="K1012" s="13"/>
      <c r="L1012" s="13"/>
    </row>
    <row r="1013">
      <c r="C1013" s="13"/>
      <c r="D1013" s="13"/>
      <c r="E1013" s="13"/>
      <c r="K1013" s="13"/>
      <c r="L1013" s="13"/>
    </row>
    <row r="1014">
      <c r="C1014" s="13"/>
      <c r="D1014" s="13"/>
      <c r="E1014" s="13"/>
      <c r="K1014" s="13"/>
      <c r="L1014" s="13"/>
    </row>
    <row r="1015">
      <c r="C1015" s="13"/>
      <c r="D1015" s="13"/>
      <c r="E1015" s="13"/>
      <c r="K1015" s="13"/>
      <c r="L1015" s="13"/>
    </row>
    <row r="1016">
      <c r="C1016" s="13"/>
      <c r="D1016" s="13"/>
      <c r="E1016" s="13"/>
      <c r="K1016" s="13"/>
      <c r="L1016" s="13"/>
    </row>
    <row r="1017">
      <c r="C1017" s="13"/>
      <c r="D1017" s="13"/>
      <c r="E1017" s="13"/>
      <c r="K1017" s="13"/>
      <c r="L1017" s="13"/>
    </row>
    <row r="1018">
      <c r="C1018" s="13"/>
      <c r="D1018" s="13"/>
      <c r="E1018" s="13"/>
      <c r="K1018" s="13"/>
      <c r="L1018" s="13"/>
    </row>
    <row r="1019">
      <c r="C1019" s="13"/>
      <c r="D1019" s="13"/>
      <c r="E1019" s="13"/>
      <c r="K1019" s="13"/>
      <c r="L1019" s="13"/>
    </row>
    <row r="1020">
      <c r="C1020" s="13"/>
      <c r="D1020" s="13"/>
      <c r="E1020" s="13"/>
      <c r="K1020" s="13"/>
      <c r="L1020" s="13"/>
    </row>
    <row r="1021">
      <c r="C1021" s="13"/>
      <c r="D1021" s="13"/>
      <c r="E1021" s="13"/>
      <c r="K1021" s="13"/>
      <c r="L1021" s="13"/>
    </row>
    <row r="1022">
      <c r="C1022" s="13"/>
      <c r="D1022" s="13"/>
      <c r="E1022" s="13"/>
      <c r="K1022" s="13"/>
      <c r="L1022" s="13"/>
    </row>
    <row r="1023">
      <c r="C1023" s="13"/>
      <c r="D1023" s="13"/>
      <c r="E1023" s="13"/>
      <c r="K1023" s="13"/>
      <c r="L1023" s="13"/>
    </row>
    <row r="1024">
      <c r="C1024" s="13"/>
      <c r="D1024" s="13"/>
      <c r="E1024" s="13"/>
      <c r="K1024" s="13"/>
      <c r="L1024" s="13"/>
    </row>
    <row r="1025">
      <c r="C1025" s="13"/>
      <c r="D1025" s="13"/>
      <c r="E1025" s="13"/>
      <c r="K1025" s="13"/>
      <c r="L1025" s="13"/>
    </row>
    <row r="1026">
      <c r="C1026" s="13"/>
      <c r="D1026" s="13"/>
      <c r="E1026" s="13"/>
      <c r="K1026" s="13"/>
      <c r="L1026" s="13"/>
    </row>
    <row r="1027">
      <c r="C1027" s="13"/>
      <c r="D1027" s="13"/>
      <c r="E1027" s="13"/>
      <c r="K1027" s="13"/>
      <c r="L1027" s="13"/>
    </row>
    <row r="1028">
      <c r="C1028" s="13"/>
      <c r="D1028" s="13"/>
      <c r="E1028" s="13"/>
      <c r="K1028" s="13"/>
      <c r="L1028" s="13"/>
    </row>
    <row r="1029">
      <c r="C1029" s="13"/>
      <c r="D1029" s="13"/>
      <c r="E1029" s="13"/>
      <c r="K1029" s="13"/>
      <c r="L1029" s="13"/>
    </row>
    <row r="1030">
      <c r="C1030" s="13"/>
      <c r="D1030" s="13"/>
      <c r="E1030" s="13"/>
      <c r="K1030" s="13"/>
      <c r="L1030" s="13"/>
    </row>
    <row r="1031">
      <c r="C1031" s="13"/>
      <c r="D1031" s="13"/>
      <c r="E1031" s="13"/>
      <c r="K1031" s="13"/>
      <c r="L1031" s="13"/>
    </row>
    <row r="1032">
      <c r="C1032" s="13"/>
      <c r="D1032" s="13"/>
      <c r="E1032" s="13"/>
      <c r="K1032" s="13"/>
      <c r="L1032" s="13"/>
    </row>
    <row r="1033">
      <c r="C1033" s="13"/>
      <c r="D1033" s="13"/>
      <c r="E1033" s="13"/>
      <c r="K1033" s="13"/>
      <c r="L1033" s="13"/>
    </row>
    <row r="1034">
      <c r="C1034" s="13"/>
      <c r="D1034" s="13"/>
      <c r="E1034" s="13"/>
      <c r="K1034" s="13"/>
      <c r="L1034" s="13"/>
    </row>
    <row r="1035">
      <c r="C1035" s="13"/>
      <c r="D1035" s="13"/>
      <c r="E1035" s="13"/>
      <c r="K1035" s="13"/>
      <c r="L1035" s="13"/>
    </row>
    <row r="1036">
      <c r="C1036" s="13"/>
      <c r="D1036" s="13"/>
      <c r="E1036" s="13"/>
      <c r="K1036" s="13"/>
      <c r="L1036" s="13"/>
    </row>
    <row r="1037">
      <c r="C1037" s="13"/>
      <c r="D1037" s="13"/>
      <c r="E1037" s="13"/>
      <c r="K1037" s="13"/>
      <c r="L1037" s="13"/>
    </row>
    <row r="1038">
      <c r="C1038" s="13"/>
      <c r="D1038" s="13"/>
      <c r="E1038" s="13"/>
      <c r="K1038" s="13"/>
      <c r="L1038" s="13"/>
    </row>
    <row r="1039">
      <c r="C1039" s="13"/>
      <c r="D1039" s="13"/>
      <c r="E1039" s="13"/>
      <c r="K1039" s="13"/>
      <c r="L1039" s="13"/>
    </row>
    <row r="1040">
      <c r="C1040" s="13"/>
      <c r="D1040" s="13"/>
      <c r="E1040" s="13"/>
      <c r="K1040" s="13"/>
      <c r="L1040" s="13"/>
    </row>
    <row r="1041">
      <c r="C1041" s="13"/>
      <c r="D1041" s="13"/>
      <c r="E1041" s="13"/>
      <c r="K1041" s="13"/>
      <c r="L1041" s="13"/>
    </row>
    <row r="1042">
      <c r="C1042" s="13"/>
      <c r="D1042" s="13"/>
      <c r="E1042" s="13"/>
      <c r="K1042" s="13"/>
      <c r="L1042" s="13"/>
    </row>
    <row r="1043">
      <c r="C1043" s="13"/>
      <c r="D1043" s="13"/>
      <c r="E1043" s="13"/>
      <c r="K1043" s="13"/>
      <c r="L1043" s="13"/>
    </row>
    <row r="1044">
      <c r="C1044" s="13"/>
      <c r="D1044" s="13"/>
      <c r="E1044" s="13"/>
      <c r="K1044" s="13"/>
      <c r="L1044" s="13"/>
    </row>
    <row r="1045">
      <c r="C1045" s="13"/>
      <c r="D1045" s="13"/>
      <c r="E1045" s="13"/>
      <c r="K1045" s="13"/>
      <c r="L1045" s="13"/>
    </row>
    <row r="1046">
      <c r="C1046" s="13"/>
      <c r="D1046" s="13"/>
      <c r="E1046" s="13"/>
      <c r="K1046" s="13"/>
      <c r="L1046" s="13"/>
    </row>
    <row r="1047">
      <c r="C1047" s="13"/>
      <c r="D1047" s="13"/>
      <c r="E1047" s="13"/>
      <c r="K1047" s="13"/>
      <c r="L1047" s="13"/>
    </row>
    <row r="1048">
      <c r="C1048" s="13"/>
      <c r="D1048" s="13"/>
      <c r="E1048" s="13"/>
      <c r="K1048" s="13"/>
      <c r="L1048" s="13"/>
    </row>
    <row r="1049">
      <c r="C1049" s="13"/>
      <c r="D1049" s="13"/>
      <c r="E1049" s="13"/>
      <c r="K1049" s="13"/>
      <c r="L1049" s="13"/>
    </row>
    <row r="1050">
      <c r="C1050" s="13"/>
      <c r="D1050" s="13"/>
      <c r="E1050" s="13"/>
      <c r="K1050" s="13"/>
      <c r="L1050" s="13"/>
    </row>
    <row r="1051">
      <c r="C1051" s="13"/>
      <c r="D1051" s="13"/>
      <c r="E1051" s="13"/>
      <c r="K1051" s="13"/>
      <c r="L1051" s="13"/>
    </row>
    <row r="1052">
      <c r="C1052" s="13"/>
      <c r="D1052" s="13"/>
      <c r="E1052" s="13"/>
      <c r="K1052" s="13"/>
      <c r="L1052" s="13"/>
    </row>
    <row r="1053">
      <c r="C1053" s="13"/>
      <c r="D1053" s="13"/>
      <c r="E1053" s="13"/>
      <c r="K1053" s="13"/>
      <c r="L1053" s="13"/>
    </row>
    <row r="1054">
      <c r="C1054" s="13"/>
      <c r="D1054" s="13"/>
      <c r="E1054" s="13"/>
      <c r="K1054" s="13"/>
      <c r="L1054" s="13"/>
    </row>
    <row r="1055">
      <c r="C1055" s="13"/>
      <c r="D1055" s="13"/>
      <c r="E1055" s="13"/>
      <c r="K1055" s="13"/>
      <c r="L1055" s="13"/>
    </row>
    <row r="1056">
      <c r="C1056" s="13"/>
      <c r="D1056" s="13"/>
      <c r="E1056" s="13"/>
      <c r="K1056" s="13"/>
      <c r="L1056" s="13"/>
    </row>
    <row r="1057">
      <c r="C1057" s="13"/>
      <c r="D1057" s="13"/>
      <c r="E1057" s="13"/>
      <c r="K1057" s="13"/>
      <c r="L1057" s="13"/>
    </row>
    <row r="1058">
      <c r="C1058" s="13"/>
      <c r="D1058" s="13"/>
      <c r="E1058" s="13"/>
      <c r="K1058" s="13"/>
      <c r="L1058" s="13"/>
    </row>
    <row r="1059">
      <c r="C1059" s="13"/>
      <c r="D1059" s="13"/>
      <c r="E1059" s="13"/>
      <c r="K1059" s="13"/>
      <c r="L1059" s="13"/>
    </row>
    <row r="1060">
      <c r="C1060" s="13"/>
      <c r="D1060" s="13"/>
      <c r="E1060" s="13"/>
      <c r="K1060" s="13"/>
      <c r="L1060" s="13"/>
    </row>
    <row r="1061">
      <c r="C1061" s="13"/>
      <c r="D1061" s="13"/>
      <c r="E1061" s="13"/>
      <c r="K1061" s="13"/>
      <c r="L1061" s="13"/>
    </row>
    <row r="1062">
      <c r="C1062" s="13"/>
      <c r="D1062" s="13"/>
      <c r="E1062" s="13"/>
      <c r="K1062" s="13"/>
      <c r="L1062" s="13"/>
    </row>
    <row r="1063">
      <c r="C1063" s="13"/>
      <c r="D1063" s="13"/>
      <c r="E1063" s="13"/>
      <c r="K1063" s="13"/>
      <c r="L1063" s="13"/>
    </row>
    <row r="1064">
      <c r="C1064" s="13"/>
      <c r="D1064" s="13"/>
      <c r="E1064" s="13"/>
      <c r="K1064" s="13"/>
      <c r="L1064" s="13"/>
    </row>
    <row r="1065">
      <c r="C1065" s="13"/>
      <c r="D1065" s="13"/>
      <c r="E1065" s="13"/>
      <c r="K1065" s="13"/>
      <c r="L1065" s="13"/>
    </row>
    <row r="1066">
      <c r="C1066" s="13"/>
      <c r="D1066" s="13"/>
      <c r="E1066" s="13"/>
      <c r="K1066" s="13"/>
      <c r="L1066" s="13"/>
    </row>
    <row r="1067">
      <c r="C1067" s="13"/>
      <c r="D1067" s="13"/>
      <c r="E1067" s="13"/>
      <c r="K1067" s="13"/>
      <c r="L1067" s="13"/>
    </row>
    <row r="1068">
      <c r="C1068" s="13"/>
      <c r="D1068" s="13"/>
      <c r="E1068" s="13"/>
      <c r="K1068" s="13"/>
      <c r="L1068" s="13"/>
    </row>
    <row r="1069">
      <c r="C1069" s="13"/>
      <c r="D1069" s="13"/>
      <c r="E1069" s="13"/>
      <c r="K1069" s="13"/>
      <c r="L1069" s="13"/>
    </row>
    <row r="1070">
      <c r="C1070" s="13"/>
      <c r="D1070" s="13"/>
      <c r="E1070" s="13"/>
      <c r="K1070" s="13"/>
      <c r="L1070" s="13"/>
    </row>
    <row r="1071">
      <c r="C1071" s="13"/>
      <c r="D1071" s="13"/>
      <c r="E1071" s="13"/>
      <c r="K1071" s="13"/>
      <c r="L1071" s="13"/>
    </row>
    <row r="1072">
      <c r="C1072" s="13"/>
      <c r="D1072" s="13"/>
      <c r="E1072" s="13"/>
      <c r="K1072" s="13"/>
      <c r="L1072" s="13"/>
    </row>
  </sheetData>
  <autoFilter ref="$A$1:$L$949"/>
  <conditionalFormatting sqref="H182:H241 H590:H601">
    <cfRule type="expression" dxfId="6" priority="1">
      <formula>#REF!="NGHỈ BÁN"</formula>
    </cfRule>
  </conditionalFormatting>
  <conditionalFormatting sqref="A2:G1072 I2:I841 J2:AC1072 H14:H25 H38:H181 H194:H217 H242:H635 H650:H661 H674:H685 H746:H757 H770:H781 H818:H841 H854:H877 I854:I1072 H890:H925 H938:H1072">
    <cfRule type="expression" dxfId="6" priority="2">
      <formula>$E2="NGHỈ BÁN"</formula>
    </cfRule>
  </conditionalFormatting>
  <dataValidations>
    <dataValidation type="list" allowBlank="1" showErrorMessage="1" sqref="C2:C1072">
      <formula1>"Chiều,Sáng"</formula1>
    </dataValidation>
    <dataValidation type="list" allowBlank="1" showErrorMessage="1" sqref="D1:D1072">
      <formula1>"CN A,CN B,XĐ CS,VTD,XĐ CS,XĐ CT,XL,ĐN,ĐN A,ĐN B"</formula1>
    </dataValidation>
    <dataValidation type="list" allowBlank="1" showErrorMessage="1" sqref="E2:E1072">
      <formula1>"Phùng Hà My,Ninh Thị Diệu Anh,Hoàng Vân Anh,Thu Hương,Trịnh Thị Ngọc Minh, Lưu Quỳnh Nga,Ngọc Ánh,Anh Duy,Lưu Thị Mỹ Duyên,CT,NGHỈ BÁN,ONLINE,Lưu Doãn Hoài Nam,Nguyễn Thị Kim Ngân,Nguyễn Thị Chúc An,Quỳnh Nhi"</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5" max="5" width="21.25"/>
    <col customWidth="1" min="6" max="6" width="24.63"/>
    <col customWidth="1" min="7" max="7" width="7.88"/>
    <col customWidth="1" min="8" max="8" width="9.38"/>
    <col customWidth="1" min="9" max="9" width="15.25"/>
    <col customWidth="1" min="10" max="10" width="9.38"/>
  </cols>
  <sheetData>
    <row r="1">
      <c r="A1" s="59" t="s">
        <v>35</v>
      </c>
      <c r="B1" s="59" t="s">
        <v>289</v>
      </c>
      <c r="C1" s="59" t="s">
        <v>290</v>
      </c>
      <c r="D1" s="59" t="s">
        <v>291</v>
      </c>
      <c r="E1" s="59" t="s">
        <v>292</v>
      </c>
      <c r="F1" s="59" t="s">
        <v>206</v>
      </c>
      <c r="G1" s="59" t="s">
        <v>244</v>
      </c>
      <c r="H1" s="59" t="s">
        <v>293</v>
      </c>
      <c r="I1" s="59" t="s">
        <v>245</v>
      </c>
      <c r="J1" s="59" t="s">
        <v>294</v>
      </c>
      <c r="K1" s="59" t="s">
        <v>295</v>
      </c>
      <c r="L1" s="59" t="s">
        <v>296</v>
      </c>
      <c r="M1" s="97"/>
      <c r="N1" s="97"/>
      <c r="O1" s="97"/>
      <c r="P1" s="97"/>
      <c r="Q1" s="97"/>
      <c r="R1" s="97"/>
      <c r="S1" s="97"/>
      <c r="T1" s="97"/>
      <c r="U1" s="97"/>
      <c r="V1" s="97"/>
      <c r="W1" s="97"/>
      <c r="X1" s="97"/>
      <c r="Y1" s="97"/>
      <c r="Z1" s="97"/>
      <c r="AA1" s="97"/>
      <c r="AB1" s="97"/>
      <c r="AC1" s="97"/>
    </row>
    <row r="2">
      <c r="A2" s="4">
        <v>1.0</v>
      </c>
      <c r="B2" s="10">
        <v>46104.0</v>
      </c>
      <c r="C2" s="17" t="s">
        <v>113</v>
      </c>
      <c r="D2" s="17" t="s">
        <v>302</v>
      </c>
      <c r="E2" s="17" t="s">
        <v>299</v>
      </c>
      <c r="F2" s="13" t="s">
        <v>4</v>
      </c>
      <c r="G2" s="13"/>
      <c r="H2" s="13"/>
      <c r="I2" s="13"/>
      <c r="J2" s="13"/>
      <c r="K2" s="13">
        <f t="array" ref="K2:K1072">IF(E2:E1072="NGHỈ BÁN", 0, IF(F2:F1072="",, G2:G1072 + H2:H1072 - I2:I1072 - J2:J1072))</f>
        <v>0</v>
      </c>
      <c r="L2" s="13">
        <f t="array" ref="L2:L1072">IF(E2:E1072="NGHỈ BÁN", 0, IF(K2:K1072="",, IF(ISNUMBER(SEARCH("Cá hồi", F2:F1072)), K2:K1072*22000, K2:K1072*20000)))</f>
        <v>0</v>
      </c>
      <c r="M2" s="13"/>
      <c r="N2" s="13"/>
      <c r="O2" s="13"/>
      <c r="P2" s="13"/>
      <c r="Q2" s="13"/>
      <c r="R2" s="13"/>
      <c r="S2" s="13"/>
      <c r="T2" s="13"/>
      <c r="U2" s="13"/>
      <c r="V2" s="13"/>
      <c r="W2" s="13"/>
      <c r="X2" s="13"/>
      <c r="Y2" s="13"/>
      <c r="Z2" s="13"/>
      <c r="AA2" s="13"/>
      <c r="AB2" s="13"/>
      <c r="AC2" s="13"/>
    </row>
    <row r="3">
      <c r="A3" s="4">
        <v>2.0</v>
      </c>
      <c r="B3" s="10">
        <v>46104.0</v>
      </c>
      <c r="C3" s="17" t="s">
        <v>113</v>
      </c>
      <c r="D3" s="17" t="s">
        <v>302</v>
      </c>
      <c r="E3" s="17" t="s">
        <v>299</v>
      </c>
      <c r="F3" s="13" t="s">
        <v>5</v>
      </c>
      <c r="G3" s="13"/>
      <c r="H3" s="13"/>
      <c r="I3" s="13"/>
      <c r="J3" s="13"/>
      <c r="K3" s="13">
        <v>0.0</v>
      </c>
      <c r="L3" s="13">
        <v>0.0</v>
      </c>
      <c r="M3" s="13"/>
      <c r="N3" s="13"/>
      <c r="O3" s="13"/>
      <c r="P3" s="13"/>
      <c r="Q3" s="13"/>
      <c r="R3" s="13"/>
      <c r="S3" s="13"/>
      <c r="T3" s="13"/>
      <c r="U3" s="13"/>
      <c r="V3" s="13"/>
      <c r="W3" s="13"/>
      <c r="X3" s="13"/>
      <c r="Y3" s="13"/>
      <c r="Z3" s="13"/>
      <c r="AA3" s="13"/>
      <c r="AB3" s="13"/>
      <c r="AC3" s="13"/>
    </row>
    <row r="4">
      <c r="A4" s="4">
        <v>3.0</v>
      </c>
      <c r="B4" s="10">
        <v>46104.0</v>
      </c>
      <c r="C4" s="17" t="s">
        <v>113</v>
      </c>
      <c r="D4" s="17" t="s">
        <v>302</v>
      </c>
      <c r="E4" s="17" t="s">
        <v>299</v>
      </c>
      <c r="F4" s="13" t="s">
        <v>6</v>
      </c>
      <c r="G4" s="13"/>
      <c r="H4" s="13"/>
      <c r="I4" s="13"/>
      <c r="J4" s="13"/>
      <c r="K4" s="13">
        <v>0.0</v>
      </c>
      <c r="L4" s="13">
        <v>0.0</v>
      </c>
      <c r="M4" s="13"/>
      <c r="N4" s="13"/>
      <c r="O4" s="13"/>
      <c r="P4" s="13"/>
      <c r="Q4" s="13"/>
      <c r="R4" s="13"/>
      <c r="S4" s="13"/>
      <c r="T4" s="13"/>
      <c r="U4" s="13"/>
      <c r="V4" s="13"/>
      <c r="W4" s="13"/>
      <c r="X4" s="13"/>
      <c r="Y4" s="13"/>
      <c r="Z4" s="13"/>
      <c r="AA4" s="13"/>
      <c r="AB4" s="13"/>
      <c r="AC4" s="13"/>
    </row>
    <row r="5">
      <c r="A5" s="4">
        <v>4.0</v>
      </c>
      <c r="B5" s="10">
        <v>46104.0</v>
      </c>
      <c r="C5" s="17" t="s">
        <v>113</v>
      </c>
      <c r="D5" s="17" t="s">
        <v>302</v>
      </c>
      <c r="E5" s="17" t="s">
        <v>299</v>
      </c>
      <c r="F5" s="13" t="s">
        <v>7</v>
      </c>
      <c r="G5" s="13"/>
      <c r="H5" s="13"/>
      <c r="I5" s="13"/>
      <c r="J5" s="13"/>
      <c r="K5" s="13">
        <v>0.0</v>
      </c>
      <c r="L5" s="13">
        <v>0.0</v>
      </c>
      <c r="M5" s="13"/>
      <c r="N5" s="13"/>
      <c r="O5" s="13"/>
      <c r="P5" s="13"/>
      <c r="Q5" s="13"/>
      <c r="R5" s="13"/>
      <c r="S5" s="13"/>
      <c r="T5" s="13"/>
      <c r="U5" s="13"/>
      <c r="V5" s="13"/>
      <c r="W5" s="13"/>
      <c r="X5" s="13"/>
      <c r="Y5" s="13"/>
      <c r="Z5" s="13"/>
      <c r="AA5" s="13"/>
      <c r="AB5" s="13"/>
      <c r="AC5" s="13"/>
    </row>
    <row r="6">
      <c r="A6" s="4">
        <v>5.0</v>
      </c>
      <c r="B6" s="10">
        <v>46104.0</v>
      </c>
      <c r="C6" s="17" t="s">
        <v>113</v>
      </c>
      <c r="D6" s="17" t="s">
        <v>302</v>
      </c>
      <c r="E6" s="17" t="s">
        <v>299</v>
      </c>
      <c r="F6" s="13" t="s">
        <v>8</v>
      </c>
      <c r="G6" s="13"/>
      <c r="H6" s="13"/>
      <c r="I6" s="13"/>
      <c r="J6" s="13"/>
      <c r="K6" s="13">
        <v>0.0</v>
      </c>
      <c r="L6" s="13">
        <v>0.0</v>
      </c>
      <c r="M6" s="13"/>
      <c r="N6" s="13"/>
      <c r="O6" s="13"/>
      <c r="P6" s="13"/>
      <c r="Q6" s="13"/>
      <c r="R6" s="13"/>
      <c r="S6" s="13"/>
      <c r="T6" s="13"/>
      <c r="U6" s="13"/>
      <c r="V6" s="13"/>
      <c r="W6" s="13"/>
      <c r="X6" s="13"/>
      <c r="Y6" s="13"/>
      <c r="Z6" s="13"/>
      <c r="AA6" s="13"/>
      <c r="AB6" s="13"/>
      <c r="AC6" s="13"/>
    </row>
    <row r="7">
      <c r="A7" s="4">
        <v>6.0</v>
      </c>
      <c r="B7" s="10">
        <v>46104.0</v>
      </c>
      <c r="C7" s="17" t="s">
        <v>113</v>
      </c>
      <c r="D7" s="17" t="s">
        <v>302</v>
      </c>
      <c r="E7" s="17" t="s">
        <v>299</v>
      </c>
      <c r="F7" s="13" t="s">
        <v>9</v>
      </c>
      <c r="G7" s="13"/>
      <c r="H7" s="13"/>
      <c r="I7" s="13"/>
      <c r="J7" s="13"/>
      <c r="K7" s="13">
        <v>0.0</v>
      </c>
      <c r="L7" s="13">
        <v>0.0</v>
      </c>
      <c r="M7" s="13"/>
      <c r="N7" s="13"/>
      <c r="O7" s="13"/>
      <c r="P7" s="13"/>
      <c r="Q7" s="13"/>
      <c r="R7" s="13"/>
      <c r="S7" s="13"/>
      <c r="T7" s="13"/>
      <c r="U7" s="13"/>
      <c r="V7" s="13"/>
      <c r="W7" s="13"/>
      <c r="X7" s="13"/>
      <c r="Y7" s="13"/>
      <c r="Z7" s="13"/>
      <c r="AA7" s="13"/>
      <c r="AB7" s="13"/>
      <c r="AC7" s="13"/>
    </row>
    <row r="8">
      <c r="A8" s="4">
        <v>7.0</v>
      </c>
      <c r="B8" s="10">
        <v>46104.0</v>
      </c>
      <c r="C8" s="17" t="s">
        <v>113</v>
      </c>
      <c r="D8" s="17" t="s">
        <v>302</v>
      </c>
      <c r="E8" s="17" t="s">
        <v>299</v>
      </c>
      <c r="F8" s="13" t="s">
        <v>10</v>
      </c>
      <c r="G8" s="13"/>
      <c r="H8" s="13"/>
      <c r="I8" s="13"/>
      <c r="J8" s="13"/>
      <c r="K8" s="13">
        <v>0.0</v>
      </c>
      <c r="L8" s="13">
        <v>0.0</v>
      </c>
      <c r="M8" s="13"/>
      <c r="N8" s="13"/>
      <c r="O8" s="13"/>
      <c r="P8" s="13"/>
      <c r="Q8" s="13"/>
      <c r="R8" s="13"/>
      <c r="S8" s="13"/>
      <c r="T8" s="13"/>
      <c r="U8" s="13"/>
      <c r="V8" s="13"/>
      <c r="W8" s="13"/>
      <c r="X8" s="13"/>
      <c r="Y8" s="13"/>
      <c r="Z8" s="13"/>
      <c r="AA8" s="13"/>
      <c r="AB8" s="13"/>
      <c r="AC8" s="13"/>
    </row>
    <row r="9">
      <c r="A9" s="4">
        <v>8.0</v>
      </c>
      <c r="B9" s="10">
        <v>46104.0</v>
      </c>
      <c r="C9" s="17" t="s">
        <v>113</v>
      </c>
      <c r="D9" s="17" t="s">
        <v>302</v>
      </c>
      <c r="E9" s="17" t="s">
        <v>299</v>
      </c>
      <c r="F9" s="13" t="s">
        <v>11</v>
      </c>
      <c r="G9" s="13"/>
      <c r="H9" s="13"/>
      <c r="I9" s="13"/>
      <c r="J9" s="13"/>
      <c r="K9" s="13">
        <v>0.0</v>
      </c>
      <c r="L9" s="13">
        <v>0.0</v>
      </c>
      <c r="M9" s="13"/>
      <c r="N9" s="13"/>
      <c r="O9" s="13"/>
      <c r="P9" s="13"/>
      <c r="Q9" s="13"/>
      <c r="R9" s="13"/>
      <c r="S9" s="13"/>
      <c r="T9" s="13"/>
      <c r="U9" s="13"/>
      <c r="V9" s="13"/>
      <c r="W9" s="13"/>
      <c r="X9" s="13"/>
      <c r="Y9" s="13"/>
      <c r="Z9" s="13"/>
      <c r="AA9" s="13"/>
      <c r="AB9" s="13"/>
      <c r="AC9" s="13"/>
    </row>
    <row r="10">
      <c r="A10" s="4">
        <v>9.0</v>
      </c>
      <c r="B10" s="10">
        <v>46104.0</v>
      </c>
      <c r="C10" s="17" t="s">
        <v>113</v>
      </c>
      <c r="D10" s="17" t="s">
        <v>302</v>
      </c>
      <c r="E10" s="17" t="s">
        <v>299</v>
      </c>
      <c r="F10" s="13" t="s">
        <v>12</v>
      </c>
      <c r="G10" s="13"/>
      <c r="H10" s="13"/>
      <c r="I10" s="13"/>
      <c r="J10" s="13"/>
      <c r="K10" s="13">
        <v>0.0</v>
      </c>
      <c r="L10" s="13">
        <v>0.0</v>
      </c>
      <c r="M10" s="13"/>
      <c r="N10" s="13"/>
      <c r="O10" s="13"/>
      <c r="P10" s="13"/>
      <c r="Q10" s="13"/>
      <c r="R10" s="13"/>
      <c r="S10" s="13"/>
      <c r="T10" s="13"/>
      <c r="U10" s="13"/>
      <c r="V10" s="13"/>
      <c r="W10" s="13"/>
      <c r="X10" s="13"/>
      <c r="Y10" s="13"/>
      <c r="Z10" s="13"/>
      <c r="AA10" s="13"/>
      <c r="AB10" s="13"/>
      <c r="AC10" s="13"/>
    </row>
    <row r="11">
      <c r="A11" s="4">
        <v>10.0</v>
      </c>
      <c r="B11" s="10">
        <v>46104.0</v>
      </c>
      <c r="C11" s="17" t="s">
        <v>113</v>
      </c>
      <c r="D11" s="17" t="s">
        <v>302</v>
      </c>
      <c r="E11" s="17" t="s">
        <v>299</v>
      </c>
      <c r="F11" s="13" t="s">
        <v>13</v>
      </c>
      <c r="G11" s="13"/>
      <c r="H11" s="13"/>
      <c r="I11" s="13"/>
      <c r="J11" s="13"/>
      <c r="K11" s="13">
        <v>0.0</v>
      </c>
      <c r="L11" s="13">
        <v>0.0</v>
      </c>
      <c r="M11" s="13"/>
      <c r="N11" s="13"/>
      <c r="O11" s="13"/>
      <c r="P11" s="13"/>
      <c r="Q11" s="13"/>
      <c r="R11" s="13"/>
      <c r="S11" s="13"/>
      <c r="T11" s="13"/>
      <c r="U11" s="13"/>
      <c r="V11" s="13"/>
      <c r="W11" s="13"/>
      <c r="X11" s="13"/>
      <c r="Y11" s="13"/>
      <c r="Z11" s="13"/>
      <c r="AA11" s="13"/>
      <c r="AB11" s="13"/>
      <c r="AC11" s="13"/>
    </row>
    <row r="12">
      <c r="A12" s="4">
        <v>11.0</v>
      </c>
      <c r="B12" s="10">
        <v>46104.0</v>
      </c>
      <c r="C12" s="17" t="s">
        <v>113</v>
      </c>
      <c r="D12" s="17" t="s">
        <v>302</v>
      </c>
      <c r="E12" s="17" t="s">
        <v>299</v>
      </c>
      <c r="F12" s="4" t="s">
        <v>297</v>
      </c>
      <c r="G12" s="13"/>
      <c r="H12" s="13"/>
      <c r="I12" s="13"/>
      <c r="J12" s="13"/>
      <c r="K12" s="13">
        <v>0.0</v>
      </c>
      <c r="L12" s="13">
        <v>0.0</v>
      </c>
      <c r="M12" s="13"/>
      <c r="N12" s="13"/>
      <c r="O12" s="13"/>
      <c r="P12" s="13"/>
      <c r="Q12" s="13"/>
      <c r="R12" s="13"/>
      <c r="S12" s="13"/>
      <c r="T12" s="13"/>
      <c r="U12" s="13"/>
      <c r="V12" s="13"/>
      <c r="W12" s="13"/>
      <c r="X12" s="13"/>
      <c r="Y12" s="13"/>
      <c r="Z12" s="13"/>
      <c r="AA12" s="13"/>
      <c r="AB12" s="13"/>
      <c r="AC12" s="13"/>
    </row>
    <row r="13">
      <c r="A13" s="4">
        <v>12.0</v>
      </c>
      <c r="B13" s="10">
        <v>46104.0</v>
      </c>
      <c r="C13" s="17" t="s">
        <v>113</v>
      </c>
      <c r="D13" s="17" t="s">
        <v>302</v>
      </c>
      <c r="E13" s="17" t="s">
        <v>299</v>
      </c>
      <c r="F13" s="13" t="s">
        <v>15</v>
      </c>
      <c r="G13" s="13"/>
      <c r="H13" s="13"/>
      <c r="I13" s="13"/>
      <c r="J13" s="13"/>
      <c r="K13" s="13">
        <v>0.0</v>
      </c>
      <c r="L13" s="13">
        <v>0.0</v>
      </c>
      <c r="M13" s="13"/>
      <c r="N13" s="13"/>
      <c r="O13" s="13"/>
      <c r="P13" s="13"/>
      <c r="Q13" s="13"/>
      <c r="R13" s="13"/>
      <c r="S13" s="13"/>
      <c r="T13" s="13"/>
      <c r="U13" s="13"/>
      <c r="V13" s="13"/>
      <c r="W13" s="13"/>
      <c r="X13" s="13"/>
      <c r="Y13" s="13"/>
      <c r="Z13" s="13"/>
      <c r="AA13" s="13"/>
      <c r="AB13" s="13"/>
      <c r="AC13" s="13"/>
    </row>
    <row r="14">
      <c r="A14" s="4">
        <v>13.0</v>
      </c>
      <c r="B14" s="10">
        <v>46104.0</v>
      </c>
      <c r="C14" s="17" t="s">
        <v>114</v>
      </c>
      <c r="D14" s="17" t="s">
        <v>302</v>
      </c>
      <c r="E14" s="17" t="s">
        <v>303</v>
      </c>
      <c r="F14" s="13" t="s">
        <v>4</v>
      </c>
      <c r="G14" s="13" t="str">
        <f t="shared" ref="G14:G25" si="1">I2</f>
        <v/>
      </c>
      <c r="H14" s="4">
        <v>3.0</v>
      </c>
      <c r="I14" s="4">
        <v>2.0</v>
      </c>
      <c r="K14" s="13">
        <v>1.0</v>
      </c>
      <c r="L14" s="13">
        <v>20000.0</v>
      </c>
    </row>
    <row r="15">
      <c r="A15" s="4">
        <v>14.0</v>
      </c>
      <c r="B15" s="10">
        <v>46104.0</v>
      </c>
      <c r="C15" s="17" t="s">
        <v>114</v>
      </c>
      <c r="D15" s="17" t="s">
        <v>302</v>
      </c>
      <c r="E15" s="17" t="s">
        <v>303</v>
      </c>
      <c r="F15" s="13" t="s">
        <v>5</v>
      </c>
      <c r="G15" s="13" t="str">
        <f t="shared" si="1"/>
        <v/>
      </c>
      <c r="H15" s="4"/>
      <c r="K15" s="13">
        <v>0.0</v>
      </c>
      <c r="L15" s="13">
        <v>0.0</v>
      </c>
    </row>
    <row r="16">
      <c r="A16" s="4">
        <v>15.0</v>
      </c>
      <c r="B16" s="10">
        <v>46104.0</v>
      </c>
      <c r="C16" s="17" t="s">
        <v>114</v>
      </c>
      <c r="D16" s="17" t="s">
        <v>302</v>
      </c>
      <c r="E16" s="17" t="s">
        <v>303</v>
      </c>
      <c r="F16" s="13" t="s">
        <v>6</v>
      </c>
      <c r="G16" s="13" t="str">
        <f t="shared" si="1"/>
        <v/>
      </c>
      <c r="H16" s="4">
        <v>1.0</v>
      </c>
      <c r="I16" s="4">
        <v>1.0</v>
      </c>
      <c r="K16" s="13">
        <v>0.0</v>
      </c>
      <c r="L16" s="13">
        <v>0.0</v>
      </c>
    </row>
    <row r="17">
      <c r="A17" s="4">
        <v>16.0</v>
      </c>
      <c r="B17" s="10">
        <v>46104.0</v>
      </c>
      <c r="C17" s="17" t="s">
        <v>114</v>
      </c>
      <c r="D17" s="17" t="s">
        <v>302</v>
      </c>
      <c r="E17" s="17" t="s">
        <v>303</v>
      </c>
      <c r="F17" s="13" t="s">
        <v>7</v>
      </c>
      <c r="G17" s="13" t="str">
        <f t="shared" si="1"/>
        <v/>
      </c>
      <c r="H17" s="4">
        <v>2.0</v>
      </c>
      <c r="I17" s="4">
        <v>1.0</v>
      </c>
      <c r="K17" s="13">
        <v>1.0</v>
      </c>
      <c r="L17" s="13">
        <v>20000.0</v>
      </c>
    </row>
    <row r="18">
      <c r="A18" s="4">
        <v>17.0</v>
      </c>
      <c r="B18" s="10">
        <v>46104.0</v>
      </c>
      <c r="C18" s="17" t="s">
        <v>114</v>
      </c>
      <c r="D18" s="17" t="s">
        <v>302</v>
      </c>
      <c r="E18" s="17" t="s">
        <v>303</v>
      </c>
      <c r="F18" s="13" t="s">
        <v>8</v>
      </c>
      <c r="G18" s="13" t="str">
        <f t="shared" si="1"/>
        <v/>
      </c>
      <c r="H18" s="4">
        <v>2.0</v>
      </c>
      <c r="K18" s="13">
        <v>2.0</v>
      </c>
      <c r="L18" s="13">
        <v>40000.0</v>
      </c>
    </row>
    <row r="19">
      <c r="A19" s="4">
        <v>18.0</v>
      </c>
      <c r="B19" s="10">
        <v>46104.0</v>
      </c>
      <c r="C19" s="17" t="s">
        <v>114</v>
      </c>
      <c r="D19" s="17" t="s">
        <v>302</v>
      </c>
      <c r="E19" s="17" t="s">
        <v>303</v>
      </c>
      <c r="F19" s="13" t="s">
        <v>9</v>
      </c>
      <c r="G19" s="13" t="str">
        <f t="shared" si="1"/>
        <v/>
      </c>
      <c r="H19" s="4">
        <v>2.0</v>
      </c>
      <c r="I19" s="4">
        <v>2.0</v>
      </c>
      <c r="K19" s="13">
        <v>0.0</v>
      </c>
      <c r="L19" s="13">
        <v>0.0</v>
      </c>
    </row>
    <row r="20">
      <c r="A20" s="4">
        <v>19.0</v>
      </c>
      <c r="B20" s="10">
        <v>46104.0</v>
      </c>
      <c r="C20" s="17" t="s">
        <v>114</v>
      </c>
      <c r="D20" s="17" t="s">
        <v>302</v>
      </c>
      <c r="E20" s="17" t="s">
        <v>303</v>
      </c>
      <c r="F20" s="13" t="s">
        <v>10</v>
      </c>
      <c r="G20" s="13" t="str">
        <f t="shared" si="1"/>
        <v/>
      </c>
      <c r="H20" s="4">
        <v>1.0</v>
      </c>
      <c r="I20" s="4">
        <v>1.0</v>
      </c>
      <c r="K20" s="13">
        <v>0.0</v>
      </c>
      <c r="L20" s="13">
        <v>0.0</v>
      </c>
    </row>
    <row r="21">
      <c r="A21" s="4">
        <v>20.0</v>
      </c>
      <c r="B21" s="10">
        <v>46104.0</v>
      </c>
      <c r="C21" s="17" t="s">
        <v>114</v>
      </c>
      <c r="D21" s="17" t="s">
        <v>302</v>
      </c>
      <c r="E21" s="17" t="s">
        <v>303</v>
      </c>
      <c r="F21" s="13" t="s">
        <v>11</v>
      </c>
      <c r="G21" s="13" t="str">
        <f t="shared" si="1"/>
        <v/>
      </c>
      <c r="H21" s="4">
        <v>1.0</v>
      </c>
      <c r="I21" s="4">
        <v>1.0</v>
      </c>
      <c r="K21" s="13">
        <v>0.0</v>
      </c>
      <c r="L21" s="13">
        <v>0.0</v>
      </c>
    </row>
    <row r="22">
      <c r="A22" s="4">
        <v>21.0</v>
      </c>
      <c r="B22" s="10">
        <v>46104.0</v>
      </c>
      <c r="C22" s="17" t="s">
        <v>114</v>
      </c>
      <c r="D22" s="17" t="s">
        <v>302</v>
      </c>
      <c r="E22" s="17" t="s">
        <v>303</v>
      </c>
      <c r="F22" s="13" t="s">
        <v>12</v>
      </c>
      <c r="G22" s="13" t="str">
        <f t="shared" si="1"/>
        <v/>
      </c>
      <c r="K22" s="13">
        <v>0.0</v>
      </c>
      <c r="L22" s="13">
        <v>0.0</v>
      </c>
    </row>
    <row r="23">
      <c r="A23" s="4">
        <v>22.0</v>
      </c>
      <c r="B23" s="10">
        <v>46104.0</v>
      </c>
      <c r="C23" s="17" t="s">
        <v>114</v>
      </c>
      <c r="D23" s="17" t="s">
        <v>302</v>
      </c>
      <c r="E23" s="17" t="s">
        <v>303</v>
      </c>
      <c r="F23" s="13" t="s">
        <v>13</v>
      </c>
      <c r="G23" s="13" t="str">
        <f t="shared" si="1"/>
        <v/>
      </c>
      <c r="K23" s="13">
        <v>0.0</v>
      </c>
      <c r="L23" s="13">
        <v>0.0</v>
      </c>
    </row>
    <row r="24">
      <c r="A24" s="4">
        <v>23.0</v>
      </c>
      <c r="B24" s="10">
        <v>46104.0</v>
      </c>
      <c r="C24" s="17" t="s">
        <v>114</v>
      </c>
      <c r="D24" s="17" t="s">
        <v>302</v>
      </c>
      <c r="E24" s="17" t="s">
        <v>303</v>
      </c>
      <c r="F24" s="13" t="s">
        <v>14</v>
      </c>
      <c r="G24" s="13" t="str">
        <f t="shared" si="1"/>
        <v/>
      </c>
      <c r="K24" s="13">
        <v>0.0</v>
      </c>
      <c r="L24" s="13">
        <v>0.0</v>
      </c>
    </row>
    <row r="25">
      <c r="A25" s="4">
        <v>24.0</v>
      </c>
      <c r="B25" s="10">
        <v>46104.0</v>
      </c>
      <c r="C25" s="17" t="s">
        <v>114</v>
      </c>
      <c r="D25" s="17" t="s">
        <v>302</v>
      </c>
      <c r="E25" s="17" t="s">
        <v>303</v>
      </c>
      <c r="F25" s="13" t="s">
        <v>15</v>
      </c>
      <c r="G25" s="13" t="str">
        <f t="shared" si="1"/>
        <v/>
      </c>
      <c r="H25" s="4">
        <v>15.0</v>
      </c>
      <c r="I25" s="4">
        <v>4.0</v>
      </c>
      <c r="K25" s="13">
        <v>11.0</v>
      </c>
      <c r="L25" s="13">
        <v>220000.0</v>
      </c>
    </row>
    <row r="26">
      <c r="A26" s="4">
        <v>25.0</v>
      </c>
      <c r="B26" s="10">
        <v>46104.0</v>
      </c>
      <c r="C26" s="17" t="s">
        <v>113</v>
      </c>
      <c r="D26" s="17" t="s">
        <v>304</v>
      </c>
      <c r="E26" s="17" t="s">
        <v>299</v>
      </c>
      <c r="F26" s="13" t="s">
        <v>4</v>
      </c>
      <c r="G26" s="13"/>
      <c r="H26" s="13"/>
      <c r="I26" s="13"/>
      <c r="J26" s="13"/>
      <c r="K26" s="13">
        <v>0.0</v>
      </c>
      <c r="L26" s="13">
        <v>0.0</v>
      </c>
      <c r="M26" s="13"/>
      <c r="N26" s="13"/>
      <c r="O26" s="13"/>
      <c r="P26" s="13"/>
      <c r="Q26" s="13"/>
      <c r="R26" s="13"/>
      <c r="S26" s="13"/>
      <c r="T26" s="13"/>
      <c r="U26" s="13"/>
      <c r="V26" s="13"/>
      <c r="W26" s="13"/>
      <c r="X26" s="13"/>
      <c r="Y26" s="13"/>
      <c r="Z26" s="13"/>
      <c r="AA26" s="13"/>
      <c r="AB26" s="13"/>
      <c r="AC26" s="13"/>
    </row>
    <row r="27">
      <c r="A27" s="4">
        <v>26.0</v>
      </c>
      <c r="B27" s="10">
        <v>46104.0</v>
      </c>
      <c r="C27" s="17" t="s">
        <v>113</v>
      </c>
      <c r="D27" s="17" t="s">
        <v>304</v>
      </c>
      <c r="E27" s="17" t="s">
        <v>299</v>
      </c>
      <c r="F27" s="13" t="s">
        <v>5</v>
      </c>
      <c r="G27" s="13"/>
      <c r="H27" s="13"/>
      <c r="I27" s="13"/>
      <c r="J27" s="13"/>
      <c r="K27" s="13">
        <v>0.0</v>
      </c>
      <c r="L27" s="13">
        <v>0.0</v>
      </c>
      <c r="M27" s="13"/>
      <c r="N27" s="13"/>
      <c r="O27" s="13"/>
      <c r="P27" s="13"/>
      <c r="Q27" s="13"/>
      <c r="R27" s="13"/>
      <c r="S27" s="13"/>
      <c r="T27" s="13"/>
      <c r="U27" s="13"/>
      <c r="V27" s="13"/>
      <c r="W27" s="13"/>
      <c r="X27" s="13"/>
      <c r="Y27" s="13"/>
      <c r="Z27" s="13"/>
      <c r="AA27" s="13"/>
      <c r="AB27" s="13"/>
      <c r="AC27" s="13"/>
    </row>
    <row r="28">
      <c r="A28" s="4">
        <v>27.0</v>
      </c>
      <c r="B28" s="10">
        <v>46104.0</v>
      </c>
      <c r="C28" s="17" t="s">
        <v>113</v>
      </c>
      <c r="D28" s="17" t="s">
        <v>304</v>
      </c>
      <c r="E28" s="17" t="s">
        <v>299</v>
      </c>
      <c r="F28" s="13" t="s">
        <v>6</v>
      </c>
      <c r="G28" s="13"/>
      <c r="H28" s="13"/>
      <c r="I28" s="13"/>
      <c r="J28" s="13"/>
      <c r="K28" s="13">
        <v>0.0</v>
      </c>
      <c r="L28" s="13">
        <v>0.0</v>
      </c>
      <c r="M28" s="13"/>
      <c r="N28" s="13"/>
      <c r="O28" s="13"/>
      <c r="P28" s="13"/>
      <c r="Q28" s="13"/>
      <c r="R28" s="13"/>
      <c r="S28" s="13"/>
      <c r="T28" s="13"/>
      <c r="U28" s="13"/>
      <c r="V28" s="13"/>
      <c r="W28" s="13"/>
      <c r="X28" s="13"/>
      <c r="Y28" s="13"/>
      <c r="Z28" s="13"/>
      <c r="AA28" s="13"/>
      <c r="AB28" s="13"/>
      <c r="AC28" s="13"/>
    </row>
    <row r="29">
      <c r="A29" s="4">
        <v>28.0</v>
      </c>
      <c r="B29" s="10">
        <v>46104.0</v>
      </c>
      <c r="C29" s="17" t="s">
        <v>113</v>
      </c>
      <c r="D29" s="17" t="s">
        <v>304</v>
      </c>
      <c r="E29" s="17" t="s">
        <v>299</v>
      </c>
      <c r="F29" s="13" t="s">
        <v>7</v>
      </c>
      <c r="G29" s="13"/>
      <c r="H29" s="13"/>
      <c r="I29" s="13"/>
      <c r="J29" s="13"/>
      <c r="K29" s="13">
        <v>0.0</v>
      </c>
      <c r="L29" s="13">
        <v>0.0</v>
      </c>
      <c r="M29" s="13"/>
      <c r="N29" s="13"/>
      <c r="O29" s="13"/>
      <c r="P29" s="13"/>
      <c r="Q29" s="13"/>
      <c r="R29" s="13"/>
      <c r="S29" s="13"/>
      <c r="T29" s="13"/>
      <c r="U29" s="13"/>
      <c r="V29" s="13"/>
      <c r="W29" s="13"/>
      <c r="X29" s="13"/>
      <c r="Y29" s="13"/>
      <c r="Z29" s="13"/>
      <c r="AA29" s="13"/>
      <c r="AB29" s="13"/>
      <c r="AC29" s="13"/>
    </row>
    <row r="30">
      <c r="A30" s="4">
        <v>29.0</v>
      </c>
      <c r="B30" s="10">
        <v>46104.0</v>
      </c>
      <c r="C30" s="17" t="s">
        <v>113</v>
      </c>
      <c r="D30" s="17" t="s">
        <v>304</v>
      </c>
      <c r="E30" s="17" t="s">
        <v>299</v>
      </c>
      <c r="F30" s="13" t="s">
        <v>8</v>
      </c>
      <c r="G30" s="13"/>
      <c r="H30" s="13"/>
      <c r="I30" s="13"/>
      <c r="J30" s="13"/>
      <c r="K30" s="13">
        <v>0.0</v>
      </c>
      <c r="L30" s="13">
        <v>0.0</v>
      </c>
      <c r="M30" s="13"/>
      <c r="N30" s="13"/>
      <c r="O30" s="13"/>
      <c r="P30" s="13"/>
      <c r="Q30" s="13"/>
      <c r="R30" s="13"/>
      <c r="S30" s="13"/>
      <c r="T30" s="13"/>
      <c r="U30" s="13"/>
      <c r="V30" s="13"/>
      <c r="W30" s="13"/>
      <c r="X30" s="13"/>
      <c r="Y30" s="13"/>
      <c r="Z30" s="13"/>
      <c r="AA30" s="13"/>
      <c r="AB30" s="13"/>
      <c r="AC30" s="13"/>
    </row>
    <row r="31">
      <c r="A31" s="4">
        <v>30.0</v>
      </c>
      <c r="B31" s="10">
        <v>46104.0</v>
      </c>
      <c r="C31" s="17" t="s">
        <v>113</v>
      </c>
      <c r="D31" s="17" t="s">
        <v>304</v>
      </c>
      <c r="E31" s="17" t="s">
        <v>299</v>
      </c>
      <c r="F31" s="13" t="s">
        <v>9</v>
      </c>
      <c r="G31" s="13"/>
      <c r="H31" s="13"/>
      <c r="I31" s="13"/>
      <c r="J31" s="13"/>
      <c r="K31" s="13">
        <v>0.0</v>
      </c>
      <c r="L31" s="13">
        <v>0.0</v>
      </c>
      <c r="M31" s="13"/>
      <c r="N31" s="13"/>
      <c r="O31" s="13"/>
      <c r="P31" s="13"/>
      <c r="Q31" s="13"/>
      <c r="R31" s="13"/>
      <c r="S31" s="13"/>
      <c r="T31" s="13"/>
      <c r="U31" s="13"/>
      <c r="V31" s="13"/>
      <c r="W31" s="13"/>
      <c r="X31" s="13"/>
      <c r="Y31" s="13"/>
      <c r="Z31" s="13"/>
      <c r="AA31" s="13"/>
      <c r="AB31" s="13"/>
      <c r="AC31" s="13"/>
    </row>
    <row r="32">
      <c r="A32" s="4">
        <v>31.0</v>
      </c>
      <c r="B32" s="10">
        <v>46104.0</v>
      </c>
      <c r="C32" s="17" t="s">
        <v>113</v>
      </c>
      <c r="D32" s="17" t="s">
        <v>304</v>
      </c>
      <c r="E32" s="17" t="s">
        <v>299</v>
      </c>
      <c r="F32" s="13" t="s">
        <v>10</v>
      </c>
      <c r="G32" s="13"/>
      <c r="H32" s="13"/>
      <c r="I32" s="13"/>
      <c r="J32" s="13"/>
      <c r="K32" s="13">
        <v>0.0</v>
      </c>
      <c r="L32" s="13">
        <v>0.0</v>
      </c>
      <c r="M32" s="13"/>
      <c r="N32" s="13"/>
      <c r="O32" s="13"/>
      <c r="P32" s="13"/>
      <c r="Q32" s="13"/>
      <c r="R32" s="13"/>
      <c r="S32" s="13"/>
      <c r="T32" s="13"/>
      <c r="U32" s="13"/>
      <c r="V32" s="13"/>
      <c r="W32" s="13"/>
      <c r="X32" s="13"/>
      <c r="Y32" s="13"/>
      <c r="Z32" s="13"/>
      <c r="AA32" s="13"/>
      <c r="AB32" s="13"/>
      <c r="AC32" s="13"/>
    </row>
    <row r="33">
      <c r="A33" s="4">
        <v>32.0</v>
      </c>
      <c r="B33" s="10">
        <v>46104.0</v>
      </c>
      <c r="C33" s="17" t="s">
        <v>113</v>
      </c>
      <c r="D33" s="17" t="s">
        <v>304</v>
      </c>
      <c r="E33" s="17" t="s">
        <v>299</v>
      </c>
      <c r="F33" s="13" t="s">
        <v>11</v>
      </c>
      <c r="G33" s="13"/>
      <c r="H33" s="13"/>
      <c r="I33" s="13"/>
      <c r="J33" s="13"/>
      <c r="K33" s="13">
        <v>0.0</v>
      </c>
      <c r="L33" s="13">
        <v>0.0</v>
      </c>
      <c r="M33" s="13"/>
      <c r="N33" s="13"/>
      <c r="O33" s="13"/>
      <c r="P33" s="13"/>
      <c r="Q33" s="13"/>
      <c r="R33" s="13"/>
      <c r="S33" s="13"/>
      <c r="T33" s="13"/>
      <c r="U33" s="13"/>
      <c r="V33" s="13"/>
      <c r="W33" s="13"/>
      <c r="X33" s="13"/>
      <c r="Y33" s="13"/>
      <c r="Z33" s="13"/>
      <c r="AA33" s="13"/>
      <c r="AB33" s="13"/>
      <c r="AC33" s="13"/>
    </row>
    <row r="34">
      <c r="A34" s="4">
        <v>33.0</v>
      </c>
      <c r="B34" s="10">
        <v>46104.0</v>
      </c>
      <c r="C34" s="17" t="s">
        <v>113</v>
      </c>
      <c r="D34" s="17" t="s">
        <v>304</v>
      </c>
      <c r="E34" s="17" t="s">
        <v>299</v>
      </c>
      <c r="F34" s="13" t="s">
        <v>12</v>
      </c>
      <c r="G34" s="13"/>
      <c r="H34" s="13"/>
      <c r="I34" s="13"/>
      <c r="J34" s="13"/>
      <c r="K34" s="13">
        <v>0.0</v>
      </c>
      <c r="L34" s="13">
        <v>0.0</v>
      </c>
      <c r="M34" s="13"/>
      <c r="N34" s="13"/>
      <c r="O34" s="13"/>
      <c r="P34" s="13"/>
      <c r="Q34" s="13"/>
      <c r="R34" s="13"/>
      <c r="S34" s="13"/>
      <c r="T34" s="13"/>
      <c r="U34" s="13"/>
      <c r="V34" s="13"/>
      <c r="W34" s="13"/>
      <c r="X34" s="13"/>
      <c r="Y34" s="13"/>
      <c r="Z34" s="13"/>
      <c r="AA34" s="13"/>
      <c r="AB34" s="13"/>
      <c r="AC34" s="13"/>
    </row>
    <row r="35">
      <c r="A35" s="4">
        <v>34.0</v>
      </c>
      <c r="B35" s="10">
        <v>46104.0</v>
      </c>
      <c r="C35" s="17" t="s">
        <v>113</v>
      </c>
      <c r="D35" s="17" t="s">
        <v>304</v>
      </c>
      <c r="E35" s="17" t="s">
        <v>299</v>
      </c>
      <c r="F35" s="13" t="s">
        <v>13</v>
      </c>
      <c r="G35" s="13"/>
      <c r="H35" s="13"/>
      <c r="I35" s="13"/>
      <c r="J35" s="13"/>
      <c r="K35" s="13">
        <v>0.0</v>
      </c>
      <c r="L35" s="13">
        <v>0.0</v>
      </c>
      <c r="M35" s="13"/>
      <c r="N35" s="13"/>
      <c r="O35" s="13"/>
      <c r="P35" s="13"/>
      <c r="Q35" s="13"/>
      <c r="R35" s="13"/>
      <c r="S35" s="13"/>
      <c r="T35" s="13"/>
      <c r="U35" s="13"/>
      <c r="V35" s="13"/>
      <c r="W35" s="13"/>
      <c r="X35" s="13"/>
      <c r="Y35" s="13"/>
      <c r="Z35" s="13"/>
      <c r="AA35" s="13"/>
      <c r="AB35" s="13"/>
      <c r="AC35" s="13"/>
    </row>
    <row r="36">
      <c r="A36" s="4">
        <v>35.0</v>
      </c>
      <c r="B36" s="10">
        <v>46104.0</v>
      </c>
      <c r="C36" s="17" t="s">
        <v>113</v>
      </c>
      <c r="D36" s="17" t="s">
        <v>304</v>
      </c>
      <c r="E36" s="17" t="s">
        <v>299</v>
      </c>
      <c r="F36" s="13" t="s">
        <v>14</v>
      </c>
      <c r="G36" s="13"/>
      <c r="H36" s="13"/>
      <c r="I36" s="13"/>
      <c r="J36" s="13"/>
      <c r="K36" s="13">
        <v>0.0</v>
      </c>
      <c r="L36" s="13">
        <v>0.0</v>
      </c>
      <c r="M36" s="13"/>
      <c r="N36" s="13"/>
      <c r="O36" s="13"/>
      <c r="P36" s="13"/>
      <c r="Q36" s="13"/>
      <c r="R36" s="13"/>
      <c r="S36" s="13"/>
      <c r="T36" s="13"/>
      <c r="U36" s="13"/>
      <c r="V36" s="13"/>
      <c r="W36" s="13"/>
      <c r="X36" s="13"/>
      <c r="Y36" s="13"/>
      <c r="Z36" s="13"/>
      <c r="AA36" s="13"/>
      <c r="AB36" s="13"/>
      <c r="AC36" s="13"/>
    </row>
    <row r="37">
      <c r="A37" s="4">
        <v>36.0</v>
      </c>
      <c r="B37" s="10">
        <v>46104.0</v>
      </c>
      <c r="C37" s="17" t="s">
        <v>113</v>
      </c>
      <c r="D37" s="17" t="s">
        <v>304</v>
      </c>
      <c r="E37" s="17" t="s">
        <v>299</v>
      </c>
      <c r="F37" s="13" t="s">
        <v>15</v>
      </c>
      <c r="G37" s="13"/>
      <c r="H37" s="13"/>
      <c r="I37" s="13"/>
      <c r="J37" s="13"/>
      <c r="K37" s="13">
        <v>0.0</v>
      </c>
      <c r="L37" s="13">
        <v>0.0</v>
      </c>
      <c r="M37" s="13"/>
      <c r="N37" s="13"/>
      <c r="O37" s="13"/>
      <c r="P37" s="13"/>
      <c r="Q37" s="13"/>
      <c r="R37" s="13"/>
      <c r="S37" s="13"/>
      <c r="T37" s="13"/>
      <c r="U37" s="13"/>
      <c r="V37" s="13"/>
      <c r="W37" s="13"/>
      <c r="X37" s="13"/>
      <c r="Y37" s="13"/>
      <c r="Z37" s="13"/>
      <c r="AA37" s="13"/>
      <c r="AB37" s="13"/>
      <c r="AC37" s="13"/>
    </row>
    <row r="38">
      <c r="A38" s="4">
        <v>37.0</v>
      </c>
      <c r="B38" s="10">
        <v>46104.0</v>
      </c>
      <c r="C38" s="17" t="s">
        <v>114</v>
      </c>
      <c r="D38" s="17" t="s">
        <v>304</v>
      </c>
      <c r="E38" s="17" t="s">
        <v>57</v>
      </c>
      <c r="F38" s="13" t="s">
        <v>4</v>
      </c>
      <c r="G38" s="4" t="str">
        <f t="shared" ref="G38:G49" si="2">I26</f>
        <v/>
      </c>
      <c r="H38" s="4">
        <v>5.0</v>
      </c>
      <c r="I38" s="4">
        <v>1.0</v>
      </c>
      <c r="K38" s="13">
        <v>4.0</v>
      </c>
      <c r="L38" s="13">
        <v>80000.0</v>
      </c>
    </row>
    <row r="39">
      <c r="A39" s="4">
        <v>38.0</v>
      </c>
      <c r="B39" s="10">
        <v>46104.0</v>
      </c>
      <c r="C39" s="17" t="s">
        <v>114</v>
      </c>
      <c r="D39" s="17" t="s">
        <v>304</v>
      </c>
      <c r="E39" s="17" t="s">
        <v>57</v>
      </c>
      <c r="F39" s="13" t="s">
        <v>5</v>
      </c>
      <c r="G39" s="4" t="str">
        <f t="shared" si="2"/>
        <v/>
      </c>
      <c r="H39" s="4">
        <v>2.0</v>
      </c>
      <c r="I39" s="4">
        <v>1.0</v>
      </c>
      <c r="K39" s="13">
        <v>1.0</v>
      </c>
      <c r="L39" s="13">
        <v>20000.0</v>
      </c>
    </row>
    <row r="40">
      <c r="A40" s="4">
        <v>39.0</v>
      </c>
      <c r="B40" s="10">
        <v>46104.0</v>
      </c>
      <c r="C40" s="17" t="s">
        <v>114</v>
      </c>
      <c r="D40" s="17" t="s">
        <v>304</v>
      </c>
      <c r="E40" s="17" t="s">
        <v>57</v>
      </c>
      <c r="F40" s="13" t="s">
        <v>6</v>
      </c>
      <c r="G40" s="4" t="str">
        <f t="shared" si="2"/>
        <v/>
      </c>
      <c r="H40" s="4">
        <v>2.0</v>
      </c>
      <c r="I40" s="4">
        <v>2.0</v>
      </c>
      <c r="K40" s="13">
        <v>0.0</v>
      </c>
      <c r="L40" s="13">
        <v>0.0</v>
      </c>
    </row>
    <row r="41">
      <c r="A41" s="4">
        <v>40.0</v>
      </c>
      <c r="B41" s="10">
        <v>46104.0</v>
      </c>
      <c r="C41" s="17" t="s">
        <v>114</v>
      </c>
      <c r="D41" s="17" t="s">
        <v>304</v>
      </c>
      <c r="E41" s="17" t="s">
        <v>57</v>
      </c>
      <c r="F41" s="13" t="s">
        <v>7</v>
      </c>
      <c r="G41" s="4" t="str">
        <f t="shared" si="2"/>
        <v/>
      </c>
      <c r="H41" s="4">
        <v>3.0</v>
      </c>
      <c r="K41" s="13">
        <v>3.0</v>
      </c>
      <c r="L41" s="13">
        <v>60000.0</v>
      </c>
    </row>
    <row r="42">
      <c r="A42" s="4">
        <v>41.0</v>
      </c>
      <c r="B42" s="10">
        <v>46104.0</v>
      </c>
      <c r="C42" s="17" t="s">
        <v>114</v>
      </c>
      <c r="D42" s="17" t="s">
        <v>304</v>
      </c>
      <c r="E42" s="17" t="s">
        <v>57</v>
      </c>
      <c r="F42" s="13" t="s">
        <v>8</v>
      </c>
      <c r="G42" s="4" t="str">
        <f t="shared" si="2"/>
        <v/>
      </c>
      <c r="H42" s="4">
        <v>3.0</v>
      </c>
      <c r="K42" s="13">
        <v>3.0</v>
      </c>
      <c r="L42" s="13">
        <v>60000.0</v>
      </c>
    </row>
    <row r="43">
      <c r="A43" s="4">
        <v>42.0</v>
      </c>
      <c r="B43" s="10">
        <v>46104.0</v>
      </c>
      <c r="C43" s="17" t="s">
        <v>114</v>
      </c>
      <c r="D43" s="17" t="s">
        <v>304</v>
      </c>
      <c r="E43" s="17" t="s">
        <v>57</v>
      </c>
      <c r="F43" s="13" t="s">
        <v>9</v>
      </c>
      <c r="G43" s="4" t="str">
        <f t="shared" si="2"/>
        <v/>
      </c>
      <c r="H43" s="4">
        <v>5.0</v>
      </c>
      <c r="I43" s="4">
        <v>2.0</v>
      </c>
      <c r="K43" s="13">
        <v>3.0</v>
      </c>
      <c r="L43" s="13">
        <v>60000.0</v>
      </c>
    </row>
    <row r="44">
      <c r="A44" s="4">
        <v>43.0</v>
      </c>
      <c r="B44" s="10">
        <v>46104.0</v>
      </c>
      <c r="C44" s="17" t="s">
        <v>114</v>
      </c>
      <c r="D44" s="17" t="s">
        <v>304</v>
      </c>
      <c r="E44" s="17" t="s">
        <v>57</v>
      </c>
      <c r="F44" s="13" t="s">
        <v>10</v>
      </c>
      <c r="G44" s="4" t="str">
        <f t="shared" si="2"/>
        <v/>
      </c>
      <c r="H44" s="4">
        <v>3.0</v>
      </c>
      <c r="I44" s="4">
        <v>2.0</v>
      </c>
      <c r="K44" s="13">
        <v>1.0</v>
      </c>
      <c r="L44" s="13">
        <v>20000.0</v>
      </c>
    </row>
    <row r="45">
      <c r="A45" s="4">
        <v>44.0</v>
      </c>
      <c r="B45" s="10">
        <v>46104.0</v>
      </c>
      <c r="C45" s="17" t="s">
        <v>114</v>
      </c>
      <c r="D45" s="17" t="s">
        <v>304</v>
      </c>
      <c r="E45" s="17" t="s">
        <v>57</v>
      </c>
      <c r="F45" s="13" t="s">
        <v>11</v>
      </c>
      <c r="G45" s="4" t="str">
        <f t="shared" si="2"/>
        <v/>
      </c>
      <c r="H45" s="4">
        <v>2.0</v>
      </c>
      <c r="I45" s="4">
        <v>1.0</v>
      </c>
      <c r="K45" s="13">
        <v>1.0</v>
      </c>
      <c r="L45" s="13">
        <v>20000.0</v>
      </c>
    </row>
    <row r="46">
      <c r="A46" s="4">
        <v>45.0</v>
      </c>
      <c r="B46" s="10">
        <v>46104.0</v>
      </c>
      <c r="C46" s="17" t="s">
        <v>114</v>
      </c>
      <c r="D46" s="17" t="s">
        <v>304</v>
      </c>
      <c r="E46" s="17" t="s">
        <v>57</v>
      </c>
      <c r="F46" s="13" t="s">
        <v>12</v>
      </c>
      <c r="G46" s="4" t="str">
        <f t="shared" si="2"/>
        <v/>
      </c>
      <c r="H46" s="4">
        <v>2.0</v>
      </c>
      <c r="I46" s="4">
        <v>2.0</v>
      </c>
      <c r="K46" s="13">
        <v>0.0</v>
      </c>
      <c r="L46" s="13">
        <v>0.0</v>
      </c>
    </row>
    <row r="47">
      <c r="A47" s="4">
        <v>46.0</v>
      </c>
      <c r="B47" s="10">
        <v>46104.0</v>
      </c>
      <c r="C47" s="17" t="s">
        <v>114</v>
      </c>
      <c r="D47" s="17" t="s">
        <v>304</v>
      </c>
      <c r="E47" s="17" t="s">
        <v>57</v>
      </c>
      <c r="F47" s="13" t="s">
        <v>13</v>
      </c>
      <c r="G47" s="4" t="str">
        <f t="shared" si="2"/>
        <v/>
      </c>
      <c r="H47" s="4">
        <v>3.0</v>
      </c>
      <c r="I47" s="4">
        <v>3.0</v>
      </c>
      <c r="K47" s="13">
        <v>0.0</v>
      </c>
      <c r="L47" s="13">
        <v>0.0</v>
      </c>
    </row>
    <row r="48">
      <c r="A48" s="4">
        <v>47.0</v>
      </c>
      <c r="B48" s="10">
        <v>46104.0</v>
      </c>
      <c r="C48" s="17" t="s">
        <v>114</v>
      </c>
      <c r="D48" s="17" t="s">
        <v>304</v>
      </c>
      <c r="E48" s="17" t="s">
        <v>57</v>
      </c>
      <c r="F48" s="13" t="s">
        <v>14</v>
      </c>
      <c r="G48" s="4" t="str">
        <f t="shared" si="2"/>
        <v/>
      </c>
      <c r="H48" s="4">
        <v>1.0</v>
      </c>
      <c r="K48" s="13">
        <v>1.0</v>
      </c>
      <c r="L48" s="13">
        <v>22000.0</v>
      </c>
    </row>
    <row r="49">
      <c r="A49" s="4">
        <v>48.0</v>
      </c>
      <c r="B49" s="10">
        <v>46104.0</v>
      </c>
      <c r="C49" s="17" t="s">
        <v>114</v>
      </c>
      <c r="D49" s="17" t="s">
        <v>304</v>
      </c>
      <c r="E49" s="17" t="s">
        <v>57</v>
      </c>
      <c r="F49" s="13" t="s">
        <v>15</v>
      </c>
      <c r="G49" s="4" t="str">
        <f t="shared" si="2"/>
        <v/>
      </c>
      <c r="H49" s="4">
        <v>29.0</v>
      </c>
      <c r="I49" s="4">
        <v>14.0</v>
      </c>
      <c r="K49" s="13">
        <v>15.0</v>
      </c>
      <c r="L49" s="13">
        <v>300000.0</v>
      </c>
    </row>
    <row r="50">
      <c r="A50" s="4">
        <v>49.0</v>
      </c>
      <c r="B50" s="10">
        <v>46104.0</v>
      </c>
      <c r="C50" s="17" t="s">
        <v>113</v>
      </c>
      <c r="D50" s="17" t="s">
        <v>93</v>
      </c>
      <c r="E50" s="17" t="s">
        <v>95</v>
      </c>
      <c r="F50" s="13" t="s">
        <v>4</v>
      </c>
      <c r="H50" s="4">
        <v>5.0</v>
      </c>
      <c r="K50" s="13">
        <v>5.0</v>
      </c>
      <c r="L50" s="13">
        <v>100000.0</v>
      </c>
    </row>
    <row r="51">
      <c r="A51" s="4">
        <v>50.0</v>
      </c>
      <c r="B51" s="10">
        <v>46104.0</v>
      </c>
      <c r="C51" s="17" t="s">
        <v>113</v>
      </c>
      <c r="D51" s="17" t="s">
        <v>93</v>
      </c>
      <c r="E51" s="17" t="s">
        <v>95</v>
      </c>
      <c r="F51" s="13" t="s">
        <v>5</v>
      </c>
      <c r="H51" s="4">
        <v>3.0</v>
      </c>
      <c r="K51" s="13">
        <v>3.0</v>
      </c>
      <c r="L51" s="13">
        <v>60000.0</v>
      </c>
    </row>
    <row r="52">
      <c r="A52" s="4">
        <v>51.0</v>
      </c>
      <c r="B52" s="10">
        <v>46104.0</v>
      </c>
      <c r="C52" s="17" t="s">
        <v>113</v>
      </c>
      <c r="D52" s="17" t="s">
        <v>93</v>
      </c>
      <c r="E52" s="17" t="s">
        <v>95</v>
      </c>
      <c r="F52" s="13" t="s">
        <v>6</v>
      </c>
      <c r="H52" s="4">
        <v>2.0</v>
      </c>
      <c r="K52" s="13">
        <v>2.0</v>
      </c>
      <c r="L52" s="13">
        <v>40000.0</v>
      </c>
    </row>
    <row r="53">
      <c r="A53" s="4">
        <v>52.0</v>
      </c>
      <c r="B53" s="10">
        <v>46104.0</v>
      </c>
      <c r="C53" s="17" t="s">
        <v>113</v>
      </c>
      <c r="D53" s="17" t="s">
        <v>93</v>
      </c>
      <c r="E53" s="17" t="s">
        <v>95</v>
      </c>
      <c r="F53" s="13" t="s">
        <v>7</v>
      </c>
      <c r="H53" s="4">
        <v>4.0</v>
      </c>
      <c r="K53" s="13">
        <v>4.0</v>
      </c>
      <c r="L53" s="13">
        <v>80000.0</v>
      </c>
    </row>
    <row r="54">
      <c r="A54" s="4">
        <v>53.0</v>
      </c>
      <c r="B54" s="10">
        <v>46104.0</v>
      </c>
      <c r="C54" s="17" t="s">
        <v>113</v>
      </c>
      <c r="D54" s="17" t="s">
        <v>93</v>
      </c>
      <c r="E54" s="17" t="s">
        <v>95</v>
      </c>
      <c r="F54" s="13" t="s">
        <v>8</v>
      </c>
      <c r="H54" s="4">
        <v>5.0</v>
      </c>
      <c r="I54" s="4">
        <v>1.0</v>
      </c>
      <c r="K54" s="13">
        <v>4.0</v>
      </c>
      <c r="L54" s="13">
        <v>80000.0</v>
      </c>
    </row>
    <row r="55">
      <c r="A55" s="4">
        <v>54.0</v>
      </c>
      <c r="B55" s="10">
        <v>46104.0</v>
      </c>
      <c r="C55" s="17" t="s">
        <v>113</v>
      </c>
      <c r="D55" s="17" t="s">
        <v>93</v>
      </c>
      <c r="E55" s="17" t="s">
        <v>95</v>
      </c>
      <c r="F55" s="13" t="s">
        <v>9</v>
      </c>
      <c r="H55" s="4">
        <v>5.0</v>
      </c>
      <c r="K55" s="13">
        <v>5.0</v>
      </c>
      <c r="L55" s="13">
        <v>100000.0</v>
      </c>
    </row>
    <row r="56">
      <c r="A56" s="4">
        <v>55.0</v>
      </c>
      <c r="B56" s="10">
        <v>46104.0</v>
      </c>
      <c r="C56" s="17" t="s">
        <v>113</v>
      </c>
      <c r="D56" s="17" t="s">
        <v>93</v>
      </c>
      <c r="E56" s="17" t="s">
        <v>95</v>
      </c>
      <c r="F56" s="13" t="s">
        <v>10</v>
      </c>
      <c r="H56" s="4">
        <v>4.0</v>
      </c>
      <c r="I56" s="4">
        <v>1.0</v>
      </c>
      <c r="K56" s="13">
        <v>3.0</v>
      </c>
      <c r="L56" s="13">
        <v>60000.0</v>
      </c>
    </row>
    <row r="57">
      <c r="A57" s="4">
        <v>56.0</v>
      </c>
      <c r="B57" s="10">
        <v>46104.0</v>
      </c>
      <c r="C57" s="17" t="s">
        <v>113</v>
      </c>
      <c r="D57" s="17" t="s">
        <v>93</v>
      </c>
      <c r="E57" s="17" t="s">
        <v>95</v>
      </c>
      <c r="F57" s="13" t="s">
        <v>11</v>
      </c>
      <c r="H57" s="4">
        <v>2.0</v>
      </c>
      <c r="K57" s="13">
        <v>2.0</v>
      </c>
      <c r="L57" s="13">
        <v>40000.0</v>
      </c>
    </row>
    <row r="58">
      <c r="A58" s="4">
        <v>57.0</v>
      </c>
      <c r="B58" s="10">
        <v>46104.0</v>
      </c>
      <c r="C58" s="17" t="s">
        <v>113</v>
      </c>
      <c r="D58" s="17" t="s">
        <v>93</v>
      </c>
      <c r="E58" s="17" t="s">
        <v>95</v>
      </c>
      <c r="F58" s="13" t="s">
        <v>12</v>
      </c>
      <c r="H58" s="4">
        <v>3.0</v>
      </c>
      <c r="K58" s="13">
        <v>3.0</v>
      </c>
      <c r="L58" s="13">
        <v>60000.0</v>
      </c>
    </row>
    <row r="59">
      <c r="A59" s="4">
        <v>58.0</v>
      </c>
      <c r="B59" s="10">
        <v>46104.0</v>
      </c>
      <c r="C59" s="17" t="s">
        <v>113</v>
      </c>
      <c r="D59" s="17" t="s">
        <v>93</v>
      </c>
      <c r="E59" s="17" t="s">
        <v>95</v>
      </c>
      <c r="F59" s="13" t="s">
        <v>13</v>
      </c>
      <c r="H59" s="4">
        <v>4.0</v>
      </c>
      <c r="I59" s="4">
        <v>1.0</v>
      </c>
      <c r="K59" s="13">
        <v>3.0</v>
      </c>
      <c r="L59" s="13">
        <v>60000.0</v>
      </c>
    </row>
    <row r="60">
      <c r="A60" s="4">
        <v>59.0</v>
      </c>
      <c r="B60" s="10">
        <v>46104.0</v>
      </c>
      <c r="C60" s="17" t="s">
        <v>113</v>
      </c>
      <c r="D60" s="17" t="s">
        <v>93</v>
      </c>
      <c r="E60" s="17" t="s">
        <v>95</v>
      </c>
      <c r="F60" s="13" t="s">
        <v>14</v>
      </c>
      <c r="H60" s="4">
        <v>3.0</v>
      </c>
      <c r="K60" s="13">
        <v>3.0</v>
      </c>
      <c r="L60" s="13">
        <v>66000.0</v>
      </c>
    </row>
    <row r="61">
      <c r="A61" s="4">
        <v>60.0</v>
      </c>
      <c r="B61" s="10">
        <v>46104.0</v>
      </c>
      <c r="C61" s="17" t="s">
        <v>113</v>
      </c>
      <c r="D61" s="17" t="s">
        <v>93</v>
      </c>
      <c r="E61" s="17" t="s">
        <v>95</v>
      </c>
      <c r="F61" s="13" t="s">
        <v>15</v>
      </c>
      <c r="H61" s="4">
        <v>35.0</v>
      </c>
      <c r="I61" s="4">
        <v>3.0</v>
      </c>
      <c r="K61" s="13">
        <v>32.0</v>
      </c>
      <c r="L61" s="13">
        <v>640000.0</v>
      </c>
    </row>
    <row r="62">
      <c r="A62" s="4">
        <v>61.0</v>
      </c>
      <c r="B62" s="10">
        <v>46104.0</v>
      </c>
      <c r="C62" s="17" t="s">
        <v>114</v>
      </c>
      <c r="D62" s="17" t="s">
        <v>93</v>
      </c>
      <c r="E62" s="17" t="s">
        <v>95</v>
      </c>
      <c r="F62" s="13" t="s">
        <v>4</v>
      </c>
      <c r="G62" s="4" t="str">
        <f t="shared" ref="G62:G73" si="3">I50</f>
        <v/>
      </c>
      <c r="H62" s="4">
        <v>5.0</v>
      </c>
      <c r="I62" s="4">
        <v>2.0</v>
      </c>
      <c r="K62" s="13">
        <v>3.0</v>
      </c>
      <c r="L62" s="13">
        <v>60000.0</v>
      </c>
    </row>
    <row r="63">
      <c r="A63" s="4">
        <v>62.0</v>
      </c>
      <c r="B63" s="10">
        <v>46104.0</v>
      </c>
      <c r="C63" s="17" t="s">
        <v>114</v>
      </c>
      <c r="D63" s="17" t="s">
        <v>93</v>
      </c>
      <c r="E63" s="17" t="s">
        <v>95</v>
      </c>
      <c r="F63" s="13" t="s">
        <v>5</v>
      </c>
      <c r="G63" s="4" t="str">
        <f t="shared" si="3"/>
        <v/>
      </c>
      <c r="H63" s="4">
        <v>2.0</v>
      </c>
      <c r="K63" s="13">
        <v>2.0</v>
      </c>
      <c r="L63" s="13">
        <v>40000.0</v>
      </c>
    </row>
    <row r="64">
      <c r="A64" s="4">
        <v>63.0</v>
      </c>
      <c r="B64" s="10">
        <v>46104.0</v>
      </c>
      <c r="C64" s="17" t="s">
        <v>114</v>
      </c>
      <c r="D64" s="17" t="s">
        <v>93</v>
      </c>
      <c r="E64" s="17" t="s">
        <v>95</v>
      </c>
      <c r="F64" s="13" t="s">
        <v>6</v>
      </c>
      <c r="G64" s="4" t="str">
        <f t="shared" si="3"/>
        <v/>
      </c>
      <c r="H64" s="4">
        <v>2.0</v>
      </c>
      <c r="K64" s="13">
        <v>2.0</v>
      </c>
      <c r="L64" s="13">
        <v>40000.0</v>
      </c>
    </row>
    <row r="65">
      <c r="A65" s="4">
        <v>64.0</v>
      </c>
      <c r="B65" s="10">
        <v>46104.0</v>
      </c>
      <c r="C65" s="17" t="s">
        <v>114</v>
      </c>
      <c r="D65" s="17" t="s">
        <v>93</v>
      </c>
      <c r="E65" s="17" t="s">
        <v>95</v>
      </c>
      <c r="F65" s="13" t="s">
        <v>7</v>
      </c>
      <c r="G65" s="4" t="str">
        <f t="shared" si="3"/>
        <v/>
      </c>
      <c r="H65" s="4">
        <v>3.0</v>
      </c>
      <c r="I65" s="4">
        <v>1.0</v>
      </c>
      <c r="K65" s="13">
        <v>2.0</v>
      </c>
      <c r="L65" s="13">
        <v>40000.0</v>
      </c>
    </row>
    <row r="66">
      <c r="A66" s="4">
        <v>65.0</v>
      </c>
      <c r="B66" s="10">
        <v>46104.0</v>
      </c>
      <c r="C66" s="17" t="s">
        <v>114</v>
      </c>
      <c r="D66" s="17" t="s">
        <v>93</v>
      </c>
      <c r="E66" s="17" t="s">
        <v>95</v>
      </c>
      <c r="F66" s="13" t="s">
        <v>8</v>
      </c>
      <c r="G66" s="4">
        <f t="shared" si="3"/>
        <v>1</v>
      </c>
      <c r="H66" s="4">
        <v>2.0</v>
      </c>
      <c r="I66" s="4">
        <v>1.0</v>
      </c>
      <c r="K66" s="13">
        <v>2.0</v>
      </c>
      <c r="L66" s="13">
        <v>40000.0</v>
      </c>
    </row>
    <row r="67">
      <c r="A67" s="4">
        <v>66.0</v>
      </c>
      <c r="B67" s="10">
        <v>46104.0</v>
      </c>
      <c r="C67" s="17" t="s">
        <v>114</v>
      </c>
      <c r="D67" s="17" t="s">
        <v>93</v>
      </c>
      <c r="E67" s="17" t="s">
        <v>95</v>
      </c>
      <c r="F67" s="13" t="s">
        <v>9</v>
      </c>
      <c r="G67" s="4" t="str">
        <f t="shared" si="3"/>
        <v/>
      </c>
      <c r="H67" s="4">
        <v>5.0</v>
      </c>
      <c r="I67" s="4">
        <v>1.0</v>
      </c>
      <c r="K67" s="13">
        <v>4.0</v>
      </c>
      <c r="L67" s="13">
        <v>80000.0</v>
      </c>
    </row>
    <row r="68">
      <c r="A68" s="4">
        <v>67.0</v>
      </c>
      <c r="B68" s="10">
        <v>46104.0</v>
      </c>
      <c r="C68" s="17" t="s">
        <v>114</v>
      </c>
      <c r="D68" s="17" t="s">
        <v>93</v>
      </c>
      <c r="E68" s="17" t="s">
        <v>95</v>
      </c>
      <c r="F68" s="13" t="s">
        <v>10</v>
      </c>
      <c r="G68" s="4">
        <f t="shared" si="3"/>
        <v>1</v>
      </c>
      <c r="H68" s="4">
        <v>1.0</v>
      </c>
      <c r="K68" s="13">
        <v>2.0</v>
      </c>
      <c r="L68" s="13">
        <v>40000.0</v>
      </c>
    </row>
    <row r="69">
      <c r="A69" s="4">
        <v>68.0</v>
      </c>
      <c r="B69" s="10">
        <v>46104.0</v>
      </c>
      <c r="C69" s="17" t="s">
        <v>114</v>
      </c>
      <c r="D69" s="17" t="s">
        <v>93</v>
      </c>
      <c r="E69" s="17" t="s">
        <v>95</v>
      </c>
      <c r="F69" s="13" t="s">
        <v>11</v>
      </c>
      <c r="G69" s="4" t="str">
        <f t="shared" si="3"/>
        <v/>
      </c>
      <c r="K69" s="13">
        <v>0.0</v>
      </c>
      <c r="L69" s="13">
        <v>0.0</v>
      </c>
    </row>
    <row r="70">
      <c r="A70" s="4">
        <v>69.0</v>
      </c>
      <c r="B70" s="10">
        <v>46104.0</v>
      </c>
      <c r="C70" s="17" t="s">
        <v>114</v>
      </c>
      <c r="D70" s="17" t="s">
        <v>93</v>
      </c>
      <c r="E70" s="17" t="s">
        <v>95</v>
      </c>
      <c r="F70" s="13" t="s">
        <v>12</v>
      </c>
      <c r="G70" s="4" t="str">
        <f t="shared" si="3"/>
        <v/>
      </c>
      <c r="H70" s="4">
        <v>2.0</v>
      </c>
      <c r="K70" s="13">
        <v>2.0</v>
      </c>
      <c r="L70" s="13">
        <v>40000.0</v>
      </c>
    </row>
    <row r="71">
      <c r="A71" s="4">
        <v>70.0</v>
      </c>
      <c r="B71" s="10">
        <v>46104.0</v>
      </c>
      <c r="C71" s="17" t="s">
        <v>114</v>
      </c>
      <c r="D71" s="17" t="s">
        <v>93</v>
      </c>
      <c r="E71" s="17" t="s">
        <v>95</v>
      </c>
      <c r="F71" s="13" t="s">
        <v>13</v>
      </c>
      <c r="G71" s="4">
        <f t="shared" si="3"/>
        <v>1</v>
      </c>
      <c r="H71" s="4">
        <v>2.0</v>
      </c>
      <c r="I71" s="4">
        <v>1.0</v>
      </c>
      <c r="K71" s="13">
        <v>2.0</v>
      </c>
      <c r="L71" s="13">
        <v>40000.0</v>
      </c>
    </row>
    <row r="72">
      <c r="A72" s="4">
        <v>71.0</v>
      </c>
      <c r="B72" s="10">
        <v>46104.0</v>
      </c>
      <c r="C72" s="17" t="s">
        <v>114</v>
      </c>
      <c r="D72" s="17" t="s">
        <v>93</v>
      </c>
      <c r="E72" s="17" t="s">
        <v>95</v>
      </c>
      <c r="F72" s="13" t="s">
        <v>14</v>
      </c>
      <c r="G72" s="4" t="str">
        <f t="shared" si="3"/>
        <v/>
      </c>
      <c r="H72" s="4"/>
      <c r="K72" s="13">
        <v>0.0</v>
      </c>
      <c r="L72" s="13">
        <v>0.0</v>
      </c>
    </row>
    <row r="73">
      <c r="A73" s="4">
        <v>72.0</v>
      </c>
      <c r="B73" s="10">
        <v>46104.0</v>
      </c>
      <c r="C73" s="17" t="s">
        <v>114</v>
      </c>
      <c r="D73" s="17" t="s">
        <v>93</v>
      </c>
      <c r="E73" s="17" t="s">
        <v>95</v>
      </c>
      <c r="F73" s="13" t="s">
        <v>15</v>
      </c>
      <c r="G73" s="4">
        <f t="shared" si="3"/>
        <v>3</v>
      </c>
      <c r="H73" s="4">
        <v>17.0</v>
      </c>
      <c r="I73" s="4">
        <v>2.0</v>
      </c>
      <c r="K73" s="13">
        <v>18.0</v>
      </c>
      <c r="L73" s="13">
        <v>360000.0</v>
      </c>
    </row>
    <row r="74">
      <c r="A74" s="4">
        <v>73.0</v>
      </c>
      <c r="B74" s="10">
        <v>46104.0</v>
      </c>
      <c r="C74" s="17" t="s">
        <v>113</v>
      </c>
      <c r="D74" s="17" t="s">
        <v>89</v>
      </c>
      <c r="E74" s="17" t="s">
        <v>71</v>
      </c>
      <c r="F74" s="13" t="s">
        <v>4</v>
      </c>
      <c r="H74" s="4">
        <v>6.0</v>
      </c>
      <c r="K74" s="13">
        <v>6.0</v>
      </c>
      <c r="L74" s="13">
        <v>120000.0</v>
      </c>
    </row>
    <row r="75">
      <c r="A75" s="4">
        <v>74.0</v>
      </c>
      <c r="B75" s="10">
        <v>46104.0</v>
      </c>
      <c r="C75" s="17" t="s">
        <v>113</v>
      </c>
      <c r="D75" s="17" t="s">
        <v>89</v>
      </c>
      <c r="E75" s="17" t="s">
        <v>71</v>
      </c>
      <c r="F75" s="13" t="s">
        <v>5</v>
      </c>
      <c r="H75" s="4">
        <v>4.0</v>
      </c>
      <c r="K75" s="13">
        <v>4.0</v>
      </c>
      <c r="L75" s="13">
        <v>80000.0</v>
      </c>
    </row>
    <row r="76">
      <c r="A76" s="4">
        <v>75.0</v>
      </c>
      <c r="B76" s="10">
        <v>46104.0</v>
      </c>
      <c r="C76" s="17" t="s">
        <v>113</v>
      </c>
      <c r="D76" s="17" t="s">
        <v>89</v>
      </c>
      <c r="E76" s="17" t="s">
        <v>71</v>
      </c>
      <c r="F76" s="13" t="s">
        <v>6</v>
      </c>
      <c r="H76" s="4">
        <v>4.0</v>
      </c>
      <c r="K76" s="13">
        <v>4.0</v>
      </c>
      <c r="L76" s="13">
        <v>80000.0</v>
      </c>
    </row>
    <row r="77">
      <c r="A77" s="4">
        <v>76.0</v>
      </c>
      <c r="B77" s="10">
        <v>46104.0</v>
      </c>
      <c r="C77" s="17" t="s">
        <v>113</v>
      </c>
      <c r="D77" s="17" t="s">
        <v>89</v>
      </c>
      <c r="E77" s="17" t="s">
        <v>71</v>
      </c>
      <c r="F77" s="13" t="s">
        <v>7</v>
      </c>
      <c r="H77" s="4">
        <v>5.0</v>
      </c>
      <c r="K77" s="13">
        <v>5.0</v>
      </c>
      <c r="L77" s="13">
        <v>100000.0</v>
      </c>
    </row>
    <row r="78">
      <c r="A78" s="4">
        <v>77.0</v>
      </c>
      <c r="B78" s="10">
        <v>46104.0</v>
      </c>
      <c r="C78" s="17" t="s">
        <v>113</v>
      </c>
      <c r="D78" s="17" t="s">
        <v>89</v>
      </c>
      <c r="E78" s="17" t="s">
        <v>71</v>
      </c>
      <c r="F78" s="13" t="s">
        <v>8</v>
      </c>
      <c r="H78" s="4">
        <v>6.0</v>
      </c>
      <c r="K78" s="13">
        <v>6.0</v>
      </c>
      <c r="L78" s="13">
        <v>120000.0</v>
      </c>
    </row>
    <row r="79">
      <c r="A79" s="4">
        <v>78.0</v>
      </c>
      <c r="B79" s="10">
        <v>46104.0</v>
      </c>
      <c r="C79" s="17" t="s">
        <v>113</v>
      </c>
      <c r="D79" s="17" t="s">
        <v>89</v>
      </c>
      <c r="E79" s="17" t="s">
        <v>71</v>
      </c>
      <c r="F79" s="13" t="s">
        <v>9</v>
      </c>
      <c r="H79" s="4">
        <v>6.0</v>
      </c>
      <c r="K79" s="13">
        <v>6.0</v>
      </c>
      <c r="L79" s="13">
        <v>120000.0</v>
      </c>
    </row>
    <row r="80">
      <c r="A80" s="4">
        <v>79.0</v>
      </c>
      <c r="B80" s="10">
        <v>46104.0</v>
      </c>
      <c r="C80" s="17" t="s">
        <v>113</v>
      </c>
      <c r="D80" s="17" t="s">
        <v>89</v>
      </c>
      <c r="E80" s="17" t="s">
        <v>71</v>
      </c>
      <c r="F80" s="13" t="s">
        <v>10</v>
      </c>
      <c r="H80" s="4">
        <v>5.0</v>
      </c>
      <c r="K80" s="13">
        <v>5.0</v>
      </c>
      <c r="L80" s="13">
        <v>100000.0</v>
      </c>
    </row>
    <row r="81">
      <c r="A81" s="4">
        <v>80.0</v>
      </c>
      <c r="B81" s="10">
        <v>46104.0</v>
      </c>
      <c r="C81" s="17" t="s">
        <v>113</v>
      </c>
      <c r="D81" s="17" t="s">
        <v>89</v>
      </c>
      <c r="E81" s="17" t="s">
        <v>71</v>
      </c>
      <c r="F81" s="13" t="s">
        <v>11</v>
      </c>
      <c r="H81" s="4">
        <v>3.0</v>
      </c>
      <c r="K81" s="13">
        <v>3.0</v>
      </c>
      <c r="L81" s="13">
        <v>60000.0</v>
      </c>
    </row>
    <row r="82">
      <c r="A82" s="4">
        <v>81.0</v>
      </c>
      <c r="B82" s="10">
        <v>46104.0</v>
      </c>
      <c r="C82" s="17" t="s">
        <v>113</v>
      </c>
      <c r="D82" s="17" t="s">
        <v>89</v>
      </c>
      <c r="E82" s="17" t="s">
        <v>71</v>
      </c>
      <c r="F82" s="13" t="s">
        <v>12</v>
      </c>
      <c r="H82" s="4">
        <v>2.0</v>
      </c>
      <c r="K82" s="13">
        <v>2.0</v>
      </c>
      <c r="L82" s="13">
        <v>40000.0</v>
      </c>
    </row>
    <row r="83">
      <c r="A83" s="4">
        <v>82.0</v>
      </c>
      <c r="B83" s="10">
        <v>46104.0</v>
      </c>
      <c r="C83" s="17" t="s">
        <v>113</v>
      </c>
      <c r="D83" s="17" t="s">
        <v>89</v>
      </c>
      <c r="E83" s="17" t="s">
        <v>71</v>
      </c>
      <c r="F83" s="13" t="s">
        <v>13</v>
      </c>
      <c r="H83" s="4">
        <v>5.0</v>
      </c>
      <c r="K83" s="13">
        <v>5.0</v>
      </c>
      <c r="L83" s="13">
        <v>100000.0</v>
      </c>
    </row>
    <row r="84">
      <c r="A84" s="4">
        <v>83.0</v>
      </c>
      <c r="B84" s="10">
        <v>46104.0</v>
      </c>
      <c r="C84" s="17" t="s">
        <v>113</v>
      </c>
      <c r="D84" s="17" t="s">
        <v>89</v>
      </c>
      <c r="E84" s="17" t="s">
        <v>71</v>
      </c>
      <c r="F84" s="13" t="s">
        <v>14</v>
      </c>
      <c r="H84" s="4">
        <v>3.0</v>
      </c>
      <c r="K84" s="13">
        <v>3.0</v>
      </c>
      <c r="L84" s="13">
        <v>66000.0</v>
      </c>
    </row>
    <row r="85">
      <c r="A85" s="4">
        <v>84.0</v>
      </c>
      <c r="B85" s="10">
        <v>46104.0</v>
      </c>
      <c r="C85" s="17" t="s">
        <v>113</v>
      </c>
      <c r="D85" s="17" t="s">
        <v>89</v>
      </c>
      <c r="E85" s="17" t="s">
        <v>71</v>
      </c>
      <c r="F85" s="13" t="s">
        <v>15</v>
      </c>
      <c r="H85" s="4">
        <v>40.0</v>
      </c>
      <c r="K85" s="13">
        <v>40.0</v>
      </c>
      <c r="L85" s="13">
        <v>800000.0</v>
      </c>
    </row>
    <row r="86">
      <c r="A86" s="4">
        <v>85.0</v>
      </c>
      <c r="B86" s="10">
        <v>46104.0</v>
      </c>
      <c r="C86" s="17" t="s">
        <v>114</v>
      </c>
      <c r="D86" s="17" t="s">
        <v>89</v>
      </c>
      <c r="E86" s="17" t="s">
        <v>53</v>
      </c>
      <c r="F86" s="13" t="s">
        <v>4</v>
      </c>
      <c r="G86" s="13" t="str">
        <f t="shared" ref="G86:G97" si="4">I74</f>
        <v/>
      </c>
      <c r="H86" s="4">
        <v>5.0</v>
      </c>
      <c r="I86" s="4">
        <v>1.0</v>
      </c>
      <c r="K86" s="13">
        <v>4.0</v>
      </c>
      <c r="L86" s="13">
        <v>80000.0</v>
      </c>
    </row>
    <row r="87">
      <c r="A87" s="4">
        <v>86.0</v>
      </c>
      <c r="B87" s="10">
        <v>46104.0</v>
      </c>
      <c r="C87" s="17" t="s">
        <v>114</v>
      </c>
      <c r="D87" s="17" t="s">
        <v>89</v>
      </c>
      <c r="E87" s="17" t="s">
        <v>53</v>
      </c>
      <c r="F87" s="13" t="s">
        <v>5</v>
      </c>
      <c r="G87" s="13" t="str">
        <f t="shared" si="4"/>
        <v/>
      </c>
      <c r="H87" s="4">
        <v>2.0</v>
      </c>
      <c r="K87" s="13">
        <v>2.0</v>
      </c>
      <c r="L87" s="13">
        <v>40000.0</v>
      </c>
    </row>
    <row r="88">
      <c r="A88" s="4">
        <v>87.0</v>
      </c>
      <c r="B88" s="10">
        <v>46104.0</v>
      </c>
      <c r="C88" s="17" t="s">
        <v>114</v>
      </c>
      <c r="D88" s="17" t="s">
        <v>89</v>
      </c>
      <c r="E88" s="17" t="s">
        <v>53</v>
      </c>
      <c r="F88" s="13" t="s">
        <v>6</v>
      </c>
      <c r="G88" s="13" t="str">
        <f t="shared" si="4"/>
        <v/>
      </c>
      <c r="H88" s="4">
        <v>2.0</v>
      </c>
      <c r="K88" s="13">
        <v>2.0</v>
      </c>
      <c r="L88" s="13">
        <v>40000.0</v>
      </c>
    </row>
    <row r="89">
      <c r="A89" s="4">
        <v>88.0</v>
      </c>
      <c r="B89" s="10">
        <v>46104.0</v>
      </c>
      <c r="C89" s="17" t="s">
        <v>114</v>
      </c>
      <c r="D89" s="17" t="s">
        <v>89</v>
      </c>
      <c r="E89" s="17" t="s">
        <v>53</v>
      </c>
      <c r="F89" s="13" t="s">
        <v>7</v>
      </c>
      <c r="G89" s="13" t="str">
        <f t="shared" si="4"/>
        <v/>
      </c>
      <c r="H89" s="4">
        <v>3.0</v>
      </c>
      <c r="K89" s="13">
        <v>3.0</v>
      </c>
      <c r="L89" s="13">
        <v>60000.0</v>
      </c>
    </row>
    <row r="90">
      <c r="A90" s="4">
        <v>89.0</v>
      </c>
      <c r="B90" s="10">
        <v>46104.0</v>
      </c>
      <c r="C90" s="17" t="s">
        <v>114</v>
      </c>
      <c r="D90" s="17" t="s">
        <v>89</v>
      </c>
      <c r="E90" s="17" t="s">
        <v>53</v>
      </c>
      <c r="F90" s="13" t="s">
        <v>8</v>
      </c>
      <c r="G90" s="13" t="str">
        <f t="shared" si="4"/>
        <v/>
      </c>
      <c r="H90" s="4">
        <v>3.0</v>
      </c>
      <c r="K90" s="13">
        <v>3.0</v>
      </c>
      <c r="L90" s="13">
        <v>60000.0</v>
      </c>
    </row>
    <row r="91">
      <c r="A91" s="4">
        <v>90.0</v>
      </c>
      <c r="B91" s="10">
        <v>46104.0</v>
      </c>
      <c r="C91" s="17" t="s">
        <v>114</v>
      </c>
      <c r="D91" s="17" t="s">
        <v>89</v>
      </c>
      <c r="E91" s="17" t="s">
        <v>53</v>
      </c>
      <c r="F91" s="13" t="s">
        <v>9</v>
      </c>
      <c r="G91" s="13" t="str">
        <f t="shared" si="4"/>
        <v/>
      </c>
      <c r="H91" s="4">
        <v>5.0</v>
      </c>
      <c r="K91" s="13">
        <v>5.0</v>
      </c>
      <c r="L91" s="13">
        <v>100000.0</v>
      </c>
    </row>
    <row r="92">
      <c r="A92" s="4">
        <v>91.0</v>
      </c>
      <c r="B92" s="10">
        <v>46104.0</v>
      </c>
      <c r="C92" s="17" t="s">
        <v>114</v>
      </c>
      <c r="D92" s="17" t="s">
        <v>89</v>
      </c>
      <c r="E92" s="17" t="s">
        <v>53</v>
      </c>
      <c r="F92" s="13" t="s">
        <v>10</v>
      </c>
      <c r="G92" s="13" t="str">
        <f t="shared" si="4"/>
        <v/>
      </c>
      <c r="H92" s="4">
        <v>4.0</v>
      </c>
      <c r="K92" s="13">
        <v>4.0</v>
      </c>
      <c r="L92" s="13">
        <v>80000.0</v>
      </c>
    </row>
    <row r="93">
      <c r="A93" s="4">
        <v>92.0</v>
      </c>
      <c r="B93" s="10">
        <v>46104.0</v>
      </c>
      <c r="C93" s="17" t="s">
        <v>114</v>
      </c>
      <c r="D93" s="17" t="s">
        <v>89</v>
      </c>
      <c r="E93" s="17" t="s">
        <v>53</v>
      </c>
      <c r="F93" s="13" t="s">
        <v>11</v>
      </c>
      <c r="G93" s="13" t="str">
        <f t="shared" si="4"/>
        <v/>
      </c>
      <c r="K93" s="13">
        <v>0.0</v>
      </c>
      <c r="L93" s="13">
        <v>0.0</v>
      </c>
    </row>
    <row r="94">
      <c r="A94" s="4">
        <v>93.0</v>
      </c>
      <c r="B94" s="10">
        <v>46104.0</v>
      </c>
      <c r="C94" s="17" t="s">
        <v>114</v>
      </c>
      <c r="D94" s="17" t="s">
        <v>89</v>
      </c>
      <c r="E94" s="17" t="s">
        <v>53</v>
      </c>
      <c r="F94" s="13" t="s">
        <v>12</v>
      </c>
      <c r="G94" s="13" t="str">
        <f t="shared" si="4"/>
        <v/>
      </c>
      <c r="H94" s="4">
        <v>1.0</v>
      </c>
      <c r="K94" s="13">
        <v>1.0</v>
      </c>
      <c r="L94" s="13">
        <v>20000.0</v>
      </c>
    </row>
    <row r="95">
      <c r="A95" s="4">
        <v>94.0</v>
      </c>
      <c r="B95" s="10">
        <v>46104.0</v>
      </c>
      <c r="C95" s="17" t="s">
        <v>114</v>
      </c>
      <c r="D95" s="17" t="s">
        <v>89</v>
      </c>
      <c r="E95" s="17" t="s">
        <v>53</v>
      </c>
      <c r="F95" s="13" t="s">
        <v>13</v>
      </c>
      <c r="G95" s="13" t="str">
        <f t="shared" si="4"/>
        <v/>
      </c>
      <c r="H95" s="4">
        <v>2.0</v>
      </c>
      <c r="K95" s="13">
        <v>2.0</v>
      </c>
      <c r="L95" s="13">
        <v>40000.0</v>
      </c>
    </row>
    <row r="96">
      <c r="A96" s="4">
        <v>95.0</v>
      </c>
      <c r="B96" s="10">
        <v>46104.0</v>
      </c>
      <c r="C96" s="17" t="s">
        <v>114</v>
      </c>
      <c r="D96" s="17" t="s">
        <v>89</v>
      </c>
      <c r="E96" s="17" t="s">
        <v>53</v>
      </c>
      <c r="F96" s="13" t="s">
        <v>14</v>
      </c>
      <c r="G96" s="13" t="str">
        <f t="shared" si="4"/>
        <v/>
      </c>
      <c r="H96" s="4">
        <v>2.0</v>
      </c>
      <c r="K96" s="13">
        <v>2.0</v>
      </c>
      <c r="L96" s="13">
        <v>44000.0</v>
      </c>
    </row>
    <row r="97">
      <c r="A97" s="4">
        <v>96.0</v>
      </c>
      <c r="B97" s="10">
        <v>46104.0</v>
      </c>
      <c r="C97" s="17" t="s">
        <v>114</v>
      </c>
      <c r="D97" s="17" t="s">
        <v>89</v>
      </c>
      <c r="E97" s="17" t="s">
        <v>53</v>
      </c>
      <c r="F97" s="13" t="s">
        <v>15</v>
      </c>
      <c r="G97" s="13" t="str">
        <f t="shared" si="4"/>
        <v/>
      </c>
      <c r="H97" s="4">
        <v>20.0</v>
      </c>
      <c r="K97" s="13">
        <v>20.0</v>
      </c>
      <c r="L97" s="13">
        <v>400000.0</v>
      </c>
    </row>
    <row r="98">
      <c r="A98" s="4">
        <v>97.0</v>
      </c>
      <c r="B98" s="10"/>
      <c r="C98" s="17" t="s">
        <v>113</v>
      </c>
      <c r="D98" s="17" t="s">
        <v>81</v>
      </c>
      <c r="E98" s="17" t="s">
        <v>299</v>
      </c>
      <c r="F98" s="13" t="s">
        <v>4</v>
      </c>
      <c r="G98" s="13"/>
      <c r="H98" s="13"/>
      <c r="I98" s="13"/>
      <c r="J98" s="13"/>
      <c r="K98" s="13">
        <v>0.0</v>
      </c>
      <c r="L98" s="13">
        <v>0.0</v>
      </c>
      <c r="M98" s="13"/>
      <c r="N98" s="13"/>
      <c r="O98" s="13"/>
      <c r="P98" s="13"/>
      <c r="Q98" s="13"/>
      <c r="R98" s="13"/>
      <c r="S98" s="13"/>
      <c r="T98" s="13"/>
      <c r="U98" s="13"/>
      <c r="V98" s="13"/>
      <c r="W98" s="13"/>
      <c r="X98" s="13"/>
      <c r="Y98" s="13"/>
      <c r="Z98" s="13"/>
      <c r="AA98" s="13"/>
      <c r="AB98" s="13"/>
      <c r="AC98" s="13"/>
    </row>
    <row r="99">
      <c r="A99" s="4">
        <v>98.0</v>
      </c>
      <c r="B99" s="10"/>
      <c r="C99" s="17" t="s">
        <v>113</v>
      </c>
      <c r="D99" s="17" t="s">
        <v>81</v>
      </c>
      <c r="E99" s="17" t="s">
        <v>299</v>
      </c>
      <c r="F99" s="13" t="s">
        <v>5</v>
      </c>
      <c r="G99" s="13"/>
      <c r="H99" s="13"/>
      <c r="I99" s="13"/>
      <c r="J99" s="13"/>
      <c r="K99" s="13">
        <v>0.0</v>
      </c>
      <c r="L99" s="13">
        <v>0.0</v>
      </c>
      <c r="M99" s="13"/>
      <c r="N99" s="13"/>
      <c r="O99" s="13"/>
      <c r="P99" s="13"/>
      <c r="Q99" s="13"/>
      <c r="R99" s="13"/>
      <c r="S99" s="13"/>
      <c r="T99" s="13"/>
      <c r="U99" s="13"/>
      <c r="V99" s="13"/>
      <c r="W99" s="13"/>
      <c r="X99" s="13"/>
      <c r="Y99" s="13"/>
      <c r="Z99" s="13"/>
      <c r="AA99" s="13"/>
      <c r="AB99" s="13"/>
      <c r="AC99" s="13"/>
    </row>
    <row r="100">
      <c r="A100" s="4">
        <v>99.0</v>
      </c>
      <c r="B100" s="10"/>
      <c r="C100" s="17" t="s">
        <v>113</v>
      </c>
      <c r="D100" s="17" t="s">
        <v>81</v>
      </c>
      <c r="E100" s="17" t="s">
        <v>299</v>
      </c>
      <c r="F100" s="13" t="s">
        <v>6</v>
      </c>
      <c r="G100" s="13"/>
      <c r="H100" s="13"/>
      <c r="I100" s="13"/>
      <c r="J100" s="13"/>
      <c r="K100" s="13">
        <v>0.0</v>
      </c>
      <c r="L100" s="13">
        <v>0.0</v>
      </c>
      <c r="M100" s="13"/>
      <c r="N100" s="13"/>
      <c r="O100" s="13"/>
      <c r="P100" s="13"/>
      <c r="Q100" s="13"/>
      <c r="R100" s="13"/>
      <c r="S100" s="13"/>
      <c r="T100" s="13"/>
      <c r="U100" s="13"/>
      <c r="V100" s="13"/>
      <c r="W100" s="13"/>
      <c r="X100" s="13"/>
      <c r="Y100" s="13"/>
      <c r="Z100" s="13"/>
      <c r="AA100" s="13"/>
      <c r="AB100" s="13"/>
      <c r="AC100" s="13"/>
    </row>
    <row r="101">
      <c r="A101" s="4">
        <v>100.0</v>
      </c>
      <c r="B101" s="10"/>
      <c r="C101" s="17" t="s">
        <v>113</v>
      </c>
      <c r="D101" s="17" t="s">
        <v>81</v>
      </c>
      <c r="E101" s="17" t="s">
        <v>299</v>
      </c>
      <c r="F101" s="13" t="s">
        <v>7</v>
      </c>
      <c r="G101" s="13"/>
      <c r="H101" s="13"/>
      <c r="I101" s="13"/>
      <c r="J101" s="13"/>
      <c r="K101" s="13">
        <v>0.0</v>
      </c>
      <c r="L101" s="13">
        <v>0.0</v>
      </c>
      <c r="M101" s="13"/>
      <c r="N101" s="13"/>
      <c r="O101" s="13"/>
      <c r="P101" s="13"/>
      <c r="Q101" s="13"/>
      <c r="R101" s="13"/>
      <c r="S101" s="13"/>
      <c r="T101" s="13"/>
      <c r="U101" s="13"/>
      <c r="V101" s="13"/>
      <c r="W101" s="13"/>
      <c r="X101" s="13"/>
      <c r="Y101" s="13"/>
      <c r="Z101" s="13"/>
      <c r="AA101" s="13"/>
      <c r="AB101" s="13"/>
      <c r="AC101" s="13"/>
    </row>
    <row r="102">
      <c r="A102" s="4">
        <v>101.0</v>
      </c>
      <c r="B102" s="10"/>
      <c r="C102" s="17" t="s">
        <v>113</v>
      </c>
      <c r="D102" s="17" t="s">
        <v>81</v>
      </c>
      <c r="E102" s="17" t="s">
        <v>299</v>
      </c>
      <c r="F102" s="13" t="s">
        <v>8</v>
      </c>
      <c r="G102" s="13"/>
      <c r="H102" s="13"/>
      <c r="I102" s="13"/>
      <c r="J102" s="13"/>
      <c r="K102" s="13">
        <v>0.0</v>
      </c>
      <c r="L102" s="13">
        <v>0.0</v>
      </c>
      <c r="M102" s="13"/>
      <c r="N102" s="13"/>
      <c r="O102" s="13"/>
      <c r="P102" s="13"/>
      <c r="Q102" s="13"/>
      <c r="R102" s="13"/>
      <c r="S102" s="13"/>
      <c r="T102" s="13"/>
      <c r="U102" s="13"/>
      <c r="V102" s="13"/>
      <c r="W102" s="13"/>
      <c r="X102" s="13"/>
      <c r="Y102" s="13"/>
      <c r="Z102" s="13"/>
      <c r="AA102" s="13"/>
      <c r="AB102" s="13"/>
      <c r="AC102" s="13"/>
    </row>
    <row r="103">
      <c r="A103" s="4">
        <v>102.0</v>
      </c>
      <c r="B103" s="10"/>
      <c r="C103" s="17" t="s">
        <v>113</v>
      </c>
      <c r="D103" s="17" t="s">
        <v>81</v>
      </c>
      <c r="E103" s="17" t="s">
        <v>299</v>
      </c>
      <c r="F103" s="13" t="s">
        <v>9</v>
      </c>
      <c r="G103" s="13"/>
      <c r="H103" s="13"/>
      <c r="I103" s="13"/>
      <c r="J103" s="13"/>
      <c r="K103" s="13">
        <v>0.0</v>
      </c>
      <c r="L103" s="13">
        <v>0.0</v>
      </c>
      <c r="M103" s="13"/>
      <c r="N103" s="13"/>
      <c r="O103" s="13"/>
      <c r="P103" s="13"/>
      <c r="Q103" s="13"/>
      <c r="R103" s="13"/>
      <c r="S103" s="13"/>
      <c r="T103" s="13"/>
      <c r="U103" s="13"/>
      <c r="V103" s="13"/>
      <c r="W103" s="13"/>
      <c r="X103" s="13"/>
      <c r="Y103" s="13"/>
      <c r="Z103" s="13"/>
      <c r="AA103" s="13"/>
      <c r="AB103" s="13"/>
      <c r="AC103" s="13"/>
    </row>
    <row r="104">
      <c r="A104" s="4">
        <v>103.0</v>
      </c>
      <c r="B104" s="10"/>
      <c r="C104" s="17" t="s">
        <v>113</v>
      </c>
      <c r="D104" s="17" t="s">
        <v>81</v>
      </c>
      <c r="E104" s="17" t="s">
        <v>299</v>
      </c>
      <c r="F104" s="13" t="s">
        <v>10</v>
      </c>
      <c r="G104" s="13"/>
      <c r="H104" s="13"/>
      <c r="I104" s="13"/>
      <c r="J104" s="13"/>
      <c r="K104" s="13">
        <v>0.0</v>
      </c>
      <c r="L104" s="13">
        <v>0.0</v>
      </c>
      <c r="M104" s="13"/>
      <c r="N104" s="13"/>
      <c r="O104" s="13"/>
      <c r="P104" s="13"/>
      <c r="Q104" s="13"/>
      <c r="R104" s="13"/>
      <c r="S104" s="13"/>
      <c r="T104" s="13"/>
      <c r="U104" s="13"/>
      <c r="V104" s="13"/>
      <c r="W104" s="13"/>
      <c r="X104" s="13"/>
      <c r="Y104" s="13"/>
      <c r="Z104" s="13"/>
      <c r="AA104" s="13"/>
      <c r="AB104" s="13"/>
      <c r="AC104" s="13"/>
    </row>
    <row r="105">
      <c r="A105" s="4">
        <v>104.0</v>
      </c>
      <c r="B105" s="10"/>
      <c r="C105" s="17" t="s">
        <v>113</v>
      </c>
      <c r="D105" s="17" t="s">
        <v>81</v>
      </c>
      <c r="E105" s="17" t="s">
        <v>299</v>
      </c>
      <c r="F105" s="13" t="s">
        <v>11</v>
      </c>
      <c r="G105" s="13"/>
      <c r="H105" s="13"/>
      <c r="I105" s="13"/>
      <c r="J105" s="13"/>
      <c r="K105" s="13">
        <v>0.0</v>
      </c>
      <c r="L105" s="13">
        <v>0.0</v>
      </c>
      <c r="M105" s="13"/>
      <c r="N105" s="13"/>
      <c r="O105" s="13"/>
      <c r="P105" s="13"/>
      <c r="Q105" s="13"/>
      <c r="R105" s="13"/>
      <c r="S105" s="13"/>
      <c r="T105" s="13"/>
      <c r="U105" s="13"/>
      <c r="V105" s="13"/>
      <c r="W105" s="13"/>
      <c r="X105" s="13"/>
      <c r="Y105" s="13"/>
      <c r="Z105" s="13"/>
      <c r="AA105" s="13"/>
      <c r="AB105" s="13"/>
      <c r="AC105" s="13"/>
    </row>
    <row r="106">
      <c r="A106" s="4">
        <v>105.0</v>
      </c>
      <c r="B106" s="10"/>
      <c r="C106" s="17" t="s">
        <v>113</v>
      </c>
      <c r="D106" s="17" t="s">
        <v>81</v>
      </c>
      <c r="E106" s="17" t="s">
        <v>299</v>
      </c>
      <c r="F106" s="13" t="s">
        <v>12</v>
      </c>
      <c r="G106" s="13"/>
      <c r="H106" s="13"/>
      <c r="I106" s="13"/>
      <c r="J106" s="13"/>
      <c r="K106" s="13">
        <v>0.0</v>
      </c>
      <c r="L106" s="13">
        <v>0.0</v>
      </c>
      <c r="M106" s="13"/>
      <c r="N106" s="13"/>
      <c r="O106" s="13"/>
      <c r="P106" s="13"/>
      <c r="Q106" s="13"/>
      <c r="R106" s="13"/>
      <c r="S106" s="13"/>
      <c r="T106" s="13"/>
      <c r="U106" s="13"/>
      <c r="V106" s="13"/>
      <c r="W106" s="13"/>
      <c r="X106" s="13"/>
      <c r="Y106" s="13"/>
      <c r="Z106" s="13"/>
      <c r="AA106" s="13"/>
      <c r="AB106" s="13"/>
      <c r="AC106" s="13"/>
    </row>
    <row r="107">
      <c r="A107" s="4">
        <v>106.0</v>
      </c>
      <c r="B107" s="10"/>
      <c r="C107" s="17" t="s">
        <v>113</v>
      </c>
      <c r="D107" s="17" t="s">
        <v>81</v>
      </c>
      <c r="E107" s="17" t="s">
        <v>299</v>
      </c>
      <c r="F107" s="13" t="s">
        <v>13</v>
      </c>
      <c r="G107" s="13"/>
      <c r="H107" s="13"/>
      <c r="I107" s="13"/>
      <c r="J107" s="13"/>
      <c r="K107" s="13">
        <v>0.0</v>
      </c>
      <c r="L107" s="13">
        <v>0.0</v>
      </c>
      <c r="M107" s="13"/>
      <c r="N107" s="13"/>
      <c r="O107" s="13"/>
      <c r="P107" s="13"/>
      <c r="Q107" s="13"/>
      <c r="R107" s="13"/>
      <c r="S107" s="13"/>
      <c r="T107" s="13"/>
      <c r="U107" s="13"/>
      <c r="V107" s="13"/>
      <c r="W107" s="13"/>
      <c r="X107" s="13"/>
      <c r="Y107" s="13"/>
      <c r="Z107" s="13"/>
      <c r="AA107" s="13"/>
      <c r="AB107" s="13"/>
      <c r="AC107" s="13"/>
    </row>
    <row r="108">
      <c r="A108" s="4">
        <v>107.0</v>
      </c>
      <c r="B108" s="10"/>
      <c r="C108" s="17" t="s">
        <v>113</v>
      </c>
      <c r="D108" s="17" t="s">
        <v>81</v>
      </c>
      <c r="E108" s="17" t="s">
        <v>299</v>
      </c>
      <c r="F108" s="13" t="s">
        <v>14</v>
      </c>
      <c r="G108" s="13"/>
      <c r="H108" s="13"/>
      <c r="I108" s="13"/>
      <c r="J108" s="13"/>
      <c r="K108" s="13">
        <v>0.0</v>
      </c>
      <c r="L108" s="13">
        <v>0.0</v>
      </c>
      <c r="M108" s="13"/>
      <c r="N108" s="13"/>
      <c r="O108" s="13"/>
      <c r="P108" s="13"/>
      <c r="Q108" s="13"/>
      <c r="R108" s="13"/>
      <c r="S108" s="13"/>
      <c r="T108" s="13"/>
      <c r="U108" s="13"/>
      <c r="V108" s="13"/>
      <c r="W108" s="13"/>
      <c r="X108" s="13"/>
      <c r="Y108" s="13"/>
      <c r="Z108" s="13"/>
      <c r="AA108" s="13"/>
      <c r="AB108" s="13"/>
      <c r="AC108" s="13"/>
    </row>
    <row r="109">
      <c r="A109" s="4">
        <v>108.0</v>
      </c>
      <c r="B109" s="10"/>
      <c r="C109" s="17" t="s">
        <v>113</v>
      </c>
      <c r="D109" s="17" t="s">
        <v>81</v>
      </c>
      <c r="E109" s="17" t="s">
        <v>299</v>
      </c>
      <c r="F109" s="13" t="s">
        <v>15</v>
      </c>
      <c r="G109" s="13"/>
      <c r="H109" s="13"/>
      <c r="I109" s="13"/>
      <c r="J109" s="13"/>
      <c r="K109" s="13">
        <v>0.0</v>
      </c>
      <c r="L109" s="13">
        <v>0.0</v>
      </c>
      <c r="M109" s="13"/>
      <c r="N109" s="13"/>
      <c r="O109" s="13"/>
      <c r="P109" s="13"/>
      <c r="Q109" s="13"/>
      <c r="R109" s="13"/>
      <c r="S109" s="13"/>
      <c r="T109" s="13"/>
      <c r="U109" s="13"/>
      <c r="V109" s="13"/>
      <c r="W109" s="13"/>
      <c r="X109" s="13"/>
      <c r="Y109" s="13"/>
      <c r="Z109" s="13"/>
      <c r="AA109" s="13"/>
      <c r="AB109" s="13"/>
      <c r="AC109" s="13"/>
    </row>
    <row r="110">
      <c r="A110" s="4">
        <v>109.0</v>
      </c>
      <c r="B110" s="10">
        <v>46104.0</v>
      </c>
      <c r="C110" s="17" t="s">
        <v>114</v>
      </c>
      <c r="D110" s="17" t="s">
        <v>81</v>
      </c>
      <c r="E110" s="17" t="s">
        <v>73</v>
      </c>
      <c r="F110" s="13" t="s">
        <v>4</v>
      </c>
      <c r="H110" s="4">
        <v>5.0</v>
      </c>
      <c r="K110" s="13">
        <v>5.0</v>
      </c>
      <c r="L110" s="13">
        <v>100000.0</v>
      </c>
    </row>
    <row r="111">
      <c r="A111" s="4">
        <v>110.0</v>
      </c>
      <c r="B111" s="10">
        <v>46104.0</v>
      </c>
      <c r="C111" s="17" t="s">
        <v>114</v>
      </c>
      <c r="D111" s="17" t="s">
        <v>81</v>
      </c>
      <c r="E111" s="17" t="s">
        <v>73</v>
      </c>
      <c r="F111" s="13" t="s">
        <v>5</v>
      </c>
      <c r="H111" s="4">
        <v>1.0</v>
      </c>
      <c r="K111" s="13">
        <v>1.0</v>
      </c>
      <c r="L111" s="13">
        <v>20000.0</v>
      </c>
    </row>
    <row r="112">
      <c r="A112" s="4">
        <v>111.0</v>
      </c>
      <c r="B112" s="10">
        <v>46104.0</v>
      </c>
      <c r="C112" s="17" t="s">
        <v>114</v>
      </c>
      <c r="D112" s="17" t="s">
        <v>81</v>
      </c>
      <c r="E112" s="17" t="s">
        <v>73</v>
      </c>
      <c r="F112" s="13" t="s">
        <v>6</v>
      </c>
      <c r="H112" s="13">
        <v>2.0</v>
      </c>
      <c r="K112" s="13">
        <v>2.0</v>
      </c>
      <c r="L112" s="13">
        <v>40000.0</v>
      </c>
    </row>
    <row r="113">
      <c r="A113" s="4">
        <v>112.0</v>
      </c>
      <c r="B113" s="10">
        <v>46104.0</v>
      </c>
      <c r="C113" s="17" t="s">
        <v>114</v>
      </c>
      <c r="D113" s="17" t="s">
        <v>81</v>
      </c>
      <c r="E113" s="17" t="s">
        <v>73</v>
      </c>
      <c r="F113" s="13" t="s">
        <v>7</v>
      </c>
      <c r="H113" s="13">
        <v>0.0</v>
      </c>
      <c r="K113" s="13">
        <v>0.0</v>
      </c>
      <c r="L113" s="13">
        <v>0.0</v>
      </c>
    </row>
    <row r="114">
      <c r="A114" s="4">
        <v>113.0</v>
      </c>
      <c r="B114" s="10">
        <v>46104.0</v>
      </c>
      <c r="C114" s="17" t="s">
        <v>114</v>
      </c>
      <c r="D114" s="17" t="s">
        <v>81</v>
      </c>
      <c r="E114" s="17" t="s">
        <v>73</v>
      </c>
      <c r="F114" s="13" t="s">
        <v>8</v>
      </c>
      <c r="H114" s="13">
        <v>4.0</v>
      </c>
      <c r="K114" s="13">
        <v>4.0</v>
      </c>
      <c r="L114" s="13">
        <v>80000.0</v>
      </c>
    </row>
    <row r="115">
      <c r="A115" s="4">
        <v>114.0</v>
      </c>
      <c r="B115" s="10">
        <v>46104.0</v>
      </c>
      <c r="C115" s="17" t="s">
        <v>114</v>
      </c>
      <c r="D115" s="17" t="s">
        <v>81</v>
      </c>
      <c r="E115" s="17" t="s">
        <v>73</v>
      </c>
      <c r="F115" s="13" t="s">
        <v>9</v>
      </c>
      <c r="H115" s="4">
        <v>5.0</v>
      </c>
      <c r="K115" s="13">
        <v>5.0</v>
      </c>
      <c r="L115" s="13">
        <v>100000.0</v>
      </c>
    </row>
    <row r="116">
      <c r="A116" s="4">
        <v>115.0</v>
      </c>
      <c r="B116" s="10">
        <v>46104.0</v>
      </c>
      <c r="C116" s="17" t="s">
        <v>114</v>
      </c>
      <c r="D116" s="17" t="s">
        <v>81</v>
      </c>
      <c r="E116" s="17" t="s">
        <v>73</v>
      </c>
      <c r="F116" s="13" t="s">
        <v>10</v>
      </c>
      <c r="H116" s="13">
        <v>3.0</v>
      </c>
      <c r="K116" s="13">
        <v>3.0</v>
      </c>
      <c r="L116" s="13">
        <v>60000.0</v>
      </c>
    </row>
    <row r="117">
      <c r="A117" s="4">
        <v>116.0</v>
      </c>
      <c r="B117" s="10">
        <v>46104.0</v>
      </c>
      <c r="C117" s="17" t="s">
        <v>114</v>
      </c>
      <c r="D117" s="17" t="s">
        <v>81</v>
      </c>
      <c r="E117" s="17" t="s">
        <v>73</v>
      </c>
      <c r="F117" s="13" t="s">
        <v>11</v>
      </c>
      <c r="H117" s="13">
        <v>0.0</v>
      </c>
      <c r="K117" s="13">
        <v>0.0</v>
      </c>
      <c r="L117" s="13">
        <v>0.0</v>
      </c>
    </row>
    <row r="118">
      <c r="A118" s="4">
        <v>117.0</v>
      </c>
      <c r="B118" s="10">
        <v>46104.0</v>
      </c>
      <c r="C118" s="17" t="s">
        <v>114</v>
      </c>
      <c r="D118" s="17" t="s">
        <v>81</v>
      </c>
      <c r="E118" s="17" t="s">
        <v>73</v>
      </c>
      <c r="F118" s="13" t="s">
        <v>12</v>
      </c>
      <c r="H118" s="13">
        <v>0.0</v>
      </c>
      <c r="K118" s="13">
        <v>0.0</v>
      </c>
      <c r="L118" s="13">
        <v>0.0</v>
      </c>
    </row>
    <row r="119">
      <c r="A119" s="4">
        <v>118.0</v>
      </c>
      <c r="B119" s="10">
        <v>46104.0</v>
      </c>
      <c r="C119" s="17" t="s">
        <v>114</v>
      </c>
      <c r="D119" s="17" t="s">
        <v>81</v>
      </c>
      <c r="E119" s="17" t="s">
        <v>73</v>
      </c>
      <c r="F119" s="13" t="s">
        <v>13</v>
      </c>
      <c r="H119" s="13">
        <v>3.0</v>
      </c>
      <c r="K119" s="13">
        <v>3.0</v>
      </c>
      <c r="L119" s="13">
        <v>60000.0</v>
      </c>
    </row>
    <row r="120">
      <c r="A120" s="4">
        <v>119.0</v>
      </c>
      <c r="B120" s="10">
        <v>46104.0</v>
      </c>
      <c r="C120" s="17" t="s">
        <v>114</v>
      </c>
      <c r="D120" s="17" t="s">
        <v>81</v>
      </c>
      <c r="E120" s="17" t="s">
        <v>73</v>
      </c>
      <c r="F120" s="13" t="s">
        <v>14</v>
      </c>
      <c r="K120" s="13">
        <v>0.0</v>
      </c>
      <c r="L120" s="13">
        <v>0.0</v>
      </c>
    </row>
    <row r="121">
      <c r="A121" s="4">
        <v>120.0</v>
      </c>
      <c r="B121" s="10">
        <v>46104.0</v>
      </c>
      <c r="C121" s="17" t="s">
        <v>114</v>
      </c>
      <c r="D121" s="17" t="s">
        <v>81</v>
      </c>
      <c r="E121" s="17" t="s">
        <v>73</v>
      </c>
      <c r="F121" s="13" t="s">
        <v>15</v>
      </c>
      <c r="H121" s="4">
        <v>23.0</v>
      </c>
      <c r="K121" s="13">
        <v>23.0</v>
      </c>
      <c r="L121" s="13">
        <v>460000.0</v>
      </c>
    </row>
    <row r="122">
      <c r="A122" s="4">
        <v>121.0</v>
      </c>
      <c r="B122" s="10">
        <v>46104.0</v>
      </c>
      <c r="C122" s="17"/>
      <c r="D122" s="17" t="s">
        <v>300</v>
      </c>
      <c r="E122" s="17" t="s">
        <v>299</v>
      </c>
      <c r="F122" s="13" t="s">
        <v>4</v>
      </c>
      <c r="G122" s="13"/>
      <c r="H122" s="13"/>
      <c r="I122" s="13"/>
      <c r="J122" s="13"/>
      <c r="K122" s="13">
        <v>0.0</v>
      </c>
      <c r="L122" s="13">
        <v>0.0</v>
      </c>
      <c r="M122" s="13"/>
      <c r="N122" s="13"/>
      <c r="O122" s="13"/>
      <c r="P122" s="13"/>
      <c r="Q122" s="13"/>
      <c r="R122" s="13"/>
      <c r="S122" s="13"/>
      <c r="T122" s="13"/>
      <c r="U122" s="13"/>
      <c r="V122" s="13"/>
      <c r="W122" s="13"/>
      <c r="X122" s="13"/>
      <c r="Y122" s="13"/>
      <c r="Z122" s="13"/>
      <c r="AA122" s="13"/>
      <c r="AB122" s="13"/>
      <c r="AC122" s="13"/>
    </row>
    <row r="123">
      <c r="A123" s="4">
        <v>122.0</v>
      </c>
      <c r="B123" s="10">
        <v>46104.0</v>
      </c>
      <c r="C123" s="17"/>
      <c r="D123" s="17" t="s">
        <v>300</v>
      </c>
      <c r="E123" s="17" t="s">
        <v>299</v>
      </c>
      <c r="F123" s="13" t="s">
        <v>5</v>
      </c>
      <c r="G123" s="13"/>
      <c r="H123" s="13"/>
      <c r="I123" s="13"/>
      <c r="J123" s="13"/>
      <c r="K123" s="13">
        <v>0.0</v>
      </c>
      <c r="L123" s="13">
        <v>0.0</v>
      </c>
      <c r="M123" s="13"/>
      <c r="N123" s="13"/>
      <c r="O123" s="13"/>
      <c r="P123" s="13"/>
      <c r="Q123" s="13"/>
      <c r="R123" s="13"/>
      <c r="S123" s="13"/>
      <c r="T123" s="13"/>
      <c r="U123" s="13"/>
      <c r="V123" s="13"/>
      <c r="W123" s="13"/>
      <c r="X123" s="13"/>
      <c r="Y123" s="13"/>
      <c r="Z123" s="13"/>
      <c r="AA123" s="13"/>
      <c r="AB123" s="13"/>
      <c r="AC123" s="13"/>
    </row>
    <row r="124">
      <c r="A124" s="4">
        <v>123.0</v>
      </c>
      <c r="B124" s="10">
        <v>46104.0</v>
      </c>
      <c r="C124" s="17"/>
      <c r="D124" s="17" t="s">
        <v>300</v>
      </c>
      <c r="E124" s="17" t="s">
        <v>299</v>
      </c>
      <c r="F124" s="13" t="s">
        <v>6</v>
      </c>
      <c r="G124" s="13"/>
      <c r="H124" s="13"/>
      <c r="I124" s="13"/>
      <c r="J124" s="13"/>
      <c r="K124" s="13">
        <v>0.0</v>
      </c>
      <c r="L124" s="13">
        <v>0.0</v>
      </c>
      <c r="M124" s="13"/>
      <c r="N124" s="13"/>
      <c r="O124" s="13"/>
      <c r="P124" s="13"/>
      <c r="Q124" s="13"/>
      <c r="R124" s="13"/>
      <c r="S124" s="13"/>
      <c r="T124" s="13"/>
      <c r="U124" s="13"/>
      <c r="V124" s="13"/>
      <c r="W124" s="13"/>
      <c r="X124" s="13"/>
      <c r="Y124" s="13"/>
      <c r="Z124" s="13"/>
      <c r="AA124" s="13"/>
      <c r="AB124" s="13"/>
      <c r="AC124" s="13"/>
    </row>
    <row r="125">
      <c r="A125" s="4">
        <v>124.0</v>
      </c>
      <c r="B125" s="10">
        <v>46104.0</v>
      </c>
      <c r="C125" s="17"/>
      <c r="D125" s="17" t="s">
        <v>300</v>
      </c>
      <c r="E125" s="17" t="s">
        <v>299</v>
      </c>
      <c r="F125" s="13" t="s">
        <v>7</v>
      </c>
      <c r="G125" s="13"/>
      <c r="H125" s="13"/>
      <c r="I125" s="13"/>
      <c r="J125" s="13"/>
      <c r="K125" s="13">
        <v>0.0</v>
      </c>
      <c r="L125" s="13">
        <v>0.0</v>
      </c>
      <c r="M125" s="13"/>
      <c r="N125" s="13"/>
      <c r="O125" s="13"/>
      <c r="P125" s="13"/>
      <c r="Q125" s="13"/>
      <c r="R125" s="13"/>
      <c r="S125" s="13"/>
      <c r="T125" s="13"/>
      <c r="U125" s="13"/>
      <c r="V125" s="13"/>
      <c r="W125" s="13"/>
      <c r="X125" s="13"/>
      <c r="Y125" s="13"/>
      <c r="Z125" s="13"/>
      <c r="AA125" s="13"/>
      <c r="AB125" s="13"/>
      <c r="AC125" s="13"/>
    </row>
    <row r="126">
      <c r="A126" s="4">
        <v>125.0</v>
      </c>
      <c r="B126" s="10">
        <v>46104.0</v>
      </c>
      <c r="C126" s="17"/>
      <c r="D126" s="17" t="s">
        <v>300</v>
      </c>
      <c r="E126" s="17" t="s">
        <v>299</v>
      </c>
      <c r="F126" s="13" t="s">
        <v>8</v>
      </c>
      <c r="G126" s="13"/>
      <c r="H126" s="13"/>
      <c r="I126" s="13"/>
      <c r="J126" s="13"/>
      <c r="K126" s="13">
        <v>0.0</v>
      </c>
      <c r="L126" s="13">
        <v>0.0</v>
      </c>
      <c r="M126" s="13"/>
      <c r="N126" s="13"/>
      <c r="O126" s="13"/>
      <c r="P126" s="13"/>
      <c r="Q126" s="13"/>
      <c r="R126" s="13"/>
      <c r="S126" s="13"/>
      <c r="T126" s="13"/>
      <c r="U126" s="13"/>
      <c r="V126" s="13"/>
      <c r="W126" s="13"/>
      <c r="X126" s="13"/>
      <c r="Y126" s="13"/>
      <c r="Z126" s="13"/>
      <c r="AA126" s="13"/>
      <c r="AB126" s="13"/>
      <c r="AC126" s="13"/>
    </row>
    <row r="127">
      <c r="A127" s="4">
        <v>126.0</v>
      </c>
      <c r="B127" s="10">
        <v>46104.0</v>
      </c>
      <c r="C127" s="17"/>
      <c r="D127" s="17" t="s">
        <v>300</v>
      </c>
      <c r="E127" s="17" t="s">
        <v>299</v>
      </c>
      <c r="F127" s="13" t="s">
        <v>9</v>
      </c>
      <c r="G127" s="13"/>
      <c r="H127" s="13"/>
      <c r="I127" s="13"/>
      <c r="J127" s="13"/>
      <c r="K127" s="13">
        <v>0.0</v>
      </c>
      <c r="L127" s="13">
        <v>0.0</v>
      </c>
      <c r="M127" s="13"/>
      <c r="N127" s="13"/>
      <c r="O127" s="13"/>
      <c r="P127" s="13"/>
      <c r="Q127" s="13"/>
      <c r="R127" s="13"/>
      <c r="S127" s="13"/>
      <c r="T127" s="13"/>
      <c r="U127" s="13"/>
      <c r="V127" s="13"/>
      <c r="W127" s="13"/>
      <c r="X127" s="13"/>
      <c r="Y127" s="13"/>
      <c r="Z127" s="13"/>
      <c r="AA127" s="13"/>
      <c r="AB127" s="13"/>
      <c r="AC127" s="13"/>
    </row>
    <row r="128">
      <c r="A128" s="4">
        <v>127.0</v>
      </c>
      <c r="B128" s="10">
        <v>46104.0</v>
      </c>
      <c r="C128" s="17"/>
      <c r="D128" s="17" t="s">
        <v>300</v>
      </c>
      <c r="E128" s="17" t="s">
        <v>299</v>
      </c>
      <c r="F128" s="13" t="s">
        <v>10</v>
      </c>
      <c r="G128" s="13"/>
      <c r="H128" s="13"/>
      <c r="I128" s="13"/>
      <c r="J128" s="13"/>
      <c r="K128" s="13">
        <v>0.0</v>
      </c>
      <c r="L128" s="13">
        <v>0.0</v>
      </c>
      <c r="M128" s="13"/>
      <c r="N128" s="13"/>
      <c r="O128" s="13"/>
      <c r="P128" s="13"/>
      <c r="Q128" s="13"/>
      <c r="R128" s="13"/>
      <c r="S128" s="13"/>
      <c r="T128" s="13"/>
      <c r="U128" s="13"/>
      <c r="V128" s="13"/>
      <c r="W128" s="13"/>
      <c r="X128" s="13"/>
      <c r="Y128" s="13"/>
      <c r="Z128" s="13"/>
      <c r="AA128" s="13"/>
      <c r="AB128" s="13"/>
      <c r="AC128" s="13"/>
    </row>
    <row r="129">
      <c r="A129" s="4">
        <v>128.0</v>
      </c>
      <c r="B129" s="10">
        <v>46104.0</v>
      </c>
      <c r="C129" s="17"/>
      <c r="D129" s="17" t="s">
        <v>300</v>
      </c>
      <c r="E129" s="17" t="s">
        <v>299</v>
      </c>
      <c r="F129" s="13" t="s">
        <v>11</v>
      </c>
      <c r="G129" s="13"/>
      <c r="H129" s="13"/>
      <c r="I129" s="13"/>
      <c r="J129" s="13"/>
      <c r="K129" s="13">
        <v>0.0</v>
      </c>
      <c r="L129" s="13">
        <v>0.0</v>
      </c>
      <c r="M129" s="13"/>
      <c r="N129" s="13"/>
      <c r="O129" s="13"/>
      <c r="P129" s="13"/>
      <c r="Q129" s="13"/>
      <c r="R129" s="13"/>
      <c r="S129" s="13"/>
      <c r="T129" s="13"/>
      <c r="U129" s="13"/>
      <c r="V129" s="13"/>
      <c r="W129" s="13"/>
      <c r="X129" s="13"/>
      <c r="Y129" s="13"/>
      <c r="Z129" s="13"/>
      <c r="AA129" s="13"/>
      <c r="AB129" s="13"/>
      <c r="AC129" s="13"/>
    </row>
    <row r="130">
      <c r="A130" s="4">
        <v>129.0</v>
      </c>
      <c r="B130" s="10">
        <v>46104.0</v>
      </c>
      <c r="C130" s="17"/>
      <c r="D130" s="17" t="s">
        <v>300</v>
      </c>
      <c r="E130" s="17" t="s">
        <v>299</v>
      </c>
      <c r="F130" s="13" t="s">
        <v>12</v>
      </c>
      <c r="G130" s="13"/>
      <c r="H130" s="13"/>
      <c r="I130" s="13"/>
      <c r="J130" s="13"/>
      <c r="K130" s="13">
        <v>0.0</v>
      </c>
      <c r="L130" s="13">
        <v>0.0</v>
      </c>
      <c r="M130" s="13"/>
      <c r="N130" s="13"/>
      <c r="O130" s="13"/>
      <c r="P130" s="13"/>
      <c r="Q130" s="13"/>
      <c r="R130" s="13"/>
      <c r="S130" s="13"/>
      <c r="T130" s="13"/>
      <c r="U130" s="13"/>
      <c r="V130" s="13"/>
      <c r="W130" s="13"/>
      <c r="X130" s="13"/>
      <c r="Y130" s="13"/>
      <c r="Z130" s="13"/>
      <c r="AA130" s="13"/>
      <c r="AB130" s="13"/>
      <c r="AC130" s="13"/>
    </row>
    <row r="131">
      <c r="A131" s="4">
        <v>130.0</v>
      </c>
      <c r="B131" s="10">
        <v>46104.0</v>
      </c>
      <c r="C131" s="17"/>
      <c r="D131" s="17" t="s">
        <v>300</v>
      </c>
      <c r="E131" s="17" t="s">
        <v>299</v>
      </c>
      <c r="F131" s="13" t="s">
        <v>13</v>
      </c>
      <c r="G131" s="13"/>
      <c r="H131" s="13"/>
      <c r="I131" s="13"/>
      <c r="J131" s="13"/>
      <c r="K131" s="13">
        <v>0.0</v>
      </c>
      <c r="L131" s="13">
        <v>0.0</v>
      </c>
      <c r="M131" s="13"/>
      <c r="N131" s="13"/>
      <c r="O131" s="13"/>
      <c r="P131" s="13"/>
      <c r="Q131" s="13"/>
      <c r="R131" s="13"/>
      <c r="S131" s="13"/>
      <c r="T131" s="13"/>
      <c r="U131" s="13"/>
      <c r="V131" s="13"/>
      <c r="W131" s="13"/>
      <c r="X131" s="13"/>
      <c r="Y131" s="13"/>
      <c r="Z131" s="13"/>
      <c r="AA131" s="13"/>
      <c r="AB131" s="13"/>
      <c r="AC131" s="13"/>
    </row>
    <row r="132">
      <c r="A132" s="4">
        <v>131.0</v>
      </c>
      <c r="B132" s="10">
        <v>46104.0</v>
      </c>
      <c r="C132" s="17"/>
      <c r="D132" s="17" t="s">
        <v>300</v>
      </c>
      <c r="E132" s="17" t="s">
        <v>299</v>
      </c>
      <c r="F132" s="13" t="s">
        <v>14</v>
      </c>
      <c r="G132" s="13"/>
      <c r="H132" s="13"/>
      <c r="I132" s="13"/>
      <c r="J132" s="13"/>
      <c r="K132" s="13">
        <v>0.0</v>
      </c>
      <c r="L132" s="13">
        <v>0.0</v>
      </c>
      <c r="M132" s="13"/>
      <c r="N132" s="13"/>
      <c r="O132" s="13"/>
      <c r="P132" s="13"/>
      <c r="Q132" s="13"/>
      <c r="R132" s="13"/>
      <c r="S132" s="13"/>
      <c r="T132" s="13"/>
      <c r="U132" s="13"/>
      <c r="V132" s="13"/>
      <c r="W132" s="13"/>
      <c r="X132" s="13"/>
      <c r="Y132" s="13"/>
      <c r="Z132" s="13"/>
      <c r="AA132" s="13"/>
      <c r="AB132" s="13"/>
      <c r="AC132" s="13"/>
    </row>
    <row r="133">
      <c r="A133" s="4">
        <v>132.0</v>
      </c>
      <c r="B133" s="10">
        <v>46104.0</v>
      </c>
      <c r="C133" s="17"/>
      <c r="D133" s="17" t="s">
        <v>300</v>
      </c>
      <c r="E133" s="17" t="s">
        <v>299</v>
      </c>
      <c r="F133" s="13" t="s">
        <v>15</v>
      </c>
      <c r="G133" s="13"/>
      <c r="H133" s="13"/>
      <c r="I133" s="13"/>
      <c r="J133" s="13"/>
      <c r="K133" s="13">
        <v>0.0</v>
      </c>
      <c r="L133" s="13">
        <v>0.0</v>
      </c>
      <c r="M133" s="13"/>
      <c r="N133" s="13"/>
      <c r="O133" s="13"/>
      <c r="P133" s="13"/>
      <c r="Q133" s="13"/>
      <c r="R133" s="13"/>
      <c r="S133" s="13"/>
      <c r="T133" s="13"/>
      <c r="U133" s="13"/>
      <c r="V133" s="13"/>
      <c r="W133" s="13"/>
      <c r="X133" s="13"/>
      <c r="Y133" s="13"/>
      <c r="Z133" s="13"/>
      <c r="AA133" s="13"/>
      <c r="AB133" s="13"/>
      <c r="AC133" s="13"/>
    </row>
    <row r="134">
      <c r="A134" s="4">
        <v>133.0</v>
      </c>
      <c r="B134" s="10">
        <v>46104.0</v>
      </c>
      <c r="C134" s="17"/>
      <c r="D134" s="17" t="s">
        <v>300</v>
      </c>
      <c r="E134" s="17" t="s">
        <v>299</v>
      </c>
      <c r="F134" s="13" t="s">
        <v>4</v>
      </c>
      <c r="G134" s="13"/>
      <c r="H134" s="13"/>
      <c r="I134" s="13"/>
      <c r="J134" s="13"/>
      <c r="K134" s="13">
        <v>0.0</v>
      </c>
      <c r="L134" s="13">
        <v>0.0</v>
      </c>
      <c r="M134" s="13"/>
      <c r="N134" s="13"/>
      <c r="O134" s="13"/>
      <c r="P134" s="13"/>
      <c r="Q134" s="13"/>
      <c r="R134" s="13"/>
      <c r="S134" s="13"/>
      <c r="T134" s="13"/>
      <c r="U134" s="13"/>
      <c r="V134" s="13"/>
      <c r="W134" s="13"/>
      <c r="X134" s="13"/>
      <c r="Y134" s="13"/>
      <c r="Z134" s="13"/>
      <c r="AA134" s="13"/>
      <c r="AB134" s="13"/>
      <c r="AC134" s="13"/>
    </row>
    <row r="135">
      <c r="A135" s="4">
        <v>134.0</v>
      </c>
      <c r="B135" s="10">
        <v>46104.0</v>
      </c>
      <c r="C135" s="17"/>
      <c r="D135" s="17" t="s">
        <v>300</v>
      </c>
      <c r="E135" s="17" t="s">
        <v>299</v>
      </c>
      <c r="F135" s="13" t="s">
        <v>5</v>
      </c>
      <c r="G135" s="13"/>
      <c r="H135" s="13"/>
      <c r="I135" s="13"/>
      <c r="J135" s="13"/>
      <c r="K135" s="13">
        <v>0.0</v>
      </c>
      <c r="L135" s="13">
        <v>0.0</v>
      </c>
      <c r="M135" s="13"/>
      <c r="N135" s="13"/>
      <c r="O135" s="13"/>
      <c r="P135" s="13"/>
      <c r="Q135" s="13"/>
      <c r="R135" s="13"/>
      <c r="S135" s="13"/>
      <c r="T135" s="13"/>
      <c r="U135" s="13"/>
      <c r="V135" s="13"/>
      <c r="W135" s="13"/>
      <c r="X135" s="13"/>
      <c r="Y135" s="13"/>
      <c r="Z135" s="13"/>
      <c r="AA135" s="13"/>
      <c r="AB135" s="13"/>
      <c r="AC135" s="13"/>
    </row>
    <row r="136">
      <c r="A136" s="4">
        <v>135.0</v>
      </c>
      <c r="B136" s="10">
        <v>46104.0</v>
      </c>
      <c r="C136" s="17"/>
      <c r="D136" s="17" t="s">
        <v>300</v>
      </c>
      <c r="E136" s="17" t="s">
        <v>299</v>
      </c>
      <c r="F136" s="13" t="s">
        <v>6</v>
      </c>
      <c r="G136" s="13"/>
      <c r="H136" s="13"/>
      <c r="I136" s="13"/>
      <c r="J136" s="13"/>
      <c r="K136" s="13">
        <v>0.0</v>
      </c>
      <c r="L136" s="13">
        <v>0.0</v>
      </c>
      <c r="M136" s="13"/>
      <c r="N136" s="13"/>
      <c r="O136" s="13"/>
      <c r="P136" s="13"/>
      <c r="Q136" s="13"/>
      <c r="R136" s="13"/>
      <c r="S136" s="13"/>
      <c r="T136" s="13"/>
      <c r="U136" s="13"/>
      <c r="V136" s="13"/>
      <c r="W136" s="13"/>
      <c r="X136" s="13"/>
      <c r="Y136" s="13"/>
      <c r="Z136" s="13"/>
      <c r="AA136" s="13"/>
      <c r="AB136" s="13"/>
      <c r="AC136" s="13"/>
    </row>
    <row r="137">
      <c r="A137" s="4">
        <v>136.0</v>
      </c>
      <c r="B137" s="10">
        <v>46104.0</v>
      </c>
      <c r="C137" s="17"/>
      <c r="D137" s="17" t="s">
        <v>300</v>
      </c>
      <c r="E137" s="17" t="s">
        <v>299</v>
      </c>
      <c r="F137" s="13" t="s">
        <v>7</v>
      </c>
      <c r="G137" s="13"/>
      <c r="H137" s="13"/>
      <c r="I137" s="13"/>
      <c r="J137" s="13"/>
      <c r="K137" s="13">
        <v>0.0</v>
      </c>
      <c r="L137" s="13">
        <v>0.0</v>
      </c>
      <c r="M137" s="13"/>
      <c r="N137" s="13"/>
      <c r="O137" s="13"/>
      <c r="P137" s="13"/>
      <c r="Q137" s="13"/>
      <c r="R137" s="13"/>
      <c r="S137" s="13"/>
      <c r="T137" s="13"/>
      <c r="U137" s="13"/>
      <c r="V137" s="13"/>
      <c r="W137" s="13"/>
      <c r="X137" s="13"/>
      <c r="Y137" s="13"/>
      <c r="Z137" s="13"/>
      <c r="AA137" s="13"/>
      <c r="AB137" s="13"/>
      <c r="AC137" s="13"/>
    </row>
    <row r="138">
      <c r="A138" s="4">
        <v>137.0</v>
      </c>
      <c r="B138" s="10">
        <v>46104.0</v>
      </c>
      <c r="C138" s="17"/>
      <c r="D138" s="17" t="s">
        <v>300</v>
      </c>
      <c r="E138" s="17" t="s">
        <v>299</v>
      </c>
      <c r="F138" s="13" t="s">
        <v>8</v>
      </c>
      <c r="G138" s="13"/>
      <c r="H138" s="13"/>
      <c r="I138" s="13"/>
      <c r="J138" s="13"/>
      <c r="K138" s="13">
        <v>0.0</v>
      </c>
      <c r="L138" s="13">
        <v>0.0</v>
      </c>
      <c r="M138" s="13"/>
      <c r="N138" s="13"/>
      <c r="O138" s="13"/>
      <c r="P138" s="13"/>
      <c r="Q138" s="13"/>
      <c r="R138" s="13"/>
      <c r="S138" s="13"/>
      <c r="T138" s="13"/>
      <c r="U138" s="13"/>
      <c r="V138" s="13"/>
      <c r="W138" s="13"/>
      <c r="X138" s="13"/>
      <c r="Y138" s="13"/>
      <c r="Z138" s="13"/>
      <c r="AA138" s="13"/>
      <c r="AB138" s="13"/>
      <c r="AC138" s="13"/>
    </row>
    <row r="139">
      <c r="A139" s="4">
        <v>138.0</v>
      </c>
      <c r="B139" s="10">
        <v>46104.0</v>
      </c>
      <c r="C139" s="17"/>
      <c r="D139" s="17" t="s">
        <v>300</v>
      </c>
      <c r="E139" s="17" t="s">
        <v>299</v>
      </c>
      <c r="F139" s="13" t="s">
        <v>9</v>
      </c>
      <c r="G139" s="13"/>
      <c r="H139" s="13"/>
      <c r="I139" s="13"/>
      <c r="J139" s="13"/>
      <c r="K139" s="13">
        <v>0.0</v>
      </c>
      <c r="L139" s="13">
        <v>0.0</v>
      </c>
      <c r="M139" s="13"/>
      <c r="N139" s="13"/>
      <c r="O139" s="13"/>
      <c r="P139" s="13"/>
      <c r="Q139" s="13"/>
      <c r="R139" s="13"/>
      <c r="S139" s="13"/>
      <c r="T139" s="13"/>
      <c r="U139" s="13"/>
      <c r="V139" s="13"/>
      <c r="W139" s="13"/>
      <c r="X139" s="13"/>
      <c r="Y139" s="13"/>
      <c r="Z139" s="13"/>
      <c r="AA139" s="13"/>
      <c r="AB139" s="13"/>
      <c r="AC139" s="13"/>
    </row>
    <row r="140">
      <c r="A140" s="4">
        <v>139.0</v>
      </c>
      <c r="B140" s="10">
        <v>46104.0</v>
      </c>
      <c r="C140" s="17"/>
      <c r="D140" s="17" t="s">
        <v>300</v>
      </c>
      <c r="E140" s="17" t="s">
        <v>299</v>
      </c>
      <c r="F140" s="13" t="s">
        <v>10</v>
      </c>
      <c r="G140" s="13"/>
      <c r="H140" s="13"/>
      <c r="I140" s="13"/>
      <c r="J140" s="13"/>
      <c r="K140" s="13">
        <v>0.0</v>
      </c>
      <c r="L140" s="13">
        <v>0.0</v>
      </c>
      <c r="M140" s="13"/>
      <c r="N140" s="13"/>
      <c r="O140" s="13"/>
      <c r="P140" s="13"/>
      <c r="Q140" s="13"/>
      <c r="R140" s="13"/>
      <c r="S140" s="13"/>
      <c r="T140" s="13"/>
      <c r="U140" s="13"/>
      <c r="V140" s="13"/>
      <c r="W140" s="13"/>
      <c r="X140" s="13"/>
      <c r="Y140" s="13"/>
      <c r="Z140" s="13"/>
      <c r="AA140" s="13"/>
      <c r="AB140" s="13"/>
      <c r="AC140" s="13"/>
    </row>
    <row r="141">
      <c r="A141" s="4">
        <v>140.0</v>
      </c>
      <c r="B141" s="10">
        <v>46104.0</v>
      </c>
      <c r="C141" s="17"/>
      <c r="D141" s="17" t="s">
        <v>300</v>
      </c>
      <c r="E141" s="17" t="s">
        <v>299</v>
      </c>
      <c r="F141" s="13" t="s">
        <v>11</v>
      </c>
      <c r="G141" s="13"/>
      <c r="H141" s="13"/>
      <c r="I141" s="13"/>
      <c r="J141" s="13"/>
      <c r="K141" s="13">
        <v>0.0</v>
      </c>
      <c r="L141" s="13">
        <v>0.0</v>
      </c>
      <c r="M141" s="13"/>
      <c r="N141" s="13"/>
      <c r="O141" s="13"/>
      <c r="P141" s="13"/>
      <c r="Q141" s="13"/>
      <c r="R141" s="13"/>
      <c r="S141" s="13"/>
      <c r="T141" s="13"/>
      <c r="U141" s="13"/>
      <c r="V141" s="13"/>
      <c r="W141" s="13"/>
      <c r="X141" s="13"/>
      <c r="Y141" s="13"/>
      <c r="Z141" s="13"/>
      <c r="AA141" s="13"/>
      <c r="AB141" s="13"/>
      <c r="AC141" s="13"/>
    </row>
    <row r="142">
      <c r="A142" s="4">
        <v>141.0</v>
      </c>
      <c r="B142" s="10">
        <v>46104.0</v>
      </c>
      <c r="C142" s="17"/>
      <c r="D142" s="17" t="s">
        <v>300</v>
      </c>
      <c r="E142" s="17" t="s">
        <v>299</v>
      </c>
      <c r="F142" s="13" t="s">
        <v>12</v>
      </c>
      <c r="G142" s="13"/>
      <c r="H142" s="13"/>
      <c r="I142" s="13"/>
      <c r="J142" s="13"/>
      <c r="K142" s="13">
        <v>0.0</v>
      </c>
      <c r="L142" s="13">
        <v>0.0</v>
      </c>
      <c r="M142" s="13"/>
      <c r="N142" s="13"/>
      <c r="O142" s="13"/>
      <c r="P142" s="13"/>
      <c r="Q142" s="13"/>
      <c r="R142" s="13"/>
      <c r="S142" s="13"/>
      <c r="T142" s="13"/>
      <c r="U142" s="13"/>
      <c r="V142" s="13"/>
      <c r="W142" s="13"/>
      <c r="X142" s="13"/>
      <c r="Y142" s="13"/>
      <c r="Z142" s="13"/>
      <c r="AA142" s="13"/>
      <c r="AB142" s="13"/>
      <c r="AC142" s="13"/>
    </row>
    <row r="143">
      <c r="A143" s="4">
        <v>142.0</v>
      </c>
      <c r="B143" s="10">
        <v>46104.0</v>
      </c>
      <c r="C143" s="17"/>
      <c r="D143" s="17" t="s">
        <v>300</v>
      </c>
      <c r="E143" s="17" t="s">
        <v>299</v>
      </c>
      <c r="F143" s="13" t="s">
        <v>13</v>
      </c>
      <c r="G143" s="13"/>
      <c r="H143" s="13"/>
      <c r="I143" s="13"/>
      <c r="J143" s="13"/>
      <c r="K143" s="13">
        <v>0.0</v>
      </c>
      <c r="L143" s="13">
        <v>0.0</v>
      </c>
      <c r="M143" s="13"/>
      <c r="N143" s="13"/>
      <c r="O143" s="13"/>
      <c r="P143" s="13"/>
      <c r="Q143" s="13"/>
      <c r="R143" s="13"/>
      <c r="S143" s="13"/>
      <c r="T143" s="13"/>
      <c r="U143" s="13"/>
      <c r="V143" s="13"/>
      <c r="W143" s="13"/>
      <c r="X143" s="13"/>
      <c r="Y143" s="13"/>
      <c r="Z143" s="13"/>
      <c r="AA143" s="13"/>
      <c r="AB143" s="13"/>
      <c r="AC143" s="13"/>
    </row>
    <row r="144">
      <c r="A144" s="4">
        <v>143.0</v>
      </c>
      <c r="B144" s="10">
        <v>46104.0</v>
      </c>
      <c r="C144" s="17"/>
      <c r="D144" s="17" t="s">
        <v>300</v>
      </c>
      <c r="E144" s="17" t="s">
        <v>299</v>
      </c>
      <c r="F144" s="13" t="s">
        <v>14</v>
      </c>
      <c r="G144" s="13"/>
      <c r="H144" s="13"/>
      <c r="I144" s="13"/>
      <c r="J144" s="13"/>
      <c r="K144" s="13">
        <v>0.0</v>
      </c>
      <c r="L144" s="13">
        <v>0.0</v>
      </c>
      <c r="M144" s="13"/>
      <c r="N144" s="13"/>
      <c r="O144" s="13"/>
      <c r="P144" s="13"/>
      <c r="Q144" s="13"/>
      <c r="R144" s="13"/>
      <c r="S144" s="13"/>
      <c r="T144" s="13"/>
      <c r="U144" s="13"/>
      <c r="V144" s="13"/>
      <c r="W144" s="13"/>
      <c r="X144" s="13"/>
      <c r="Y144" s="13"/>
      <c r="Z144" s="13"/>
      <c r="AA144" s="13"/>
      <c r="AB144" s="13"/>
      <c r="AC144" s="13"/>
    </row>
    <row r="145">
      <c r="A145" s="4">
        <v>144.0</v>
      </c>
      <c r="B145" s="10">
        <v>46104.0</v>
      </c>
      <c r="C145" s="17"/>
      <c r="D145" s="17" t="s">
        <v>300</v>
      </c>
      <c r="E145" s="17" t="s">
        <v>299</v>
      </c>
      <c r="F145" s="13" t="s">
        <v>15</v>
      </c>
      <c r="G145" s="13"/>
      <c r="H145" s="13"/>
      <c r="I145" s="13"/>
      <c r="J145" s="13"/>
      <c r="K145" s="13">
        <v>0.0</v>
      </c>
      <c r="L145" s="13">
        <v>0.0</v>
      </c>
      <c r="M145" s="13"/>
      <c r="N145" s="13"/>
      <c r="O145" s="13"/>
      <c r="P145" s="13"/>
      <c r="Q145" s="13"/>
      <c r="R145" s="13"/>
      <c r="S145" s="13"/>
      <c r="T145" s="13"/>
      <c r="U145" s="13"/>
      <c r="V145" s="13"/>
      <c r="W145" s="13"/>
      <c r="X145" s="13"/>
      <c r="Y145" s="13"/>
      <c r="Z145" s="13"/>
      <c r="AA145" s="13"/>
      <c r="AB145" s="13"/>
      <c r="AC145" s="13"/>
    </row>
    <row r="146">
      <c r="A146" s="4">
        <v>145.0</v>
      </c>
      <c r="B146" s="10">
        <v>46104.0</v>
      </c>
      <c r="C146" s="13"/>
      <c r="D146" s="13"/>
      <c r="E146" s="4" t="s">
        <v>301</v>
      </c>
      <c r="F146" s="13" t="s">
        <v>4</v>
      </c>
      <c r="K146" s="13">
        <v>0.0</v>
      </c>
      <c r="L146" s="13">
        <v>0.0</v>
      </c>
    </row>
    <row r="147">
      <c r="A147" s="4">
        <v>146.0</v>
      </c>
      <c r="B147" s="10">
        <v>46104.0</v>
      </c>
      <c r="C147" s="13"/>
      <c r="D147" s="13"/>
      <c r="E147" s="4" t="s">
        <v>301</v>
      </c>
      <c r="F147" s="13" t="s">
        <v>5</v>
      </c>
      <c r="H147" s="4">
        <v>1.0</v>
      </c>
      <c r="K147" s="13">
        <v>1.0</v>
      </c>
      <c r="L147" s="13">
        <v>20000.0</v>
      </c>
    </row>
    <row r="148">
      <c r="A148" s="4">
        <v>147.0</v>
      </c>
      <c r="B148" s="10">
        <v>46104.0</v>
      </c>
      <c r="C148" s="13"/>
      <c r="D148" s="13"/>
      <c r="E148" s="4" t="s">
        <v>301</v>
      </c>
      <c r="F148" s="13" t="s">
        <v>6</v>
      </c>
      <c r="K148" s="13">
        <v>0.0</v>
      </c>
      <c r="L148" s="13">
        <v>0.0</v>
      </c>
    </row>
    <row r="149">
      <c r="A149" s="4">
        <v>148.0</v>
      </c>
      <c r="B149" s="10">
        <v>46104.0</v>
      </c>
      <c r="C149" s="13"/>
      <c r="D149" s="13"/>
      <c r="E149" s="4" t="s">
        <v>301</v>
      </c>
      <c r="F149" s="13" t="s">
        <v>7</v>
      </c>
      <c r="K149" s="13">
        <v>0.0</v>
      </c>
      <c r="L149" s="13">
        <v>0.0</v>
      </c>
    </row>
    <row r="150">
      <c r="A150" s="4">
        <v>149.0</v>
      </c>
      <c r="B150" s="10">
        <v>46104.0</v>
      </c>
      <c r="C150" s="13"/>
      <c r="D150" s="13"/>
      <c r="E150" s="4" t="s">
        <v>301</v>
      </c>
      <c r="F150" s="13" t="s">
        <v>8</v>
      </c>
      <c r="H150" s="4">
        <v>1.0</v>
      </c>
      <c r="K150" s="13">
        <v>1.0</v>
      </c>
      <c r="L150" s="13">
        <v>20000.0</v>
      </c>
    </row>
    <row r="151">
      <c r="A151" s="4">
        <v>150.0</v>
      </c>
      <c r="B151" s="10">
        <v>46104.0</v>
      </c>
      <c r="C151" s="13"/>
      <c r="D151" s="13"/>
      <c r="E151" s="4" t="s">
        <v>301</v>
      </c>
      <c r="F151" s="13" t="s">
        <v>9</v>
      </c>
      <c r="H151" s="4">
        <v>1.0</v>
      </c>
      <c r="K151" s="13">
        <v>1.0</v>
      </c>
      <c r="L151" s="13">
        <v>20000.0</v>
      </c>
    </row>
    <row r="152">
      <c r="A152" s="4">
        <v>151.0</v>
      </c>
      <c r="B152" s="10">
        <v>46104.0</v>
      </c>
      <c r="C152" s="13"/>
      <c r="D152" s="13"/>
      <c r="E152" s="4" t="s">
        <v>301</v>
      </c>
      <c r="F152" s="13" t="s">
        <v>10</v>
      </c>
      <c r="K152" s="13">
        <v>0.0</v>
      </c>
      <c r="L152" s="13">
        <v>0.0</v>
      </c>
    </row>
    <row r="153">
      <c r="A153" s="4">
        <v>152.0</v>
      </c>
      <c r="B153" s="10">
        <v>46104.0</v>
      </c>
      <c r="C153" s="13"/>
      <c r="D153" s="13"/>
      <c r="E153" s="4" t="s">
        <v>301</v>
      </c>
      <c r="F153" s="13" t="s">
        <v>11</v>
      </c>
      <c r="H153" s="4">
        <v>2.0</v>
      </c>
      <c r="K153" s="13">
        <v>2.0</v>
      </c>
      <c r="L153" s="13">
        <v>40000.0</v>
      </c>
    </row>
    <row r="154">
      <c r="A154" s="4">
        <v>153.0</v>
      </c>
      <c r="B154" s="10">
        <v>46104.0</v>
      </c>
      <c r="C154" s="13"/>
      <c r="D154" s="13"/>
      <c r="E154" s="4" t="s">
        <v>301</v>
      </c>
      <c r="F154" s="13" t="s">
        <v>12</v>
      </c>
      <c r="K154" s="13">
        <v>0.0</v>
      </c>
      <c r="L154" s="13">
        <v>0.0</v>
      </c>
    </row>
    <row r="155">
      <c r="A155" s="4">
        <v>154.0</v>
      </c>
      <c r="B155" s="10">
        <v>46104.0</v>
      </c>
      <c r="C155" s="13"/>
      <c r="D155" s="13"/>
      <c r="E155" s="4" t="s">
        <v>301</v>
      </c>
      <c r="F155" s="13" t="s">
        <v>13</v>
      </c>
      <c r="K155" s="13">
        <v>0.0</v>
      </c>
      <c r="L155" s="13">
        <v>0.0</v>
      </c>
    </row>
    <row r="156">
      <c r="A156" s="4">
        <v>155.0</v>
      </c>
      <c r="B156" s="10">
        <v>46104.0</v>
      </c>
      <c r="C156" s="13"/>
      <c r="D156" s="13"/>
      <c r="E156" s="4" t="s">
        <v>301</v>
      </c>
      <c r="F156" s="13" t="s">
        <v>14</v>
      </c>
      <c r="H156" s="4">
        <v>2.0</v>
      </c>
      <c r="K156" s="13">
        <v>2.0</v>
      </c>
      <c r="L156" s="13">
        <v>44000.0</v>
      </c>
    </row>
    <row r="157">
      <c r="A157" s="4">
        <v>156.0</v>
      </c>
      <c r="B157" s="10">
        <v>46104.0</v>
      </c>
      <c r="C157" s="13"/>
      <c r="D157" s="13"/>
      <c r="E157" s="4" t="s">
        <v>301</v>
      </c>
      <c r="F157" s="13" t="s">
        <v>15</v>
      </c>
      <c r="H157" s="4">
        <v>1.0</v>
      </c>
      <c r="K157" s="13">
        <v>1.0</v>
      </c>
      <c r="L157" s="13">
        <v>20000.0</v>
      </c>
    </row>
    <row r="158">
      <c r="A158" s="13"/>
      <c r="B158" s="10">
        <v>46105.0</v>
      </c>
      <c r="C158" s="13"/>
      <c r="D158" s="17" t="s">
        <v>302</v>
      </c>
      <c r="E158" s="4" t="s">
        <v>299</v>
      </c>
      <c r="F158" s="13" t="s">
        <v>4</v>
      </c>
      <c r="G158" s="13"/>
      <c r="H158" s="13"/>
      <c r="I158" s="13"/>
      <c r="J158" s="13"/>
      <c r="K158" s="13">
        <v>0.0</v>
      </c>
      <c r="L158" s="13">
        <v>0.0</v>
      </c>
      <c r="M158" s="13"/>
      <c r="N158" s="13"/>
      <c r="O158" s="13"/>
      <c r="P158" s="13"/>
      <c r="Q158" s="13"/>
      <c r="R158" s="13"/>
      <c r="S158" s="13"/>
      <c r="T158" s="13"/>
      <c r="U158" s="13"/>
      <c r="V158" s="13"/>
      <c r="W158" s="13"/>
      <c r="X158" s="13"/>
      <c r="Y158" s="13"/>
      <c r="Z158" s="13"/>
      <c r="AA158" s="13"/>
      <c r="AB158" s="13"/>
      <c r="AC158" s="13"/>
    </row>
    <row r="159">
      <c r="A159" s="13"/>
      <c r="B159" s="10">
        <v>46105.0</v>
      </c>
      <c r="C159" s="13"/>
      <c r="D159" s="17" t="s">
        <v>302</v>
      </c>
      <c r="E159" s="4" t="s">
        <v>299</v>
      </c>
      <c r="F159" s="13" t="s">
        <v>5</v>
      </c>
      <c r="G159" s="13"/>
      <c r="H159" s="13"/>
      <c r="I159" s="13"/>
      <c r="J159" s="13"/>
      <c r="K159" s="13">
        <v>0.0</v>
      </c>
      <c r="L159" s="13">
        <v>0.0</v>
      </c>
      <c r="M159" s="13"/>
      <c r="N159" s="13"/>
      <c r="O159" s="13"/>
      <c r="P159" s="13"/>
      <c r="Q159" s="13"/>
      <c r="R159" s="13"/>
      <c r="S159" s="13"/>
      <c r="T159" s="13"/>
      <c r="U159" s="13"/>
      <c r="V159" s="13"/>
      <c r="W159" s="13"/>
      <c r="X159" s="13"/>
      <c r="Y159" s="13"/>
      <c r="Z159" s="13"/>
      <c r="AA159" s="13"/>
      <c r="AB159" s="13"/>
      <c r="AC159" s="13"/>
    </row>
    <row r="160">
      <c r="A160" s="13"/>
      <c r="B160" s="10">
        <v>46105.0</v>
      </c>
      <c r="C160" s="13"/>
      <c r="D160" s="17" t="s">
        <v>302</v>
      </c>
      <c r="E160" s="4" t="s">
        <v>299</v>
      </c>
      <c r="F160" s="13" t="s">
        <v>6</v>
      </c>
      <c r="G160" s="13"/>
      <c r="H160" s="13"/>
      <c r="I160" s="13"/>
      <c r="J160" s="13"/>
      <c r="K160" s="13">
        <v>0.0</v>
      </c>
      <c r="L160" s="13">
        <v>0.0</v>
      </c>
      <c r="M160" s="13"/>
      <c r="N160" s="13"/>
      <c r="O160" s="13"/>
      <c r="P160" s="13"/>
      <c r="Q160" s="13"/>
      <c r="R160" s="13"/>
      <c r="S160" s="13"/>
      <c r="T160" s="13"/>
      <c r="U160" s="13"/>
      <c r="V160" s="13"/>
      <c r="W160" s="13"/>
      <c r="X160" s="13"/>
      <c r="Y160" s="13"/>
      <c r="Z160" s="13"/>
      <c r="AA160" s="13"/>
      <c r="AB160" s="13"/>
      <c r="AC160" s="13"/>
    </row>
    <row r="161">
      <c r="A161" s="13"/>
      <c r="B161" s="10">
        <v>46105.0</v>
      </c>
      <c r="C161" s="13"/>
      <c r="D161" s="17" t="s">
        <v>302</v>
      </c>
      <c r="E161" s="4" t="s">
        <v>299</v>
      </c>
      <c r="F161" s="13" t="s">
        <v>7</v>
      </c>
      <c r="G161" s="13"/>
      <c r="H161" s="13"/>
      <c r="I161" s="13"/>
      <c r="J161" s="13"/>
      <c r="K161" s="13">
        <v>0.0</v>
      </c>
      <c r="L161" s="13">
        <v>0.0</v>
      </c>
      <c r="M161" s="13"/>
      <c r="N161" s="13"/>
      <c r="O161" s="13"/>
      <c r="P161" s="13"/>
      <c r="Q161" s="13"/>
      <c r="R161" s="13"/>
      <c r="S161" s="13"/>
      <c r="T161" s="13"/>
      <c r="U161" s="13"/>
      <c r="V161" s="13"/>
      <c r="W161" s="13"/>
      <c r="X161" s="13"/>
      <c r="Y161" s="13"/>
      <c r="Z161" s="13"/>
      <c r="AA161" s="13"/>
      <c r="AB161" s="13"/>
      <c r="AC161" s="13"/>
    </row>
    <row r="162">
      <c r="A162" s="13"/>
      <c r="B162" s="10">
        <v>46105.0</v>
      </c>
      <c r="C162" s="13"/>
      <c r="D162" s="17" t="s">
        <v>302</v>
      </c>
      <c r="E162" s="4" t="s">
        <v>299</v>
      </c>
      <c r="F162" s="13" t="s">
        <v>8</v>
      </c>
      <c r="G162" s="13"/>
      <c r="H162" s="13"/>
      <c r="I162" s="13"/>
      <c r="J162" s="13"/>
      <c r="K162" s="13">
        <v>0.0</v>
      </c>
      <c r="L162" s="13">
        <v>0.0</v>
      </c>
      <c r="M162" s="13"/>
      <c r="N162" s="13"/>
      <c r="O162" s="13"/>
      <c r="P162" s="13"/>
      <c r="Q162" s="13"/>
      <c r="R162" s="13"/>
      <c r="S162" s="13"/>
      <c r="T162" s="13"/>
      <c r="U162" s="13"/>
      <c r="V162" s="13"/>
      <c r="W162" s="13"/>
      <c r="X162" s="13"/>
      <c r="Y162" s="13"/>
      <c r="Z162" s="13"/>
      <c r="AA162" s="13"/>
      <c r="AB162" s="13"/>
      <c r="AC162" s="13"/>
    </row>
    <row r="163">
      <c r="A163" s="13"/>
      <c r="B163" s="10">
        <v>46105.0</v>
      </c>
      <c r="C163" s="13"/>
      <c r="D163" s="17" t="s">
        <v>302</v>
      </c>
      <c r="E163" s="4" t="s">
        <v>299</v>
      </c>
      <c r="F163" s="13" t="s">
        <v>9</v>
      </c>
      <c r="G163" s="13"/>
      <c r="H163" s="13"/>
      <c r="I163" s="13"/>
      <c r="J163" s="13"/>
      <c r="K163" s="13">
        <v>0.0</v>
      </c>
      <c r="L163" s="13">
        <v>0.0</v>
      </c>
      <c r="M163" s="13"/>
      <c r="N163" s="13"/>
      <c r="O163" s="13"/>
      <c r="P163" s="13"/>
      <c r="Q163" s="13"/>
      <c r="R163" s="13"/>
      <c r="S163" s="13"/>
      <c r="T163" s="13"/>
      <c r="U163" s="13"/>
      <c r="V163" s="13"/>
      <c r="W163" s="13"/>
      <c r="X163" s="13"/>
      <c r="Y163" s="13"/>
      <c r="Z163" s="13"/>
      <c r="AA163" s="13"/>
      <c r="AB163" s="13"/>
      <c r="AC163" s="13"/>
    </row>
    <row r="164">
      <c r="A164" s="13"/>
      <c r="B164" s="10">
        <v>46105.0</v>
      </c>
      <c r="C164" s="13"/>
      <c r="D164" s="17" t="s">
        <v>302</v>
      </c>
      <c r="E164" s="4" t="s">
        <v>299</v>
      </c>
      <c r="F164" s="13" t="s">
        <v>10</v>
      </c>
      <c r="G164" s="13"/>
      <c r="H164" s="13"/>
      <c r="I164" s="13"/>
      <c r="J164" s="13"/>
      <c r="K164" s="13">
        <v>0.0</v>
      </c>
      <c r="L164" s="13">
        <v>0.0</v>
      </c>
      <c r="M164" s="13"/>
      <c r="N164" s="13"/>
      <c r="O164" s="13"/>
      <c r="P164" s="13"/>
      <c r="Q164" s="13"/>
      <c r="R164" s="13"/>
      <c r="S164" s="13"/>
      <c r="T164" s="13"/>
      <c r="U164" s="13"/>
      <c r="V164" s="13"/>
      <c r="W164" s="13"/>
      <c r="X164" s="13"/>
      <c r="Y164" s="13"/>
      <c r="Z164" s="13"/>
      <c r="AA164" s="13"/>
      <c r="AB164" s="13"/>
      <c r="AC164" s="13"/>
    </row>
    <row r="165">
      <c r="A165" s="13"/>
      <c r="B165" s="10">
        <v>46105.0</v>
      </c>
      <c r="C165" s="13"/>
      <c r="D165" s="17" t="s">
        <v>302</v>
      </c>
      <c r="E165" s="4" t="s">
        <v>299</v>
      </c>
      <c r="F165" s="13" t="s">
        <v>11</v>
      </c>
      <c r="G165" s="13"/>
      <c r="H165" s="13"/>
      <c r="I165" s="13"/>
      <c r="J165" s="13"/>
      <c r="K165" s="13">
        <v>0.0</v>
      </c>
      <c r="L165" s="13">
        <v>0.0</v>
      </c>
      <c r="M165" s="13"/>
      <c r="N165" s="13"/>
      <c r="O165" s="13"/>
      <c r="P165" s="13"/>
      <c r="Q165" s="13"/>
      <c r="R165" s="13"/>
      <c r="S165" s="13"/>
      <c r="T165" s="13"/>
      <c r="U165" s="13"/>
      <c r="V165" s="13"/>
      <c r="W165" s="13"/>
      <c r="X165" s="13"/>
      <c r="Y165" s="13"/>
      <c r="Z165" s="13"/>
      <c r="AA165" s="13"/>
      <c r="AB165" s="13"/>
      <c r="AC165" s="13"/>
    </row>
    <row r="166">
      <c r="A166" s="13"/>
      <c r="B166" s="10">
        <v>46105.0</v>
      </c>
      <c r="C166" s="13"/>
      <c r="D166" s="17" t="s">
        <v>302</v>
      </c>
      <c r="E166" s="4" t="s">
        <v>299</v>
      </c>
      <c r="F166" s="13" t="s">
        <v>12</v>
      </c>
      <c r="G166" s="13"/>
      <c r="H166" s="13"/>
      <c r="I166" s="13"/>
      <c r="J166" s="13"/>
      <c r="K166" s="13">
        <v>0.0</v>
      </c>
      <c r="L166" s="13">
        <v>0.0</v>
      </c>
      <c r="M166" s="13"/>
      <c r="N166" s="13"/>
      <c r="O166" s="13"/>
      <c r="P166" s="13"/>
      <c r="Q166" s="13"/>
      <c r="R166" s="13"/>
      <c r="S166" s="13"/>
      <c r="T166" s="13"/>
      <c r="U166" s="13"/>
      <c r="V166" s="13"/>
      <c r="W166" s="13"/>
      <c r="X166" s="13"/>
      <c r="Y166" s="13"/>
      <c r="Z166" s="13"/>
      <c r="AA166" s="13"/>
      <c r="AB166" s="13"/>
      <c r="AC166" s="13"/>
    </row>
    <row r="167">
      <c r="A167" s="13"/>
      <c r="B167" s="10">
        <v>46105.0</v>
      </c>
      <c r="C167" s="13"/>
      <c r="D167" s="17" t="s">
        <v>302</v>
      </c>
      <c r="E167" s="4" t="s">
        <v>299</v>
      </c>
      <c r="F167" s="13" t="s">
        <v>13</v>
      </c>
      <c r="G167" s="13"/>
      <c r="H167" s="13"/>
      <c r="I167" s="13"/>
      <c r="J167" s="13"/>
      <c r="K167" s="13">
        <v>0.0</v>
      </c>
      <c r="L167" s="13">
        <v>0.0</v>
      </c>
      <c r="M167" s="13"/>
      <c r="N167" s="13"/>
      <c r="O167" s="13"/>
      <c r="P167" s="13"/>
      <c r="Q167" s="13"/>
      <c r="R167" s="13"/>
      <c r="S167" s="13"/>
      <c r="T167" s="13"/>
      <c r="U167" s="13"/>
      <c r="V167" s="13"/>
      <c r="W167" s="13"/>
      <c r="X167" s="13"/>
      <c r="Y167" s="13"/>
      <c r="Z167" s="13"/>
      <c r="AA167" s="13"/>
      <c r="AB167" s="13"/>
      <c r="AC167" s="13"/>
    </row>
    <row r="168">
      <c r="A168" s="13"/>
      <c r="B168" s="10">
        <v>46105.0</v>
      </c>
      <c r="C168" s="13"/>
      <c r="D168" s="17" t="s">
        <v>302</v>
      </c>
      <c r="E168" s="4" t="s">
        <v>299</v>
      </c>
      <c r="F168" s="4" t="s">
        <v>297</v>
      </c>
      <c r="G168" s="13"/>
      <c r="H168" s="13"/>
      <c r="I168" s="13"/>
      <c r="J168" s="13"/>
      <c r="K168" s="13">
        <v>0.0</v>
      </c>
      <c r="L168" s="13">
        <v>0.0</v>
      </c>
      <c r="M168" s="13"/>
      <c r="N168" s="13"/>
      <c r="O168" s="13"/>
      <c r="P168" s="13"/>
      <c r="Q168" s="13"/>
      <c r="R168" s="13"/>
      <c r="S168" s="13"/>
      <c r="T168" s="13"/>
      <c r="U168" s="13"/>
      <c r="V168" s="13"/>
      <c r="W168" s="13"/>
      <c r="X168" s="13"/>
      <c r="Y168" s="13"/>
      <c r="Z168" s="13"/>
      <c r="AA168" s="13"/>
      <c r="AB168" s="13"/>
      <c r="AC168" s="13"/>
    </row>
    <row r="169">
      <c r="A169" s="13"/>
      <c r="B169" s="10">
        <v>46105.0</v>
      </c>
      <c r="C169" s="4" t="s">
        <v>113</v>
      </c>
      <c r="D169" s="17" t="s">
        <v>302</v>
      </c>
      <c r="E169" s="4" t="s">
        <v>299</v>
      </c>
      <c r="F169" s="13" t="s">
        <v>15</v>
      </c>
      <c r="G169" s="13"/>
      <c r="H169" s="13"/>
      <c r="I169" s="13"/>
      <c r="J169" s="13"/>
      <c r="K169" s="13">
        <v>0.0</v>
      </c>
      <c r="L169" s="13">
        <v>0.0</v>
      </c>
      <c r="M169" s="13"/>
      <c r="N169" s="13"/>
      <c r="O169" s="13"/>
      <c r="P169" s="13"/>
      <c r="Q169" s="13"/>
      <c r="R169" s="13"/>
      <c r="S169" s="13"/>
      <c r="T169" s="13"/>
      <c r="U169" s="13"/>
      <c r="V169" s="13"/>
      <c r="W169" s="13"/>
      <c r="X169" s="13"/>
      <c r="Y169" s="13"/>
      <c r="Z169" s="13"/>
      <c r="AA169" s="13"/>
      <c r="AB169" s="13"/>
      <c r="AC169" s="13"/>
    </row>
    <row r="170">
      <c r="B170" s="10">
        <v>46105.0</v>
      </c>
      <c r="C170" s="4" t="s">
        <v>114</v>
      </c>
      <c r="D170" s="17" t="s">
        <v>302</v>
      </c>
      <c r="E170" s="4" t="s">
        <v>303</v>
      </c>
      <c r="F170" s="13" t="s">
        <v>4</v>
      </c>
      <c r="H170" s="4">
        <v>4.0</v>
      </c>
      <c r="I170" s="4">
        <v>1.0</v>
      </c>
      <c r="K170" s="13">
        <v>3.0</v>
      </c>
      <c r="L170" s="13">
        <v>60000.0</v>
      </c>
    </row>
    <row r="171">
      <c r="B171" s="10">
        <v>46105.0</v>
      </c>
      <c r="C171" s="13"/>
      <c r="D171" s="17" t="s">
        <v>302</v>
      </c>
      <c r="E171" s="4" t="s">
        <v>303</v>
      </c>
      <c r="F171" s="13" t="s">
        <v>5</v>
      </c>
      <c r="H171" s="4">
        <v>2.0</v>
      </c>
      <c r="I171" s="4">
        <v>2.0</v>
      </c>
      <c r="K171" s="13">
        <v>0.0</v>
      </c>
      <c r="L171" s="13">
        <v>0.0</v>
      </c>
    </row>
    <row r="172">
      <c r="B172" s="10">
        <v>46105.0</v>
      </c>
      <c r="C172" s="13"/>
      <c r="D172" s="17" t="s">
        <v>302</v>
      </c>
      <c r="E172" s="4" t="s">
        <v>303</v>
      </c>
      <c r="F172" s="13" t="s">
        <v>6</v>
      </c>
      <c r="H172" s="4">
        <v>2.0</v>
      </c>
      <c r="K172" s="13">
        <v>2.0</v>
      </c>
      <c r="L172" s="13">
        <v>40000.0</v>
      </c>
    </row>
    <row r="173">
      <c r="B173" s="10">
        <v>46105.0</v>
      </c>
      <c r="C173" s="13"/>
      <c r="D173" s="17" t="s">
        <v>302</v>
      </c>
      <c r="E173" s="4" t="s">
        <v>303</v>
      </c>
      <c r="F173" s="13" t="s">
        <v>7</v>
      </c>
      <c r="H173" s="4">
        <v>1.0</v>
      </c>
      <c r="K173" s="13">
        <v>1.0</v>
      </c>
      <c r="L173" s="13">
        <v>20000.0</v>
      </c>
    </row>
    <row r="174">
      <c r="B174" s="10">
        <v>46105.0</v>
      </c>
      <c r="C174" s="13"/>
      <c r="D174" s="17" t="s">
        <v>302</v>
      </c>
      <c r="E174" s="4" t="s">
        <v>303</v>
      </c>
      <c r="F174" s="13" t="s">
        <v>8</v>
      </c>
      <c r="H174" s="4">
        <v>1.0</v>
      </c>
      <c r="K174" s="13">
        <v>1.0</v>
      </c>
      <c r="L174" s="13">
        <v>20000.0</v>
      </c>
    </row>
    <row r="175">
      <c r="B175" s="10">
        <v>46105.0</v>
      </c>
      <c r="C175" s="13"/>
      <c r="D175" s="17" t="s">
        <v>302</v>
      </c>
      <c r="E175" s="4" t="s">
        <v>303</v>
      </c>
      <c r="F175" s="13" t="s">
        <v>9</v>
      </c>
      <c r="H175" s="4">
        <v>3.0</v>
      </c>
      <c r="K175" s="13">
        <v>3.0</v>
      </c>
      <c r="L175" s="13">
        <v>60000.0</v>
      </c>
    </row>
    <row r="176">
      <c r="B176" s="10">
        <v>46105.0</v>
      </c>
      <c r="C176" s="13"/>
      <c r="D176" s="17" t="s">
        <v>302</v>
      </c>
      <c r="E176" s="4" t="s">
        <v>303</v>
      </c>
      <c r="F176" s="13" t="s">
        <v>10</v>
      </c>
      <c r="H176" s="4">
        <v>2.0</v>
      </c>
      <c r="K176" s="13">
        <v>2.0</v>
      </c>
      <c r="L176" s="13">
        <v>40000.0</v>
      </c>
    </row>
    <row r="177">
      <c r="B177" s="10">
        <v>46105.0</v>
      </c>
      <c r="C177" s="13"/>
      <c r="D177" s="17" t="s">
        <v>302</v>
      </c>
      <c r="E177" s="4" t="s">
        <v>303</v>
      </c>
      <c r="F177" s="13" t="s">
        <v>11</v>
      </c>
      <c r="K177" s="13">
        <v>0.0</v>
      </c>
      <c r="L177" s="13">
        <v>0.0</v>
      </c>
    </row>
    <row r="178">
      <c r="B178" s="10">
        <v>46105.0</v>
      </c>
      <c r="C178" s="13"/>
      <c r="D178" s="17" t="s">
        <v>302</v>
      </c>
      <c r="E178" s="4" t="s">
        <v>303</v>
      </c>
      <c r="F178" s="13" t="s">
        <v>12</v>
      </c>
      <c r="K178" s="13">
        <v>0.0</v>
      </c>
      <c r="L178" s="13">
        <v>0.0</v>
      </c>
    </row>
    <row r="179">
      <c r="B179" s="10">
        <v>46105.0</v>
      </c>
      <c r="C179" s="13"/>
      <c r="D179" s="17" t="s">
        <v>302</v>
      </c>
      <c r="E179" s="4" t="s">
        <v>303</v>
      </c>
      <c r="F179" s="13" t="s">
        <v>13</v>
      </c>
      <c r="H179" s="4">
        <v>1.0</v>
      </c>
      <c r="K179" s="13">
        <v>1.0</v>
      </c>
      <c r="L179" s="13">
        <v>20000.0</v>
      </c>
    </row>
    <row r="180">
      <c r="B180" s="10">
        <v>46105.0</v>
      </c>
      <c r="C180" s="13"/>
      <c r="D180" s="17" t="s">
        <v>302</v>
      </c>
      <c r="E180" s="4" t="s">
        <v>303</v>
      </c>
      <c r="F180" s="13" t="s">
        <v>14</v>
      </c>
      <c r="K180" s="13">
        <v>0.0</v>
      </c>
      <c r="L180" s="13">
        <v>0.0</v>
      </c>
    </row>
    <row r="181">
      <c r="B181" s="10">
        <v>46105.0</v>
      </c>
      <c r="C181" s="4" t="s">
        <v>114</v>
      </c>
      <c r="D181" s="17" t="s">
        <v>302</v>
      </c>
      <c r="E181" s="4" t="s">
        <v>303</v>
      </c>
      <c r="F181" s="13" t="s">
        <v>15</v>
      </c>
      <c r="H181" s="4">
        <v>14.0</v>
      </c>
      <c r="I181" s="4">
        <v>5.0</v>
      </c>
      <c r="K181" s="13">
        <v>9.0</v>
      </c>
      <c r="L181" s="13">
        <v>180000.0</v>
      </c>
    </row>
    <row r="182">
      <c r="B182" s="10">
        <v>46105.0</v>
      </c>
      <c r="C182" s="4" t="s">
        <v>113</v>
      </c>
      <c r="D182" s="17" t="s">
        <v>304</v>
      </c>
      <c r="E182" s="4" t="s">
        <v>303</v>
      </c>
      <c r="F182" s="13" t="s">
        <v>4</v>
      </c>
      <c r="H182" s="4">
        <v>5.0</v>
      </c>
      <c r="I182" s="4">
        <v>2.0</v>
      </c>
      <c r="K182" s="13">
        <v>3.0</v>
      </c>
      <c r="L182" s="13">
        <v>60000.0</v>
      </c>
    </row>
    <row r="183">
      <c r="B183" s="10">
        <v>46105.0</v>
      </c>
      <c r="C183" s="4" t="s">
        <v>113</v>
      </c>
      <c r="D183" s="17" t="s">
        <v>304</v>
      </c>
      <c r="E183" s="4" t="s">
        <v>303</v>
      </c>
      <c r="F183" s="13" t="s">
        <v>5</v>
      </c>
      <c r="H183" s="4">
        <v>3.0</v>
      </c>
      <c r="I183" s="4">
        <v>1.0</v>
      </c>
      <c r="K183" s="13">
        <v>2.0</v>
      </c>
      <c r="L183" s="13">
        <v>40000.0</v>
      </c>
    </row>
    <row r="184">
      <c r="B184" s="10">
        <v>46105.0</v>
      </c>
      <c r="C184" s="4" t="s">
        <v>113</v>
      </c>
      <c r="D184" s="17" t="s">
        <v>304</v>
      </c>
      <c r="E184" s="4" t="s">
        <v>303</v>
      </c>
      <c r="F184" s="13" t="s">
        <v>6</v>
      </c>
      <c r="H184" s="4">
        <v>2.0</v>
      </c>
      <c r="I184" s="4">
        <v>1.0</v>
      </c>
      <c r="K184" s="13">
        <v>1.0</v>
      </c>
      <c r="L184" s="13">
        <v>20000.0</v>
      </c>
    </row>
    <row r="185">
      <c r="B185" s="10">
        <v>46105.0</v>
      </c>
      <c r="C185" s="4" t="s">
        <v>113</v>
      </c>
      <c r="D185" s="17" t="s">
        <v>304</v>
      </c>
      <c r="E185" s="4" t="s">
        <v>303</v>
      </c>
      <c r="F185" s="13" t="s">
        <v>7</v>
      </c>
      <c r="H185" s="4">
        <v>3.0</v>
      </c>
      <c r="K185" s="13">
        <v>3.0</v>
      </c>
      <c r="L185" s="13">
        <v>60000.0</v>
      </c>
    </row>
    <row r="186">
      <c r="B186" s="10">
        <v>46105.0</v>
      </c>
      <c r="C186" s="4" t="s">
        <v>113</v>
      </c>
      <c r="D186" s="17" t="s">
        <v>304</v>
      </c>
      <c r="E186" s="4" t="s">
        <v>303</v>
      </c>
      <c r="F186" s="13" t="s">
        <v>8</v>
      </c>
      <c r="H186" s="4">
        <v>3.0</v>
      </c>
      <c r="K186" s="13">
        <v>3.0</v>
      </c>
      <c r="L186" s="13">
        <v>60000.0</v>
      </c>
    </row>
    <row r="187">
      <c r="B187" s="10">
        <v>46105.0</v>
      </c>
      <c r="C187" s="4" t="s">
        <v>113</v>
      </c>
      <c r="D187" s="17" t="s">
        <v>304</v>
      </c>
      <c r="E187" s="4" t="s">
        <v>303</v>
      </c>
      <c r="F187" s="13" t="s">
        <v>9</v>
      </c>
      <c r="H187" s="4">
        <v>6.0</v>
      </c>
      <c r="K187" s="13">
        <v>6.0</v>
      </c>
      <c r="L187" s="13">
        <v>120000.0</v>
      </c>
    </row>
    <row r="188">
      <c r="B188" s="10">
        <v>46105.0</v>
      </c>
      <c r="C188" s="4" t="s">
        <v>113</v>
      </c>
      <c r="D188" s="17" t="s">
        <v>304</v>
      </c>
      <c r="E188" s="4" t="s">
        <v>303</v>
      </c>
      <c r="F188" s="13" t="s">
        <v>10</v>
      </c>
      <c r="H188" s="4">
        <v>3.0</v>
      </c>
      <c r="K188" s="13">
        <v>3.0</v>
      </c>
      <c r="L188" s="13">
        <v>60000.0</v>
      </c>
    </row>
    <row r="189">
      <c r="B189" s="10">
        <v>46105.0</v>
      </c>
      <c r="C189" s="4" t="s">
        <v>113</v>
      </c>
      <c r="D189" s="17" t="s">
        <v>304</v>
      </c>
      <c r="E189" s="4" t="s">
        <v>303</v>
      </c>
      <c r="F189" s="13" t="s">
        <v>11</v>
      </c>
      <c r="H189" s="4">
        <v>2.0</v>
      </c>
      <c r="I189" s="4">
        <v>1.0</v>
      </c>
      <c r="K189" s="13">
        <v>1.0</v>
      </c>
      <c r="L189" s="13">
        <v>20000.0</v>
      </c>
    </row>
    <row r="190">
      <c r="B190" s="10">
        <v>46105.0</v>
      </c>
      <c r="C190" s="4" t="s">
        <v>113</v>
      </c>
      <c r="D190" s="17" t="s">
        <v>304</v>
      </c>
      <c r="E190" s="4" t="s">
        <v>303</v>
      </c>
      <c r="F190" s="13" t="s">
        <v>12</v>
      </c>
      <c r="H190" s="4">
        <v>2.0</v>
      </c>
      <c r="K190" s="13">
        <v>2.0</v>
      </c>
      <c r="L190" s="13">
        <v>40000.0</v>
      </c>
    </row>
    <row r="191">
      <c r="B191" s="10">
        <v>46105.0</v>
      </c>
      <c r="C191" s="4" t="s">
        <v>113</v>
      </c>
      <c r="D191" s="17" t="s">
        <v>304</v>
      </c>
      <c r="E191" s="4" t="s">
        <v>303</v>
      </c>
      <c r="F191" s="13" t="s">
        <v>13</v>
      </c>
      <c r="H191" s="4">
        <v>3.0</v>
      </c>
      <c r="I191" s="4">
        <v>2.0</v>
      </c>
      <c r="K191" s="13">
        <v>1.0</v>
      </c>
      <c r="L191" s="13">
        <v>20000.0</v>
      </c>
    </row>
    <row r="192">
      <c r="B192" s="10">
        <v>46105.0</v>
      </c>
      <c r="C192" s="4" t="s">
        <v>113</v>
      </c>
      <c r="D192" s="17" t="s">
        <v>304</v>
      </c>
      <c r="E192" s="4" t="s">
        <v>303</v>
      </c>
      <c r="F192" s="13" t="s">
        <v>14</v>
      </c>
      <c r="H192" s="4">
        <v>2.0</v>
      </c>
      <c r="I192" s="4">
        <v>1.0</v>
      </c>
      <c r="K192" s="13">
        <v>1.0</v>
      </c>
      <c r="L192" s="13">
        <v>22000.0</v>
      </c>
    </row>
    <row r="193">
      <c r="B193" s="10">
        <v>46105.0</v>
      </c>
      <c r="C193" s="4" t="s">
        <v>113</v>
      </c>
      <c r="D193" s="17" t="s">
        <v>304</v>
      </c>
      <c r="E193" s="4" t="s">
        <v>303</v>
      </c>
      <c r="F193" s="13" t="s">
        <v>15</v>
      </c>
      <c r="H193" s="4">
        <v>35.0</v>
      </c>
      <c r="I193" s="4">
        <v>14.0</v>
      </c>
      <c r="K193" s="13">
        <v>21.0</v>
      </c>
      <c r="L193" s="13">
        <v>420000.0</v>
      </c>
    </row>
    <row r="194">
      <c r="A194" s="13"/>
      <c r="B194" s="10">
        <v>46105.0</v>
      </c>
      <c r="C194" s="4" t="s">
        <v>114</v>
      </c>
      <c r="D194" s="17" t="s">
        <v>304</v>
      </c>
      <c r="E194" s="4" t="s">
        <v>299</v>
      </c>
      <c r="F194" s="13" t="s">
        <v>4</v>
      </c>
      <c r="G194" s="13"/>
      <c r="H194" s="13"/>
      <c r="I194" s="13"/>
      <c r="J194" s="13"/>
      <c r="K194" s="13">
        <v>0.0</v>
      </c>
      <c r="L194" s="13">
        <v>0.0</v>
      </c>
      <c r="M194" s="13"/>
      <c r="N194" s="13"/>
      <c r="O194" s="13"/>
      <c r="P194" s="13"/>
      <c r="Q194" s="13"/>
      <c r="R194" s="13"/>
      <c r="S194" s="13"/>
      <c r="T194" s="13"/>
      <c r="U194" s="13"/>
      <c r="V194" s="13"/>
      <c r="W194" s="13"/>
      <c r="X194" s="13"/>
      <c r="Y194" s="13"/>
      <c r="Z194" s="13"/>
      <c r="AA194" s="13"/>
      <c r="AB194" s="13"/>
      <c r="AC194" s="13"/>
    </row>
    <row r="195">
      <c r="A195" s="13"/>
      <c r="B195" s="10">
        <v>46105.0</v>
      </c>
      <c r="C195" s="4" t="s">
        <v>114</v>
      </c>
      <c r="D195" s="17" t="s">
        <v>304</v>
      </c>
      <c r="E195" s="4" t="s">
        <v>299</v>
      </c>
      <c r="F195" s="13" t="s">
        <v>5</v>
      </c>
      <c r="G195" s="13"/>
      <c r="H195" s="13"/>
      <c r="I195" s="13"/>
      <c r="J195" s="13"/>
      <c r="K195" s="13">
        <v>0.0</v>
      </c>
      <c r="L195" s="13">
        <v>0.0</v>
      </c>
      <c r="M195" s="13"/>
      <c r="N195" s="13"/>
      <c r="O195" s="13"/>
      <c r="P195" s="13"/>
      <c r="Q195" s="13"/>
      <c r="R195" s="13"/>
      <c r="S195" s="13"/>
      <c r="T195" s="13"/>
      <c r="U195" s="13"/>
      <c r="V195" s="13"/>
      <c r="W195" s="13"/>
      <c r="X195" s="13"/>
      <c r="Y195" s="13"/>
      <c r="Z195" s="13"/>
      <c r="AA195" s="13"/>
      <c r="AB195" s="13"/>
      <c r="AC195" s="13"/>
    </row>
    <row r="196">
      <c r="A196" s="13"/>
      <c r="B196" s="10">
        <v>46105.0</v>
      </c>
      <c r="C196" s="4" t="s">
        <v>114</v>
      </c>
      <c r="D196" s="17" t="s">
        <v>304</v>
      </c>
      <c r="E196" s="4" t="s">
        <v>299</v>
      </c>
      <c r="F196" s="13" t="s">
        <v>6</v>
      </c>
      <c r="G196" s="13"/>
      <c r="H196" s="13"/>
      <c r="I196" s="13"/>
      <c r="J196" s="13"/>
      <c r="K196" s="13">
        <v>0.0</v>
      </c>
      <c r="L196" s="13">
        <v>0.0</v>
      </c>
      <c r="M196" s="13"/>
      <c r="N196" s="13"/>
      <c r="O196" s="13"/>
      <c r="P196" s="13"/>
      <c r="Q196" s="13"/>
      <c r="R196" s="13"/>
      <c r="S196" s="13"/>
      <c r="T196" s="13"/>
      <c r="U196" s="13"/>
      <c r="V196" s="13"/>
      <c r="W196" s="13"/>
      <c r="X196" s="13"/>
      <c r="Y196" s="13"/>
      <c r="Z196" s="13"/>
      <c r="AA196" s="13"/>
      <c r="AB196" s="13"/>
      <c r="AC196" s="13"/>
    </row>
    <row r="197">
      <c r="A197" s="13"/>
      <c r="B197" s="10">
        <v>46105.0</v>
      </c>
      <c r="C197" s="4" t="s">
        <v>114</v>
      </c>
      <c r="D197" s="17" t="s">
        <v>304</v>
      </c>
      <c r="E197" s="4" t="s">
        <v>299</v>
      </c>
      <c r="F197" s="13" t="s">
        <v>7</v>
      </c>
      <c r="G197" s="13"/>
      <c r="H197" s="13"/>
      <c r="I197" s="13"/>
      <c r="J197" s="13"/>
      <c r="K197" s="13">
        <v>0.0</v>
      </c>
      <c r="L197" s="13">
        <v>0.0</v>
      </c>
      <c r="M197" s="13"/>
      <c r="N197" s="13"/>
      <c r="O197" s="13"/>
      <c r="P197" s="13"/>
      <c r="Q197" s="13"/>
      <c r="R197" s="13"/>
      <c r="S197" s="13"/>
      <c r="T197" s="13"/>
      <c r="U197" s="13"/>
      <c r="V197" s="13"/>
      <c r="W197" s="13"/>
      <c r="X197" s="13"/>
      <c r="Y197" s="13"/>
      <c r="Z197" s="13"/>
      <c r="AA197" s="13"/>
      <c r="AB197" s="13"/>
      <c r="AC197" s="13"/>
    </row>
    <row r="198">
      <c r="A198" s="13"/>
      <c r="B198" s="10">
        <v>46105.0</v>
      </c>
      <c r="C198" s="4" t="s">
        <v>114</v>
      </c>
      <c r="D198" s="17" t="s">
        <v>304</v>
      </c>
      <c r="E198" s="4" t="s">
        <v>299</v>
      </c>
      <c r="F198" s="13" t="s">
        <v>8</v>
      </c>
      <c r="G198" s="13"/>
      <c r="H198" s="13"/>
      <c r="I198" s="13"/>
      <c r="J198" s="13"/>
      <c r="K198" s="13">
        <v>0.0</v>
      </c>
      <c r="L198" s="13">
        <v>0.0</v>
      </c>
      <c r="M198" s="13"/>
      <c r="N198" s="13"/>
      <c r="O198" s="13"/>
      <c r="P198" s="13"/>
      <c r="Q198" s="13"/>
      <c r="R198" s="13"/>
      <c r="S198" s="13"/>
      <c r="T198" s="13"/>
      <c r="U198" s="13"/>
      <c r="V198" s="13"/>
      <c r="W198" s="13"/>
      <c r="X198" s="13"/>
      <c r="Y198" s="13"/>
      <c r="Z198" s="13"/>
      <c r="AA198" s="13"/>
      <c r="AB198" s="13"/>
      <c r="AC198" s="13"/>
    </row>
    <row r="199">
      <c r="A199" s="13"/>
      <c r="B199" s="10">
        <v>46105.0</v>
      </c>
      <c r="C199" s="4" t="s">
        <v>114</v>
      </c>
      <c r="D199" s="17" t="s">
        <v>304</v>
      </c>
      <c r="E199" s="4" t="s">
        <v>299</v>
      </c>
      <c r="F199" s="13" t="s">
        <v>9</v>
      </c>
      <c r="G199" s="13"/>
      <c r="H199" s="13"/>
      <c r="I199" s="13"/>
      <c r="J199" s="13"/>
      <c r="K199" s="13">
        <v>0.0</v>
      </c>
      <c r="L199" s="13">
        <v>0.0</v>
      </c>
      <c r="M199" s="13"/>
      <c r="N199" s="13"/>
      <c r="O199" s="13"/>
      <c r="P199" s="13"/>
      <c r="Q199" s="13"/>
      <c r="R199" s="13"/>
      <c r="S199" s="13"/>
      <c r="T199" s="13"/>
      <c r="U199" s="13"/>
      <c r="V199" s="13"/>
      <c r="W199" s="13"/>
      <c r="X199" s="13"/>
      <c r="Y199" s="13"/>
      <c r="Z199" s="13"/>
      <c r="AA199" s="13"/>
      <c r="AB199" s="13"/>
      <c r="AC199" s="13"/>
    </row>
    <row r="200">
      <c r="A200" s="13"/>
      <c r="B200" s="10">
        <v>46105.0</v>
      </c>
      <c r="C200" s="4" t="s">
        <v>114</v>
      </c>
      <c r="D200" s="17" t="s">
        <v>304</v>
      </c>
      <c r="E200" s="4" t="s">
        <v>299</v>
      </c>
      <c r="F200" s="13" t="s">
        <v>10</v>
      </c>
      <c r="G200" s="13"/>
      <c r="H200" s="13"/>
      <c r="I200" s="13"/>
      <c r="J200" s="13"/>
      <c r="K200" s="13">
        <v>0.0</v>
      </c>
      <c r="L200" s="13">
        <v>0.0</v>
      </c>
      <c r="M200" s="13"/>
      <c r="N200" s="13"/>
      <c r="O200" s="13"/>
      <c r="P200" s="13"/>
      <c r="Q200" s="13"/>
      <c r="R200" s="13"/>
      <c r="S200" s="13"/>
      <c r="T200" s="13"/>
      <c r="U200" s="13"/>
      <c r="V200" s="13"/>
      <c r="W200" s="13"/>
      <c r="X200" s="13"/>
      <c r="Y200" s="13"/>
      <c r="Z200" s="13"/>
      <c r="AA200" s="13"/>
      <c r="AB200" s="13"/>
      <c r="AC200" s="13"/>
    </row>
    <row r="201">
      <c r="A201" s="13"/>
      <c r="B201" s="10">
        <v>46105.0</v>
      </c>
      <c r="C201" s="4" t="s">
        <v>114</v>
      </c>
      <c r="D201" s="17" t="s">
        <v>304</v>
      </c>
      <c r="E201" s="4" t="s">
        <v>299</v>
      </c>
      <c r="F201" s="13" t="s">
        <v>11</v>
      </c>
      <c r="G201" s="13"/>
      <c r="H201" s="13"/>
      <c r="I201" s="13"/>
      <c r="J201" s="13"/>
      <c r="K201" s="13">
        <v>0.0</v>
      </c>
      <c r="L201" s="13">
        <v>0.0</v>
      </c>
      <c r="M201" s="13"/>
      <c r="N201" s="13"/>
      <c r="O201" s="13"/>
      <c r="P201" s="13"/>
      <c r="Q201" s="13"/>
      <c r="R201" s="13"/>
      <c r="S201" s="13"/>
      <c r="T201" s="13"/>
      <c r="U201" s="13"/>
      <c r="V201" s="13"/>
      <c r="W201" s="13"/>
      <c r="X201" s="13"/>
      <c r="Y201" s="13"/>
      <c r="Z201" s="13"/>
      <c r="AA201" s="13"/>
      <c r="AB201" s="13"/>
      <c r="AC201" s="13"/>
    </row>
    <row r="202">
      <c r="A202" s="13"/>
      <c r="B202" s="10">
        <v>46105.0</v>
      </c>
      <c r="C202" s="4" t="s">
        <v>114</v>
      </c>
      <c r="D202" s="17" t="s">
        <v>304</v>
      </c>
      <c r="E202" s="4" t="s">
        <v>299</v>
      </c>
      <c r="F202" s="13" t="s">
        <v>12</v>
      </c>
      <c r="G202" s="13"/>
      <c r="H202" s="13"/>
      <c r="I202" s="13"/>
      <c r="J202" s="13"/>
      <c r="K202" s="13">
        <v>0.0</v>
      </c>
      <c r="L202" s="13">
        <v>0.0</v>
      </c>
      <c r="M202" s="13"/>
      <c r="N202" s="13"/>
      <c r="O202" s="13"/>
      <c r="P202" s="13"/>
      <c r="Q202" s="13"/>
      <c r="R202" s="13"/>
      <c r="S202" s="13"/>
      <c r="T202" s="13"/>
      <c r="U202" s="13"/>
      <c r="V202" s="13"/>
      <c r="W202" s="13"/>
      <c r="X202" s="13"/>
      <c r="Y202" s="13"/>
      <c r="Z202" s="13"/>
      <c r="AA202" s="13"/>
      <c r="AB202" s="13"/>
      <c r="AC202" s="13"/>
    </row>
    <row r="203">
      <c r="A203" s="13"/>
      <c r="B203" s="10">
        <v>46105.0</v>
      </c>
      <c r="C203" s="4" t="s">
        <v>114</v>
      </c>
      <c r="D203" s="17" t="s">
        <v>304</v>
      </c>
      <c r="E203" s="4" t="s">
        <v>299</v>
      </c>
      <c r="F203" s="13" t="s">
        <v>13</v>
      </c>
      <c r="G203" s="13"/>
      <c r="H203" s="13"/>
      <c r="I203" s="13"/>
      <c r="J203" s="13"/>
      <c r="K203" s="13">
        <v>0.0</v>
      </c>
      <c r="L203" s="13">
        <v>0.0</v>
      </c>
      <c r="M203" s="13"/>
      <c r="N203" s="13"/>
      <c r="O203" s="13"/>
      <c r="P203" s="13"/>
      <c r="Q203" s="13"/>
      <c r="R203" s="13"/>
      <c r="S203" s="13"/>
      <c r="T203" s="13"/>
      <c r="U203" s="13"/>
      <c r="V203" s="13"/>
      <c r="W203" s="13"/>
      <c r="X203" s="13"/>
      <c r="Y203" s="13"/>
      <c r="Z203" s="13"/>
      <c r="AA203" s="13"/>
      <c r="AB203" s="13"/>
      <c r="AC203" s="13"/>
    </row>
    <row r="204">
      <c r="A204" s="13"/>
      <c r="B204" s="10">
        <v>46105.0</v>
      </c>
      <c r="C204" s="4" t="s">
        <v>114</v>
      </c>
      <c r="D204" s="17" t="s">
        <v>304</v>
      </c>
      <c r="E204" s="4" t="s">
        <v>299</v>
      </c>
      <c r="F204" s="13" t="s">
        <v>14</v>
      </c>
      <c r="G204" s="13"/>
      <c r="H204" s="13"/>
      <c r="I204" s="13"/>
      <c r="J204" s="13"/>
      <c r="K204" s="13">
        <v>0.0</v>
      </c>
      <c r="L204" s="13">
        <v>0.0</v>
      </c>
      <c r="M204" s="13"/>
      <c r="N204" s="13"/>
      <c r="O204" s="13"/>
      <c r="P204" s="13"/>
      <c r="Q204" s="13"/>
      <c r="R204" s="13"/>
      <c r="S204" s="13"/>
      <c r="T204" s="13"/>
      <c r="U204" s="13"/>
      <c r="V204" s="13"/>
      <c r="W204" s="13"/>
      <c r="X204" s="13"/>
      <c r="Y204" s="13"/>
      <c r="Z204" s="13"/>
      <c r="AA204" s="13"/>
      <c r="AB204" s="13"/>
      <c r="AC204" s="13"/>
    </row>
    <row r="205">
      <c r="A205" s="13"/>
      <c r="B205" s="10">
        <v>46105.0</v>
      </c>
      <c r="C205" s="4" t="s">
        <v>114</v>
      </c>
      <c r="D205" s="17" t="s">
        <v>304</v>
      </c>
      <c r="E205" s="4" t="s">
        <v>299</v>
      </c>
      <c r="F205" s="13" t="s">
        <v>15</v>
      </c>
      <c r="G205" s="13"/>
      <c r="H205" s="13"/>
      <c r="I205" s="13"/>
      <c r="J205" s="13"/>
      <c r="K205" s="13">
        <v>0.0</v>
      </c>
      <c r="L205" s="13">
        <v>0.0</v>
      </c>
      <c r="M205" s="13"/>
      <c r="N205" s="13"/>
      <c r="O205" s="13"/>
      <c r="P205" s="13"/>
      <c r="Q205" s="13"/>
      <c r="R205" s="13"/>
      <c r="S205" s="13"/>
      <c r="T205" s="13"/>
      <c r="U205" s="13"/>
      <c r="V205" s="13"/>
      <c r="W205" s="13"/>
      <c r="X205" s="13"/>
      <c r="Y205" s="13"/>
      <c r="Z205" s="13"/>
      <c r="AA205" s="13"/>
      <c r="AB205" s="13"/>
      <c r="AC205" s="13"/>
    </row>
    <row r="206">
      <c r="A206" s="13"/>
      <c r="B206" s="10">
        <v>46105.0</v>
      </c>
      <c r="C206" s="4" t="s">
        <v>113</v>
      </c>
      <c r="D206" s="17" t="s">
        <v>93</v>
      </c>
      <c r="E206" s="4" t="s">
        <v>299</v>
      </c>
      <c r="F206" s="13" t="s">
        <v>4</v>
      </c>
      <c r="G206" s="13" t="str">
        <f t="shared" ref="G206:G217" si="5">I194</f>
        <v/>
      </c>
      <c r="H206" s="13"/>
      <c r="I206" s="13"/>
      <c r="J206" s="13"/>
      <c r="K206" s="13">
        <v>0.0</v>
      </c>
      <c r="L206" s="13">
        <v>0.0</v>
      </c>
      <c r="M206" s="13"/>
      <c r="N206" s="13"/>
      <c r="O206" s="13"/>
      <c r="P206" s="13"/>
      <c r="Q206" s="13"/>
      <c r="R206" s="13"/>
      <c r="S206" s="13"/>
      <c r="T206" s="13"/>
      <c r="U206" s="13"/>
      <c r="V206" s="13"/>
      <c r="W206" s="13"/>
      <c r="X206" s="13"/>
      <c r="Y206" s="13"/>
      <c r="Z206" s="13"/>
      <c r="AA206" s="13"/>
      <c r="AB206" s="13"/>
      <c r="AC206" s="13"/>
    </row>
    <row r="207">
      <c r="A207" s="13"/>
      <c r="B207" s="10">
        <v>46105.0</v>
      </c>
      <c r="C207" s="4" t="s">
        <v>113</v>
      </c>
      <c r="D207" s="17" t="s">
        <v>93</v>
      </c>
      <c r="E207" s="4" t="s">
        <v>299</v>
      </c>
      <c r="F207" s="13" t="s">
        <v>5</v>
      </c>
      <c r="G207" s="13" t="str">
        <f t="shared" si="5"/>
        <v/>
      </c>
      <c r="H207" s="13"/>
      <c r="I207" s="13"/>
      <c r="J207" s="13"/>
      <c r="K207" s="13">
        <v>0.0</v>
      </c>
      <c r="L207" s="13">
        <v>0.0</v>
      </c>
      <c r="M207" s="13"/>
      <c r="N207" s="13"/>
      <c r="O207" s="13"/>
      <c r="P207" s="13"/>
      <c r="Q207" s="13"/>
      <c r="R207" s="13"/>
      <c r="S207" s="13"/>
      <c r="T207" s="13"/>
      <c r="U207" s="13"/>
      <c r="V207" s="13"/>
      <c r="W207" s="13"/>
      <c r="X207" s="13"/>
      <c r="Y207" s="13"/>
      <c r="Z207" s="13"/>
      <c r="AA207" s="13"/>
      <c r="AB207" s="13"/>
      <c r="AC207" s="13"/>
    </row>
    <row r="208">
      <c r="A208" s="13"/>
      <c r="B208" s="10">
        <v>46105.0</v>
      </c>
      <c r="C208" s="4" t="s">
        <v>113</v>
      </c>
      <c r="D208" s="17" t="s">
        <v>93</v>
      </c>
      <c r="E208" s="4" t="s">
        <v>299</v>
      </c>
      <c r="F208" s="13" t="s">
        <v>6</v>
      </c>
      <c r="G208" s="13" t="str">
        <f t="shared" si="5"/>
        <v/>
      </c>
      <c r="H208" s="13"/>
      <c r="I208" s="13"/>
      <c r="J208" s="13"/>
      <c r="K208" s="13">
        <v>0.0</v>
      </c>
      <c r="L208" s="13">
        <v>0.0</v>
      </c>
      <c r="M208" s="13"/>
      <c r="N208" s="13"/>
      <c r="O208" s="13"/>
      <c r="P208" s="13"/>
      <c r="Q208" s="13"/>
      <c r="R208" s="13"/>
      <c r="S208" s="13"/>
      <c r="T208" s="13"/>
      <c r="U208" s="13"/>
      <c r="V208" s="13"/>
      <c r="W208" s="13"/>
      <c r="X208" s="13"/>
      <c r="Y208" s="13"/>
      <c r="Z208" s="13"/>
      <c r="AA208" s="13"/>
      <c r="AB208" s="13"/>
      <c r="AC208" s="13"/>
    </row>
    <row r="209">
      <c r="A209" s="13"/>
      <c r="B209" s="10">
        <v>46105.0</v>
      </c>
      <c r="C209" s="4" t="s">
        <v>113</v>
      </c>
      <c r="D209" s="17" t="s">
        <v>93</v>
      </c>
      <c r="E209" s="4" t="s">
        <v>299</v>
      </c>
      <c r="F209" s="13" t="s">
        <v>7</v>
      </c>
      <c r="G209" s="13" t="str">
        <f t="shared" si="5"/>
        <v/>
      </c>
      <c r="H209" s="13"/>
      <c r="I209" s="13"/>
      <c r="J209" s="13"/>
      <c r="K209" s="13">
        <v>0.0</v>
      </c>
      <c r="L209" s="13">
        <v>0.0</v>
      </c>
      <c r="M209" s="13"/>
      <c r="N209" s="13"/>
      <c r="O209" s="13"/>
      <c r="P209" s="13"/>
      <c r="Q209" s="13"/>
      <c r="R209" s="13"/>
      <c r="S209" s="13"/>
      <c r="T209" s="13"/>
      <c r="U209" s="13"/>
      <c r="V209" s="13"/>
      <c r="W209" s="13"/>
      <c r="X209" s="13"/>
      <c r="Y209" s="13"/>
      <c r="Z209" s="13"/>
      <c r="AA209" s="13"/>
      <c r="AB209" s="13"/>
      <c r="AC209" s="13"/>
    </row>
    <row r="210">
      <c r="A210" s="13"/>
      <c r="B210" s="10">
        <v>46105.0</v>
      </c>
      <c r="C210" s="4" t="s">
        <v>113</v>
      </c>
      <c r="D210" s="17" t="s">
        <v>93</v>
      </c>
      <c r="E210" s="4" t="s">
        <v>299</v>
      </c>
      <c r="F210" s="13" t="s">
        <v>8</v>
      </c>
      <c r="G210" s="13" t="str">
        <f t="shared" si="5"/>
        <v/>
      </c>
      <c r="H210" s="13"/>
      <c r="I210" s="13"/>
      <c r="J210" s="13"/>
      <c r="K210" s="13">
        <v>0.0</v>
      </c>
      <c r="L210" s="13">
        <v>0.0</v>
      </c>
      <c r="M210" s="13"/>
      <c r="N210" s="13"/>
      <c r="O210" s="13"/>
      <c r="P210" s="13"/>
      <c r="Q210" s="13"/>
      <c r="R210" s="13"/>
      <c r="S210" s="13"/>
      <c r="T210" s="13"/>
      <c r="U210" s="13"/>
      <c r="V210" s="13"/>
      <c r="W210" s="13"/>
      <c r="X210" s="13"/>
      <c r="Y210" s="13"/>
      <c r="Z210" s="13"/>
      <c r="AA210" s="13"/>
      <c r="AB210" s="13"/>
      <c r="AC210" s="13"/>
    </row>
    <row r="211">
      <c r="A211" s="13"/>
      <c r="B211" s="10">
        <v>46105.0</v>
      </c>
      <c r="C211" s="4" t="s">
        <v>113</v>
      </c>
      <c r="D211" s="17" t="s">
        <v>93</v>
      </c>
      <c r="E211" s="4" t="s">
        <v>299</v>
      </c>
      <c r="F211" s="13" t="s">
        <v>9</v>
      </c>
      <c r="G211" s="13" t="str">
        <f t="shared" si="5"/>
        <v/>
      </c>
      <c r="H211" s="13"/>
      <c r="I211" s="13"/>
      <c r="J211" s="13"/>
      <c r="K211" s="13">
        <v>0.0</v>
      </c>
      <c r="L211" s="13">
        <v>0.0</v>
      </c>
      <c r="M211" s="13"/>
      <c r="N211" s="13"/>
      <c r="O211" s="13"/>
      <c r="P211" s="13"/>
      <c r="Q211" s="13"/>
      <c r="R211" s="13"/>
      <c r="S211" s="13"/>
      <c r="T211" s="13"/>
      <c r="U211" s="13"/>
      <c r="V211" s="13"/>
      <c r="W211" s="13"/>
      <c r="X211" s="13"/>
      <c r="Y211" s="13"/>
      <c r="Z211" s="13"/>
      <c r="AA211" s="13"/>
      <c r="AB211" s="13"/>
      <c r="AC211" s="13"/>
    </row>
    <row r="212">
      <c r="A212" s="13"/>
      <c r="B212" s="10">
        <v>46105.0</v>
      </c>
      <c r="C212" s="4" t="s">
        <v>113</v>
      </c>
      <c r="D212" s="17" t="s">
        <v>93</v>
      </c>
      <c r="E212" s="4" t="s">
        <v>299</v>
      </c>
      <c r="F212" s="13" t="s">
        <v>10</v>
      </c>
      <c r="G212" s="13" t="str">
        <f t="shared" si="5"/>
        <v/>
      </c>
      <c r="H212" s="13"/>
      <c r="I212" s="13"/>
      <c r="J212" s="13"/>
      <c r="K212" s="13">
        <v>0.0</v>
      </c>
      <c r="L212" s="13">
        <v>0.0</v>
      </c>
      <c r="M212" s="13"/>
      <c r="N212" s="13"/>
      <c r="O212" s="13"/>
      <c r="P212" s="13"/>
      <c r="Q212" s="13"/>
      <c r="R212" s="13"/>
      <c r="S212" s="13"/>
      <c r="T212" s="13"/>
      <c r="U212" s="13"/>
      <c r="V212" s="13"/>
      <c r="W212" s="13"/>
      <c r="X212" s="13"/>
      <c r="Y212" s="13"/>
      <c r="Z212" s="13"/>
      <c r="AA212" s="13"/>
      <c r="AB212" s="13"/>
      <c r="AC212" s="13"/>
    </row>
    <row r="213">
      <c r="A213" s="13"/>
      <c r="B213" s="10">
        <v>46105.0</v>
      </c>
      <c r="C213" s="4" t="s">
        <v>113</v>
      </c>
      <c r="D213" s="17" t="s">
        <v>93</v>
      </c>
      <c r="E213" s="4" t="s">
        <v>299</v>
      </c>
      <c r="F213" s="13" t="s">
        <v>11</v>
      </c>
      <c r="G213" s="13" t="str">
        <f t="shared" si="5"/>
        <v/>
      </c>
      <c r="H213" s="13"/>
      <c r="I213" s="13"/>
      <c r="J213" s="13"/>
      <c r="K213" s="13">
        <v>0.0</v>
      </c>
      <c r="L213" s="13">
        <v>0.0</v>
      </c>
      <c r="M213" s="13"/>
      <c r="N213" s="13"/>
      <c r="O213" s="13"/>
      <c r="P213" s="13"/>
      <c r="Q213" s="13"/>
      <c r="R213" s="13"/>
      <c r="S213" s="13"/>
      <c r="T213" s="13"/>
      <c r="U213" s="13"/>
      <c r="V213" s="13"/>
      <c r="W213" s="13"/>
      <c r="X213" s="13"/>
      <c r="Y213" s="13"/>
      <c r="Z213" s="13"/>
      <c r="AA213" s="13"/>
      <c r="AB213" s="13"/>
      <c r="AC213" s="13"/>
    </row>
    <row r="214">
      <c r="A214" s="13"/>
      <c r="B214" s="10">
        <v>46105.0</v>
      </c>
      <c r="C214" s="4" t="s">
        <v>113</v>
      </c>
      <c r="D214" s="17" t="s">
        <v>93</v>
      </c>
      <c r="E214" s="4" t="s">
        <v>299</v>
      </c>
      <c r="F214" s="13" t="s">
        <v>12</v>
      </c>
      <c r="G214" s="13" t="str">
        <f t="shared" si="5"/>
        <v/>
      </c>
      <c r="H214" s="13"/>
      <c r="I214" s="13"/>
      <c r="J214" s="13"/>
      <c r="K214" s="13">
        <v>0.0</v>
      </c>
      <c r="L214" s="13">
        <v>0.0</v>
      </c>
      <c r="M214" s="13"/>
      <c r="N214" s="13"/>
      <c r="O214" s="13"/>
      <c r="P214" s="13"/>
      <c r="Q214" s="13"/>
      <c r="R214" s="13"/>
      <c r="S214" s="13"/>
      <c r="T214" s="13"/>
      <c r="U214" s="13"/>
      <c r="V214" s="13"/>
      <c r="W214" s="13"/>
      <c r="X214" s="13"/>
      <c r="Y214" s="13"/>
      <c r="Z214" s="13"/>
      <c r="AA214" s="13"/>
      <c r="AB214" s="13"/>
      <c r="AC214" s="13"/>
    </row>
    <row r="215">
      <c r="A215" s="13"/>
      <c r="B215" s="10">
        <v>46105.0</v>
      </c>
      <c r="C215" s="4" t="s">
        <v>113</v>
      </c>
      <c r="D215" s="17" t="s">
        <v>93</v>
      </c>
      <c r="E215" s="4" t="s">
        <v>299</v>
      </c>
      <c r="F215" s="13" t="s">
        <v>13</v>
      </c>
      <c r="G215" s="13" t="str">
        <f t="shared" si="5"/>
        <v/>
      </c>
      <c r="H215" s="13"/>
      <c r="I215" s="13"/>
      <c r="J215" s="13"/>
      <c r="K215" s="13">
        <v>0.0</v>
      </c>
      <c r="L215" s="13">
        <v>0.0</v>
      </c>
      <c r="M215" s="13"/>
      <c r="N215" s="13"/>
      <c r="O215" s="13"/>
      <c r="P215" s="13"/>
      <c r="Q215" s="13"/>
      <c r="R215" s="13"/>
      <c r="S215" s="13"/>
      <c r="T215" s="13"/>
      <c r="U215" s="13"/>
      <c r="V215" s="13"/>
      <c r="W215" s="13"/>
      <c r="X215" s="13"/>
      <c r="Y215" s="13"/>
      <c r="Z215" s="13"/>
      <c r="AA215" s="13"/>
      <c r="AB215" s="13"/>
      <c r="AC215" s="13"/>
    </row>
    <row r="216">
      <c r="A216" s="13"/>
      <c r="B216" s="10">
        <v>46105.0</v>
      </c>
      <c r="C216" s="4" t="s">
        <v>113</v>
      </c>
      <c r="D216" s="17" t="s">
        <v>93</v>
      </c>
      <c r="E216" s="4" t="s">
        <v>299</v>
      </c>
      <c r="F216" s="13" t="s">
        <v>14</v>
      </c>
      <c r="G216" s="13" t="str">
        <f t="shared" si="5"/>
        <v/>
      </c>
      <c r="H216" s="13"/>
      <c r="I216" s="13"/>
      <c r="J216" s="13"/>
      <c r="K216" s="13">
        <v>0.0</v>
      </c>
      <c r="L216" s="13">
        <v>0.0</v>
      </c>
      <c r="M216" s="13"/>
      <c r="N216" s="13"/>
      <c r="O216" s="13"/>
      <c r="P216" s="13"/>
      <c r="Q216" s="13"/>
      <c r="R216" s="13"/>
      <c r="S216" s="13"/>
      <c r="T216" s="13"/>
      <c r="U216" s="13"/>
      <c r="V216" s="13"/>
      <c r="W216" s="13"/>
      <c r="X216" s="13"/>
      <c r="Y216" s="13"/>
      <c r="Z216" s="13"/>
      <c r="AA216" s="13"/>
      <c r="AB216" s="13"/>
      <c r="AC216" s="13"/>
    </row>
    <row r="217">
      <c r="A217" s="13"/>
      <c r="B217" s="10">
        <v>46105.0</v>
      </c>
      <c r="C217" s="4" t="s">
        <v>113</v>
      </c>
      <c r="D217" s="17" t="s">
        <v>93</v>
      </c>
      <c r="E217" s="4" t="s">
        <v>299</v>
      </c>
      <c r="F217" s="13" t="s">
        <v>15</v>
      </c>
      <c r="G217" s="13" t="str">
        <f t="shared" si="5"/>
        <v/>
      </c>
      <c r="H217" s="13"/>
      <c r="I217" s="13"/>
      <c r="J217" s="13"/>
      <c r="K217" s="13">
        <v>0.0</v>
      </c>
      <c r="L217" s="13">
        <v>0.0</v>
      </c>
      <c r="M217" s="13"/>
      <c r="N217" s="13"/>
      <c r="O217" s="13"/>
      <c r="P217" s="13"/>
      <c r="Q217" s="13"/>
      <c r="R217" s="13"/>
      <c r="S217" s="13"/>
      <c r="T217" s="13"/>
      <c r="U217" s="13"/>
      <c r="V217" s="13"/>
      <c r="W217" s="13"/>
      <c r="X217" s="13"/>
      <c r="Y217" s="13"/>
      <c r="Z217" s="13"/>
      <c r="AA217" s="13"/>
      <c r="AB217" s="13"/>
      <c r="AC217" s="13"/>
    </row>
    <row r="218">
      <c r="B218" s="10">
        <v>46105.0</v>
      </c>
      <c r="C218" s="4" t="s">
        <v>114</v>
      </c>
      <c r="D218" s="17" t="s">
        <v>93</v>
      </c>
      <c r="E218" s="4" t="s">
        <v>63</v>
      </c>
      <c r="F218" s="13" t="s">
        <v>4</v>
      </c>
      <c r="G218" s="4">
        <v>3.0</v>
      </c>
      <c r="K218" s="13">
        <v>3.0</v>
      </c>
      <c r="L218" s="13">
        <v>60000.0</v>
      </c>
    </row>
    <row r="219">
      <c r="B219" s="10">
        <v>46105.0</v>
      </c>
      <c r="C219" s="13"/>
      <c r="D219" s="17" t="s">
        <v>93</v>
      </c>
      <c r="E219" s="4" t="s">
        <v>63</v>
      </c>
      <c r="F219" s="13" t="s">
        <v>5</v>
      </c>
      <c r="G219" s="13">
        <f t="shared" ref="G219:G224" si="6">I183</f>
        <v>1</v>
      </c>
      <c r="K219" s="13">
        <v>1.0</v>
      </c>
      <c r="L219" s="13">
        <v>20000.0</v>
      </c>
    </row>
    <row r="220">
      <c r="B220" s="10">
        <v>46105.0</v>
      </c>
      <c r="C220" s="13"/>
      <c r="D220" s="17" t="s">
        <v>93</v>
      </c>
      <c r="E220" s="4" t="s">
        <v>63</v>
      </c>
      <c r="F220" s="13" t="s">
        <v>6</v>
      </c>
      <c r="G220" s="13">
        <f t="shared" si="6"/>
        <v>1</v>
      </c>
      <c r="K220" s="13">
        <v>1.0</v>
      </c>
      <c r="L220" s="13">
        <v>20000.0</v>
      </c>
    </row>
    <row r="221">
      <c r="B221" s="10">
        <v>46105.0</v>
      </c>
      <c r="C221" s="13"/>
      <c r="D221" s="17" t="s">
        <v>93</v>
      </c>
      <c r="E221" s="4" t="s">
        <v>63</v>
      </c>
      <c r="F221" s="13" t="s">
        <v>7</v>
      </c>
      <c r="G221" s="13" t="str">
        <f t="shared" si="6"/>
        <v/>
      </c>
      <c r="H221" s="4">
        <v>2.0</v>
      </c>
      <c r="K221" s="13">
        <v>2.0</v>
      </c>
      <c r="L221" s="13">
        <v>40000.0</v>
      </c>
    </row>
    <row r="222">
      <c r="B222" s="10">
        <v>46105.0</v>
      </c>
      <c r="C222" s="13"/>
      <c r="D222" s="17" t="s">
        <v>93</v>
      </c>
      <c r="E222" s="4" t="s">
        <v>63</v>
      </c>
      <c r="F222" s="13" t="s">
        <v>8</v>
      </c>
      <c r="G222" s="13" t="str">
        <f t="shared" si="6"/>
        <v/>
      </c>
      <c r="H222" s="4">
        <v>2.0</v>
      </c>
      <c r="K222" s="13">
        <v>2.0</v>
      </c>
      <c r="L222" s="13">
        <v>40000.0</v>
      </c>
    </row>
    <row r="223">
      <c r="B223" s="10">
        <v>46105.0</v>
      </c>
      <c r="C223" s="13"/>
      <c r="D223" s="17" t="s">
        <v>93</v>
      </c>
      <c r="E223" s="4" t="s">
        <v>63</v>
      </c>
      <c r="F223" s="13" t="s">
        <v>9</v>
      </c>
      <c r="G223" s="13" t="str">
        <f t="shared" si="6"/>
        <v/>
      </c>
      <c r="H223" s="4">
        <v>3.0</v>
      </c>
      <c r="K223" s="13">
        <v>3.0</v>
      </c>
      <c r="L223" s="13">
        <v>60000.0</v>
      </c>
    </row>
    <row r="224">
      <c r="B224" s="10">
        <v>46105.0</v>
      </c>
      <c r="C224" s="13"/>
      <c r="D224" s="17" t="s">
        <v>93</v>
      </c>
      <c r="E224" s="4" t="s">
        <v>63</v>
      </c>
      <c r="F224" s="13" t="s">
        <v>10</v>
      </c>
      <c r="G224" s="13" t="str">
        <f t="shared" si="6"/>
        <v/>
      </c>
      <c r="H224" s="4">
        <v>2.0</v>
      </c>
      <c r="K224" s="13">
        <v>2.0</v>
      </c>
      <c r="L224" s="13">
        <v>40000.0</v>
      </c>
    </row>
    <row r="225">
      <c r="B225" s="10">
        <v>46105.0</v>
      </c>
      <c r="C225" s="13"/>
      <c r="D225" s="17" t="s">
        <v>93</v>
      </c>
      <c r="E225" s="4" t="s">
        <v>63</v>
      </c>
      <c r="F225" s="13" t="s">
        <v>11</v>
      </c>
      <c r="H225" s="4">
        <v>1.0</v>
      </c>
      <c r="K225" s="13">
        <v>1.0</v>
      </c>
      <c r="L225" s="13">
        <v>20000.0</v>
      </c>
    </row>
    <row r="226">
      <c r="B226" s="10">
        <v>46105.0</v>
      </c>
      <c r="C226" s="13"/>
      <c r="D226" s="17" t="s">
        <v>93</v>
      </c>
      <c r="E226" s="4" t="s">
        <v>63</v>
      </c>
      <c r="F226" s="13" t="s">
        <v>12</v>
      </c>
      <c r="G226" s="13" t="str">
        <f t="shared" ref="G226:G229" si="7">I190</f>
        <v/>
      </c>
      <c r="H226" s="4">
        <v>1.0</v>
      </c>
      <c r="K226" s="13">
        <v>1.0</v>
      </c>
      <c r="L226" s="13">
        <v>20000.0</v>
      </c>
    </row>
    <row r="227">
      <c r="B227" s="10">
        <v>46105.0</v>
      </c>
      <c r="C227" s="13"/>
      <c r="D227" s="17" t="s">
        <v>93</v>
      </c>
      <c r="E227" s="4" t="s">
        <v>63</v>
      </c>
      <c r="F227" s="13" t="s">
        <v>13</v>
      </c>
      <c r="G227" s="13">
        <f t="shared" si="7"/>
        <v>2</v>
      </c>
      <c r="K227" s="13">
        <v>2.0</v>
      </c>
      <c r="L227" s="13">
        <v>40000.0</v>
      </c>
    </row>
    <row r="228">
      <c r="B228" s="10">
        <v>46105.0</v>
      </c>
      <c r="C228" s="13"/>
      <c r="D228" s="17" t="s">
        <v>93</v>
      </c>
      <c r="E228" s="4" t="s">
        <v>63</v>
      </c>
      <c r="F228" s="13" t="s">
        <v>14</v>
      </c>
      <c r="G228" s="13">
        <f t="shared" si="7"/>
        <v>1</v>
      </c>
      <c r="K228" s="13">
        <v>1.0</v>
      </c>
      <c r="L228" s="13">
        <v>22000.0</v>
      </c>
    </row>
    <row r="229">
      <c r="B229" s="10">
        <v>46105.0</v>
      </c>
      <c r="C229" s="4" t="s">
        <v>114</v>
      </c>
      <c r="D229" s="17" t="s">
        <v>93</v>
      </c>
      <c r="E229" s="4" t="s">
        <v>63</v>
      </c>
      <c r="F229" s="13" t="s">
        <v>15</v>
      </c>
      <c r="G229" s="13">
        <f t="shared" si="7"/>
        <v>14</v>
      </c>
      <c r="H229" s="4">
        <v>6.0</v>
      </c>
      <c r="I229" s="4">
        <v>1.0</v>
      </c>
      <c r="K229" s="13">
        <v>19.0</v>
      </c>
      <c r="L229" s="13">
        <v>380000.0</v>
      </c>
    </row>
    <row r="230">
      <c r="B230" s="10">
        <v>46105.0</v>
      </c>
      <c r="C230" s="4" t="s">
        <v>113</v>
      </c>
      <c r="D230" s="17" t="s">
        <v>89</v>
      </c>
      <c r="E230" s="4" t="s">
        <v>71</v>
      </c>
      <c r="F230" s="13" t="s">
        <v>4</v>
      </c>
      <c r="G230" s="13" t="str">
        <f t="shared" ref="G230:G308" si="8">I218</f>
        <v/>
      </c>
      <c r="H230" s="4">
        <v>6.0</v>
      </c>
      <c r="K230" s="13">
        <v>6.0</v>
      </c>
      <c r="L230" s="13">
        <v>120000.0</v>
      </c>
    </row>
    <row r="231">
      <c r="B231" s="10">
        <v>46105.0</v>
      </c>
      <c r="C231" s="4" t="s">
        <v>113</v>
      </c>
      <c r="D231" s="17" t="s">
        <v>89</v>
      </c>
      <c r="E231" s="4" t="s">
        <v>71</v>
      </c>
      <c r="F231" s="13" t="s">
        <v>5</v>
      </c>
      <c r="G231" s="13" t="str">
        <f t="shared" si="8"/>
        <v/>
      </c>
      <c r="H231" s="4">
        <v>4.0</v>
      </c>
      <c r="K231" s="13">
        <v>4.0</v>
      </c>
      <c r="L231" s="13">
        <v>80000.0</v>
      </c>
    </row>
    <row r="232">
      <c r="B232" s="10">
        <v>46105.0</v>
      </c>
      <c r="C232" s="4" t="s">
        <v>113</v>
      </c>
      <c r="D232" s="17" t="s">
        <v>89</v>
      </c>
      <c r="E232" s="4" t="s">
        <v>71</v>
      </c>
      <c r="F232" s="13" t="s">
        <v>6</v>
      </c>
      <c r="G232" s="13" t="str">
        <f t="shared" si="8"/>
        <v/>
      </c>
      <c r="H232" s="4">
        <v>4.0</v>
      </c>
      <c r="K232" s="13">
        <v>4.0</v>
      </c>
      <c r="L232" s="13">
        <v>80000.0</v>
      </c>
    </row>
    <row r="233">
      <c r="B233" s="10">
        <v>46105.0</v>
      </c>
      <c r="C233" s="4" t="s">
        <v>113</v>
      </c>
      <c r="D233" s="17" t="s">
        <v>89</v>
      </c>
      <c r="E233" s="4" t="s">
        <v>71</v>
      </c>
      <c r="F233" s="13" t="s">
        <v>7</v>
      </c>
      <c r="G233" s="13" t="str">
        <f t="shared" si="8"/>
        <v/>
      </c>
      <c r="H233" s="4">
        <v>5.0</v>
      </c>
      <c r="K233" s="13">
        <v>5.0</v>
      </c>
      <c r="L233" s="13">
        <v>100000.0</v>
      </c>
    </row>
    <row r="234">
      <c r="B234" s="10">
        <v>46105.0</v>
      </c>
      <c r="C234" s="4" t="s">
        <v>113</v>
      </c>
      <c r="D234" s="17" t="s">
        <v>89</v>
      </c>
      <c r="E234" s="4" t="s">
        <v>71</v>
      </c>
      <c r="F234" s="13" t="s">
        <v>8</v>
      </c>
      <c r="G234" s="13" t="str">
        <f t="shared" si="8"/>
        <v/>
      </c>
      <c r="H234" s="4">
        <v>6.0</v>
      </c>
      <c r="K234" s="13">
        <v>6.0</v>
      </c>
      <c r="L234" s="13">
        <v>120000.0</v>
      </c>
    </row>
    <row r="235">
      <c r="B235" s="10">
        <v>46105.0</v>
      </c>
      <c r="C235" s="4" t="s">
        <v>113</v>
      </c>
      <c r="D235" s="17" t="s">
        <v>89</v>
      </c>
      <c r="E235" s="4" t="s">
        <v>71</v>
      </c>
      <c r="F235" s="13" t="s">
        <v>9</v>
      </c>
      <c r="G235" s="13" t="str">
        <f t="shared" si="8"/>
        <v/>
      </c>
      <c r="H235" s="4">
        <v>6.0</v>
      </c>
      <c r="K235" s="13">
        <v>6.0</v>
      </c>
      <c r="L235" s="13">
        <v>120000.0</v>
      </c>
    </row>
    <row r="236">
      <c r="B236" s="10">
        <v>46105.0</v>
      </c>
      <c r="C236" s="4" t="s">
        <v>113</v>
      </c>
      <c r="D236" s="17" t="s">
        <v>89</v>
      </c>
      <c r="E236" s="4" t="s">
        <v>71</v>
      </c>
      <c r="F236" s="13" t="s">
        <v>10</v>
      </c>
      <c r="G236" s="13" t="str">
        <f t="shared" si="8"/>
        <v/>
      </c>
      <c r="H236" s="4">
        <v>5.0</v>
      </c>
      <c r="K236" s="13">
        <v>5.0</v>
      </c>
      <c r="L236" s="13">
        <v>100000.0</v>
      </c>
    </row>
    <row r="237">
      <c r="B237" s="10">
        <v>46105.0</v>
      </c>
      <c r="C237" s="4" t="s">
        <v>113</v>
      </c>
      <c r="D237" s="17" t="s">
        <v>89</v>
      </c>
      <c r="E237" s="4" t="s">
        <v>71</v>
      </c>
      <c r="F237" s="13" t="s">
        <v>11</v>
      </c>
      <c r="G237" s="13" t="str">
        <f t="shared" si="8"/>
        <v/>
      </c>
      <c r="H237" s="4">
        <v>3.0</v>
      </c>
      <c r="K237" s="13">
        <v>3.0</v>
      </c>
      <c r="L237" s="13">
        <v>60000.0</v>
      </c>
    </row>
    <row r="238">
      <c r="B238" s="10">
        <v>46105.0</v>
      </c>
      <c r="C238" s="4" t="s">
        <v>113</v>
      </c>
      <c r="D238" s="17" t="s">
        <v>89</v>
      </c>
      <c r="E238" s="4" t="s">
        <v>71</v>
      </c>
      <c r="F238" s="13" t="s">
        <v>12</v>
      </c>
      <c r="G238" s="13" t="str">
        <f t="shared" si="8"/>
        <v/>
      </c>
      <c r="H238" s="4">
        <v>2.0</v>
      </c>
      <c r="K238" s="13">
        <v>2.0</v>
      </c>
      <c r="L238" s="13">
        <v>40000.0</v>
      </c>
    </row>
    <row r="239">
      <c r="B239" s="10">
        <v>46105.0</v>
      </c>
      <c r="C239" s="4" t="s">
        <v>113</v>
      </c>
      <c r="D239" s="17" t="s">
        <v>89</v>
      </c>
      <c r="E239" s="4" t="s">
        <v>71</v>
      </c>
      <c r="F239" s="13" t="s">
        <v>13</v>
      </c>
      <c r="G239" s="13" t="str">
        <f t="shared" si="8"/>
        <v/>
      </c>
      <c r="H239" s="4">
        <v>5.0</v>
      </c>
      <c r="K239" s="13">
        <v>5.0</v>
      </c>
      <c r="L239" s="13">
        <v>100000.0</v>
      </c>
    </row>
    <row r="240">
      <c r="B240" s="10">
        <v>46105.0</v>
      </c>
      <c r="C240" s="4" t="s">
        <v>113</v>
      </c>
      <c r="D240" s="17" t="s">
        <v>89</v>
      </c>
      <c r="E240" s="4" t="s">
        <v>71</v>
      </c>
      <c r="F240" s="13" t="s">
        <v>14</v>
      </c>
      <c r="G240" s="13" t="str">
        <f t="shared" si="8"/>
        <v/>
      </c>
      <c r="H240" s="4">
        <v>3.0</v>
      </c>
      <c r="K240" s="13">
        <v>3.0</v>
      </c>
      <c r="L240" s="13">
        <v>66000.0</v>
      </c>
    </row>
    <row r="241">
      <c r="B241" s="10">
        <v>46105.0</v>
      </c>
      <c r="C241" s="4" t="s">
        <v>113</v>
      </c>
      <c r="D241" s="17" t="s">
        <v>89</v>
      </c>
      <c r="E241" s="4" t="s">
        <v>71</v>
      </c>
      <c r="F241" s="13" t="s">
        <v>15</v>
      </c>
      <c r="G241" s="13">
        <f t="shared" si="8"/>
        <v>1</v>
      </c>
      <c r="H241" s="4">
        <v>40.0</v>
      </c>
      <c r="K241" s="13">
        <v>41.0</v>
      </c>
      <c r="L241" s="13">
        <v>820000.0</v>
      </c>
    </row>
    <row r="242">
      <c r="B242" s="10">
        <v>46105.0</v>
      </c>
      <c r="C242" s="4" t="s">
        <v>114</v>
      </c>
      <c r="D242" s="17" t="s">
        <v>89</v>
      </c>
      <c r="E242" s="4" t="s">
        <v>53</v>
      </c>
      <c r="F242" s="13" t="s">
        <v>4</v>
      </c>
      <c r="G242" s="13" t="str">
        <f t="shared" si="8"/>
        <v/>
      </c>
      <c r="H242" s="4">
        <v>5.0</v>
      </c>
      <c r="K242" s="13">
        <v>5.0</v>
      </c>
      <c r="L242" s="13">
        <v>100000.0</v>
      </c>
    </row>
    <row r="243">
      <c r="B243" s="10">
        <v>46105.0</v>
      </c>
      <c r="C243" s="13"/>
      <c r="D243" s="17" t="s">
        <v>89</v>
      </c>
      <c r="E243" s="4" t="s">
        <v>53</v>
      </c>
      <c r="F243" s="13" t="s">
        <v>5</v>
      </c>
      <c r="G243" s="13" t="str">
        <f t="shared" si="8"/>
        <v/>
      </c>
      <c r="H243" s="4">
        <v>2.0</v>
      </c>
      <c r="K243" s="13">
        <v>2.0</v>
      </c>
      <c r="L243" s="13">
        <v>40000.0</v>
      </c>
    </row>
    <row r="244">
      <c r="B244" s="10">
        <v>46105.0</v>
      </c>
      <c r="C244" s="13"/>
      <c r="D244" s="17" t="s">
        <v>89</v>
      </c>
      <c r="E244" s="4" t="s">
        <v>53</v>
      </c>
      <c r="F244" s="13" t="s">
        <v>6</v>
      </c>
      <c r="G244" s="13" t="str">
        <f t="shared" si="8"/>
        <v/>
      </c>
      <c r="H244" s="4">
        <v>2.0</v>
      </c>
      <c r="K244" s="13">
        <v>2.0</v>
      </c>
      <c r="L244" s="13">
        <v>40000.0</v>
      </c>
    </row>
    <row r="245">
      <c r="B245" s="10">
        <v>46105.0</v>
      </c>
      <c r="C245" s="13"/>
      <c r="D245" s="17" t="s">
        <v>89</v>
      </c>
      <c r="E245" s="4" t="s">
        <v>53</v>
      </c>
      <c r="F245" s="13" t="s">
        <v>7</v>
      </c>
      <c r="G245" s="13" t="str">
        <f t="shared" si="8"/>
        <v/>
      </c>
      <c r="H245" s="4">
        <v>2.0</v>
      </c>
      <c r="K245" s="13">
        <v>2.0</v>
      </c>
      <c r="L245" s="13">
        <v>40000.0</v>
      </c>
    </row>
    <row r="246">
      <c r="B246" s="10">
        <v>46105.0</v>
      </c>
      <c r="C246" s="13"/>
      <c r="D246" s="17" t="s">
        <v>89</v>
      </c>
      <c r="E246" s="4" t="s">
        <v>53</v>
      </c>
      <c r="F246" s="13" t="s">
        <v>8</v>
      </c>
      <c r="G246" s="13" t="str">
        <f t="shared" si="8"/>
        <v/>
      </c>
      <c r="H246" s="4">
        <v>3.0</v>
      </c>
      <c r="K246" s="13">
        <v>3.0</v>
      </c>
      <c r="L246" s="13">
        <v>60000.0</v>
      </c>
    </row>
    <row r="247">
      <c r="B247" s="10">
        <v>46105.0</v>
      </c>
      <c r="C247" s="13"/>
      <c r="D247" s="17" t="s">
        <v>89</v>
      </c>
      <c r="E247" s="4" t="s">
        <v>53</v>
      </c>
      <c r="F247" s="13" t="s">
        <v>9</v>
      </c>
      <c r="G247" s="13" t="str">
        <f t="shared" si="8"/>
        <v/>
      </c>
      <c r="H247" s="4">
        <v>5.0</v>
      </c>
      <c r="K247" s="13">
        <v>5.0</v>
      </c>
      <c r="L247" s="13">
        <v>100000.0</v>
      </c>
    </row>
    <row r="248">
      <c r="B248" s="10">
        <v>46105.0</v>
      </c>
      <c r="C248" s="13"/>
      <c r="D248" s="17" t="s">
        <v>89</v>
      </c>
      <c r="E248" s="4" t="s">
        <v>53</v>
      </c>
      <c r="F248" s="13" t="s">
        <v>10</v>
      </c>
      <c r="G248" s="13" t="str">
        <f t="shared" si="8"/>
        <v/>
      </c>
      <c r="H248" s="4">
        <v>3.0</v>
      </c>
      <c r="K248" s="13">
        <v>3.0</v>
      </c>
      <c r="L248" s="13">
        <v>60000.0</v>
      </c>
    </row>
    <row r="249">
      <c r="B249" s="10">
        <v>46105.0</v>
      </c>
      <c r="C249" s="13"/>
      <c r="D249" s="17" t="s">
        <v>89</v>
      </c>
      <c r="E249" s="4" t="s">
        <v>53</v>
      </c>
      <c r="F249" s="13" t="s">
        <v>11</v>
      </c>
      <c r="G249" s="13" t="str">
        <f t="shared" si="8"/>
        <v/>
      </c>
      <c r="H249" s="4">
        <v>2.0</v>
      </c>
      <c r="K249" s="13">
        <v>2.0</v>
      </c>
      <c r="L249" s="13">
        <v>40000.0</v>
      </c>
    </row>
    <row r="250">
      <c r="B250" s="10">
        <v>46105.0</v>
      </c>
      <c r="C250" s="13"/>
      <c r="D250" s="17" t="s">
        <v>89</v>
      </c>
      <c r="E250" s="4" t="s">
        <v>53</v>
      </c>
      <c r="F250" s="13" t="s">
        <v>12</v>
      </c>
      <c r="G250" s="13" t="str">
        <f t="shared" si="8"/>
        <v/>
      </c>
      <c r="H250" s="4">
        <v>2.0</v>
      </c>
      <c r="K250" s="13">
        <v>2.0</v>
      </c>
      <c r="L250" s="13">
        <v>40000.0</v>
      </c>
    </row>
    <row r="251">
      <c r="B251" s="10">
        <v>46105.0</v>
      </c>
      <c r="C251" s="13"/>
      <c r="D251" s="17" t="s">
        <v>89</v>
      </c>
      <c r="E251" s="4" t="s">
        <v>53</v>
      </c>
      <c r="F251" s="13" t="s">
        <v>13</v>
      </c>
      <c r="G251" s="13" t="str">
        <f t="shared" si="8"/>
        <v/>
      </c>
      <c r="H251" s="4">
        <v>2.0</v>
      </c>
      <c r="K251" s="13">
        <v>2.0</v>
      </c>
      <c r="L251" s="13">
        <v>40000.0</v>
      </c>
    </row>
    <row r="252">
      <c r="B252" s="10">
        <v>46105.0</v>
      </c>
      <c r="C252" s="13"/>
      <c r="D252" s="17" t="s">
        <v>89</v>
      </c>
      <c r="E252" s="4" t="s">
        <v>53</v>
      </c>
      <c r="F252" s="13" t="s">
        <v>14</v>
      </c>
      <c r="G252" s="13" t="str">
        <f t="shared" si="8"/>
        <v/>
      </c>
      <c r="H252" s="4">
        <v>2.0</v>
      </c>
      <c r="K252" s="13">
        <v>2.0</v>
      </c>
      <c r="L252" s="13">
        <v>44000.0</v>
      </c>
    </row>
    <row r="253">
      <c r="B253" s="10">
        <v>46105.0</v>
      </c>
      <c r="C253" s="4" t="s">
        <v>114</v>
      </c>
      <c r="D253" s="17" t="s">
        <v>89</v>
      </c>
      <c r="E253" s="4" t="s">
        <v>53</v>
      </c>
      <c r="F253" s="13" t="s">
        <v>15</v>
      </c>
      <c r="G253" s="13" t="str">
        <f t="shared" si="8"/>
        <v/>
      </c>
      <c r="H253" s="4">
        <v>25.0</v>
      </c>
      <c r="K253" s="13">
        <v>25.0</v>
      </c>
      <c r="L253" s="13">
        <v>500000.0</v>
      </c>
    </row>
    <row r="254">
      <c r="A254" s="13"/>
      <c r="B254" s="10">
        <v>46105.0</v>
      </c>
      <c r="C254" s="4" t="s">
        <v>113</v>
      </c>
      <c r="D254" s="17" t="s">
        <v>81</v>
      </c>
      <c r="E254" s="4" t="s">
        <v>299</v>
      </c>
      <c r="F254" s="13" t="s">
        <v>4</v>
      </c>
      <c r="G254" s="13" t="str">
        <f t="shared" si="8"/>
        <v/>
      </c>
      <c r="H254" s="13"/>
      <c r="I254" s="13"/>
      <c r="J254" s="13"/>
      <c r="K254" s="13">
        <v>0.0</v>
      </c>
      <c r="L254" s="13">
        <v>0.0</v>
      </c>
      <c r="M254" s="13"/>
      <c r="N254" s="13"/>
      <c r="O254" s="13"/>
      <c r="P254" s="13"/>
      <c r="Q254" s="13"/>
      <c r="R254" s="13"/>
      <c r="S254" s="13"/>
      <c r="T254" s="13"/>
      <c r="U254" s="13"/>
      <c r="V254" s="13"/>
      <c r="W254" s="13"/>
      <c r="X254" s="13"/>
      <c r="Y254" s="13"/>
      <c r="Z254" s="13"/>
      <c r="AA254" s="13"/>
      <c r="AB254" s="13"/>
      <c r="AC254" s="13"/>
    </row>
    <row r="255">
      <c r="B255" s="10">
        <v>46105.0</v>
      </c>
      <c r="C255" s="13"/>
      <c r="D255" s="17" t="s">
        <v>81</v>
      </c>
      <c r="E255" s="13"/>
      <c r="F255" s="13" t="s">
        <v>5</v>
      </c>
      <c r="G255" s="13" t="str">
        <f t="shared" si="8"/>
        <v/>
      </c>
      <c r="K255" s="13">
        <v>0.0</v>
      </c>
      <c r="L255" s="13">
        <v>0.0</v>
      </c>
    </row>
    <row r="256">
      <c r="B256" s="10">
        <v>46105.0</v>
      </c>
      <c r="C256" s="13"/>
      <c r="D256" s="17" t="s">
        <v>81</v>
      </c>
      <c r="E256" s="13"/>
      <c r="F256" s="13" t="s">
        <v>6</v>
      </c>
      <c r="G256" s="13" t="str">
        <f t="shared" si="8"/>
        <v/>
      </c>
      <c r="K256" s="13">
        <v>0.0</v>
      </c>
      <c r="L256" s="13">
        <v>0.0</v>
      </c>
    </row>
    <row r="257">
      <c r="B257" s="10">
        <v>46105.0</v>
      </c>
      <c r="C257" s="13"/>
      <c r="D257" s="17" t="s">
        <v>81</v>
      </c>
      <c r="E257" s="13"/>
      <c r="F257" s="13" t="s">
        <v>7</v>
      </c>
      <c r="G257" s="13" t="str">
        <f t="shared" si="8"/>
        <v/>
      </c>
      <c r="K257" s="13">
        <v>0.0</v>
      </c>
      <c r="L257" s="13">
        <v>0.0</v>
      </c>
    </row>
    <row r="258">
      <c r="B258" s="10">
        <v>46105.0</v>
      </c>
      <c r="C258" s="13"/>
      <c r="D258" s="17" t="s">
        <v>81</v>
      </c>
      <c r="E258" s="13"/>
      <c r="F258" s="13" t="s">
        <v>8</v>
      </c>
      <c r="G258" s="13" t="str">
        <f t="shared" si="8"/>
        <v/>
      </c>
      <c r="K258" s="13">
        <v>0.0</v>
      </c>
      <c r="L258" s="13">
        <v>0.0</v>
      </c>
    </row>
    <row r="259">
      <c r="B259" s="10">
        <v>46105.0</v>
      </c>
      <c r="C259" s="13"/>
      <c r="D259" s="17" t="s">
        <v>81</v>
      </c>
      <c r="E259" s="13"/>
      <c r="F259" s="13" t="s">
        <v>9</v>
      </c>
      <c r="G259" s="13" t="str">
        <f t="shared" si="8"/>
        <v/>
      </c>
      <c r="K259" s="13">
        <v>0.0</v>
      </c>
      <c r="L259" s="13">
        <v>0.0</v>
      </c>
    </row>
    <row r="260">
      <c r="B260" s="10">
        <v>46105.0</v>
      </c>
      <c r="C260" s="13"/>
      <c r="D260" s="17" t="s">
        <v>81</v>
      </c>
      <c r="E260" s="13"/>
      <c r="F260" s="13" t="s">
        <v>10</v>
      </c>
      <c r="G260" s="13" t="str">
        <f t="shared" si="8"/>
        <v/>
      </c>
      <c r="K260" s="13">
        <v>0.0</v>
      </c>
      <c r="L260" s="13">
        <v>0.0</v>
      </c>
    </row>
    <row r="261">
      <c r="B261" s="10">
        <v>46105.0</v>
      </c>
      <c r="C261" s="13"/>
      <c r="D261" s="17" t="s">
        <v>81</v>
      </c>
      <c r="E261" s="13"/>
      <c r="F261" s="13" t="s">
        <v>11</v>
      </c>
      <c r="G261" s="13" t="str">
        <f t="shared" si="8"/>
        <v/>
      </c>
      <c r="K261" s="13">
        <v>0.0</v>
      </c>
      <c r="L261" s="13">
        <v>0.0</v>
      </c>
    </row>
    <row r="262">
      <c r="B262" s="10">
        <v>46105.0</v>
      </c>
      <c r="C262" s="13"/>
      <c r="D262" s="17" t="s">
        <v>81</v>
      </c>
      <c r="E262" s="13"/>
      <c r="F262" s="13" t="s">
        <v>12</v>
      </c>
      <c r="G262" s="13" t="str">
        <f t="shared" si="8"/>
        <v/>
      </c>
      <c r="K262" s="13">
        <v>0.0</v>
      </c>
      <c r="L262" s="13">
        <v>0.0</v>
      </c>
    </row>
    <row r="263">
      <c r="B263" s="10">
        <v>46105.0</v>
      </c>
      <c r="C263" s="13"/>
      <c r="D263" s="17" t="s">
        <v>81</v>
      </c>
      <c r="E263" s="13"/>
      <c r="F263" s="13" t="s">
        <v>13</v>
      </c>
      <c r="G263" s="13" t="str">
        <f t="shared" si="8"/>
        <v/>
      </c>
      <c r="K263" s="13">
        <v>0.0</v>
      </c>
      <c r="L263" s="13">
        <v>0.0</v>
      </c>
    </row>
    <row r="264">
      <c r="B264" s="10">
        <v>46105.0</v>
      </c>
      <c r="C264" s="13"/>
      <c r="D264" s="17" t="s">
        <v>81</v>
      </c>
      <c r="E264" s="13"/>
      <c r="F264" s="13" t="s">
        <v>14</v>
      </c>
      <c r="G264" s="13" t="str">
        <f t="shared" si="8"/>
        <v/>
      </c>
      <c r="K264" s="13">
        <v>0.0</v>
      </c>
      <c r="L264" s="13">
        <v>0.0</v>
      </c>
    </row>
    <row r="265">
      <c r="A265" s="13"/>
      <c r="B265" s="10">
        <v>46105.0</v>
      </c>
      <c r="C265" s="4" t="s">
        <v>113</v>
      </c>
      <c r="D265" s="17" t="s">
        <v>81</v>
      </c>
      <c r="E265" s="4" t="s">
        <v>299</v>
      </c>
      <c r="F265" s="13" t="s">
        <v>15</v>
      </c>
      <c r="G265" s="13" t="str">
        <f t="shared" si="8"/>
        <v/>
      </c>
      <c r="H265" s="13"/>
      <c r="I265" s="13"/>
      <c r="J265" s="13"/>
      <c r="K265" s="13">
        <v>0.0</v>
      </c>
      <c r="L265" s="13">
        <v>0.0</v>
      </c>
      <c r="M265" s="13"/>
      <c r="N265" s="13"/>
      <c r="O265" s="13"/>
      <c r="P265" s="13"/>
      <c r="Q265" s="13"/>
      <c r="R265" s="13"/>
      <c r="S265" s="13"/>
      <c r="T265" s="13"/>
      <c r="U265" s="13"/>
      <c r="V265" s="13"/>
      <c r="W265" s="13"/>
      <c r="X265" s="13"/>
      <c r="Y265" s="13"/>
      <c r="Z265" s="13"/>
      <c r="AA265" s="13"/>
      <c r="AB265" s="13"/>
      <c r="AC265" s="13"/>
    </row>
    <row r="266">
      <c r="B266" s="10">
        <v>46105.0</v>
      </c>
      <c r="C266" s="4" t="s">
        <v>114</v>
      </c>
      <c r="D266" s="17" t="s">
        <v>81</v>
      </c>
      <c r="E266" s="4" t="s">
        <v>73</v>
      </c>
      <c r="F266" s="13" t="s">
        <v>4</v>
      </c>
      <c r="G266" s="13" t="str">
        <f t="shared" si="8"/>
        <v/>
      </c>
      <c r="H266" s="4">
        <v>3.0</v>
      </c>
      <c r="K266" s="13">
        <v>3.0</v>
      </c>
      <c r="L266" s="13">
        <v>60000.0</v>
      </c>
    </row>
    <row r="267">
      <c r="B267" s="10">
        <v>46105.0</v>
      </c>
      <c r="C267" s="13"/>
      <c r="D267" s="17" t="s">
        <v>81</v>
      </c>
      <c r="E267" s="13"/>
      <c r="F267" s="13" t="s">
        <v>5</v>
      </c>
      <c r="G267" s="13" t="str">
        <f t="shared" si="8"/>
        <v/>
      </c>
      <c r="H267" s="4">
        <v>2.0</v>
      </c>
      <c r="I267" s="4">
        <v>1.0</v>
      </c>
      <c r="K267" s="13">
        <v>1.0</v>
      </c>
      <c r="L267" s="13">
        <v>20000.0</v>
      </c>
    </row>
    <row r="268">
      <c r="B268" s="10">
        <v>46105.0</v>
      </c>
      <c r="C268" s="13"/>
      <c r="D268" s="17" t="s">
        <v>81</v>
      </c>
      <c r="E268" s="13"/>
      <c r="F268" s="13" t="s">
        <v>6</v>
      </c>
      <c r="G268" s="13" t="str">
        <f t="shared" si="8"/>
        <v/>
      </c>
      <c r="H268" s="4">
        <v>2.0</v>
      </c>
      <c r="K268" s="13">
        <v>2.0</v>
      </c>
      <c r="L268" s="13">
        <v>40000.0</v>
      </c>
    </row>
    <row r="269">
      <c r="B269" s="10">
        <v>46105.0</v>
      </c>
      <c r="C269" s="13"/>
      <c r="D269" s="17" t="s">
        <v>81</v>
      </c>
      <c r="E269" s="13"/>
      <c r="F269" s="13" t="s">
        <v>7</v>
      </c>
      <c r="G269" s="13" t="str">
        <f t="shared" si="8"/>
        <v/>
      </c>
      <c r="H269" s="4">
        <v>2.0</v>
      </c>
      <c r="I269" s="4">
        <v>1.0</v>
      </c>
      <c r="K269" s="13">
        <v>1.0</v>
      </c>
      <c r="L269" s="13">
        <v>20000.0</v>
      </c>
    </row>
    <row r="270">
      <c r="B270" s="10">
        <v>46105.0</v>
      </c>
      <c r="C270" s="13"/>
      <c r="D270" s="17" t="s">
        <v>81</v>
      </c>
      <c r="E270" s="13"/>
      <c r="F270" s="13" t="s">
        <v>8</v>
      </c>
      <c r="G270" s="13" t="str">
        <f t="shared" si="8"/>
        <v/>
      </c>
      <c r="H270" s="4">
        <v>3.0</v>
      </c>
      <c r="K270" s="13">
        <v>3.0</v>
      </c>
      <c r="L270" s="13">
        <v>60000.0</v>
      </c>
    </row>
    <row r="271">
      <c r="B271" s="10">
        <v>46105.0</v>
      </c>
      <c r="C271" s="13"/>
      <c r="D271" s="17" t="s">
        <v>81</v>
      </c>
      <c r="E271" s="13"/>
      <c r="F271" s="13" t="s">
        <v>9</v>
      </c>
      <c r="G271" s="13" t="str">
        <f t="shared" si="8"/>
        <v/>
      </c>
      <c r="H271" s="4">
        <v>5.0</v>
      </c>
      <c r="I271" s="4">
        <v>1.0</v>
      </c>
      <c r="K271" s="13">
        <v>4.0</v>
      </c>
      <c r="L271" s="13">
        <v>80000.0</v>
      </c>
    </row>
    <row r="272">
      <c r="B272" s="10">
        <v>46105.0</v>
      </c>
      <c r="C272" s="13"/>
      <c r="D272" s="17" t="s">
        <v>81</v>
      </c>
      <c r="E272" s="13"/>
      <c r="F272" s="13" t="s">
        <v>10</v>
      </c>
      <c r="G272" s="13" t="str">
        <f t="shared" si="8"/>
        <v/>
      </c>
      <c r="H272" s="4">
        <v>2.0</v>
      </c>
      <c r="K272" s="13">
        <v>2.0</v>
      </c>
      <c r="L272" s="13">
        <v>40000.0</v>
      </c>
    </row>
    <row r="273">
      <c r="B273" s="10">
        <v>46105.0</v>
      </c>
      <c r="C273" s="13"/>
      <c r="D273" s="17" t="s">
        <v>81</v>
      </c>
      <c r="E273" s="13"/>
      <c r="F273" s="13" t="s">
        <v>11</v>
      </c>
      <c r="G273" s="13" t="str">
        <f t="shared" si="8"/>
        <v/>
      </c>
      <c r="H273" s="4">
        <v>1.0</v>
      </c>
      <c r="K273" s="13">
        <v>1.0</v>
      </c>
      <c r="L273" s="13">
        <v>20000.0</v>
      </c>
    </row>
    <row r="274">
      <c r="B274" s="10">
        <v>46105.0</v>
      </c>
      <c r="C274" s="13"/>
      <c r="D274" s="17" t="s">
        <v>81</v>
      </c>
      <c r="E274" s="13"/>
      <c r="F274" s="13" t="s">
        <v>12</v>
      </c>
      <c r="G274" s="13" t="str">
        <f t="shared" si="8"/>
        <v/>
      </c>
      <c r="H274" s="4">
        <v>2.0</v>
      </c>
      <c r="K274" s="13">
        <v>2.0</v>
      </c>
      <c r="L274" s="13">
        <v>40000.0</v>
      </c>
    </row>
    <row r="275">
      <c r="B275" s="10">
        <v>46105.0</v>
      </c>
      <c r="C275" s="13"/>
      <c r="D275" s="17" t="s">
        <v>81</v>
      </c>
      <c r="E275" s="13"/>
      <c r="F275" s="13" t="s">
        <v>13</v>
      </c>
      <c r="G275" s="13" t="str">
        <f t="shared" si="8"/>
        <v/>
      </c>
      <c r="H275" s="4">
        <v>3.0</v>
      </c>
      <c r="K275" s="13">
        <v>3.0</v>
      </c>
      <c r="L275" s="13">
        <v>60000.0</v>
      </c>
    </row>
    <row r="276">
      <c r="B276" s="10">
        <v>46105.0</v>
      </c>
      <c r="C276" s="13"/>
      <c r="D276" s="17" t="s">
        <v>81</v>
      </c>
      <c r="E276" s="13"/>
      <c r="F276" s="13" t="s">
        <v>14</v>
      </c>
      <c r="G276" s="13" t="str">
        <f t="shared" si="8"/>
        <v/>
      </c>
      <c r="H276" s="4">
        <v>1.0</v>
      </c>
      <c r="K276" s="13">
        <v>1.0</v>
      </c>
      <c r="L276" s="13">
        <v>22000.0</v>
      </c>
    </row>
    <row r="277">
      <c r="B277" s="10">
        <v>46105.0</v>
      </c>
      <c r="C277" s="4" t="s">
        <v>114</v>
      </c>
      <c r="D277" s="17" t="s">
        <v>81</v>
      </c>
      <c r="E277" s="4" t="s">
        <v>73</v>
      </c>
      <c r="F277" s="13" t="s">
        <v>15</v>
      </c>
      <c r="G277" s="13" t="str">
        <f t="shared" si="8"/>
        <v/>
      </c>
      <c r="H277" s="4">
        <v>20.0</v>
      </c>
      <c r="I277" s="4">
        <v>2.0</v>
      </c>
      <c r="K277" s="13">
        <v>18.0</v>
      </c>
      <c r="L277" s="13">
        <v>360000.0</v>
      </c>
    </row>
    <row r="278">
      <c r="B278" s="10">
        <v>46105.0</v>
      </c>
      <c r="C278" s="4" t="s">
        <v>113</v>
      </c>
      <c r="D278" s="17" t="s">
        <v>300</v>
      </c>
      <c r="E278" s="13"/>
      <c r="F278" s="13" t="s">
        <v>4</v>
      </c>
      <c r="G278" s="13" t="str">
        <f t="shared" si="8"/>
        <v/>
      </c>
      <c r="K278" s="13">
        <v>0.0</v>
      </c>
      <c r="L278" s="13">
        <v>0.0</v>
      </c>
    </row>
    <row r="279">
      <c r="B279" s="10">
        <v>46105.0</v>
      </c>
      <c r="C279" s="13"/>
      <c r="D279" s="17" t="s">
        <v>300</v>
      </c>
      <c r="E279" s="13"/>
      <c r="F279" s="13" t="s">
        <v>5</v>
      </c>
      <c r="G279" s="13">
        <f t="shared" si="8"/>
        <v>1</v>
      </c>
      <c r="K279" s="13">
        <v>1.0</v>
      </c>
      <c r="L279" s="13">
        <v>20000.0</v>
      </c>
    </row>
    <row r="280">
      <c r="B280" s="10">
        <v>46105.0</v>
      </c>
      <c r="C280" s="13"/>
      <c r="D280" s="17" t="s">
        <v>300</v>
      </c>
      <c r="E280" s="13"/>
      <c r="F280" s="13" t="s">
        <v>6</v>
      </c>
      <c r="G280" s="13" t="str">
        <f t="shared" si="8"/>
        <v/>
      </c>
      <c r="K280" s="13">
        <v>0.0</v>
      </c>
      <c r="L280" s="13">
        <v>0.0</v>
      </c>
    </row>
    <row r="281">
      <c r="B281" s="10">
        <v>46105.0</v>
      </c>
      <c r="C281" s="13"/>
      <c r="D281" s="17" t="s">
        <v>300</v>
      </c>
      <c r="E281" s="13"/>
      <c r="F281" s="13" t="s">
        <v>7</v>
      </c>
      <c r="G281" s="13">
        <f t="shared" si="8"/>
        <v>1</v>
      </c>
      <c r="K281" s="13">
        <v>1.0</v>
      </c>
      <c r="L281" s="13">
        <v>20000.0</v>
      </c>
    </row>
    <row r="282">
      <c r="B282" s="10">
        <v>46105.0</v>
      </c>
      <c r="C282" s="13"/>
      <c r="D282" s="17" t="s">
        <v>300</v>
      </c>
      <c r="E282" s="13"/>
      <c r="F282" s="13" t="s">
        <v>8</v>
      </c>
      <c r="G282" s="13" t="str">
        <f t="shared" si="8"/>
        <v/>
      </c>
      <c r="K282" s="13">
        <v>0.0</v>
      </c>
      <c r="L282" s="13">
        <v>0.0</v>
      </c>
    </row>
    <row r="283">
      <c r="B283" s="10">
        <v>46105.0</v>
      </c>
      <c r="C283" s="13"/>
      <c r="D283" s="17" t="s">
        <v>300</v>
      </c>
      <c r="E283" s="13"/>
      <c r="F283" s="13" t="s">
        <v>9</v>
      </c>
      <c r="G283" s="13">
        <f t="shared" si="8"/>
        <v>1</v>
      </c>
      <c r="K283" s="13">
        <v>1.0</v>
      </c>
      <c r="L283" s="13">
        <v>20000.0</v>
      </c>
    </row>
    <row r="284">
      <c r="B284" s="10">
        <v>46105.0</v>
      </c>
      <c r="C284" s="13"/>
      <c r="D284" s="17" t="s">
        <v>300</v>
      </c>
      <c r="E284" s="13"/>
      <c r="F284" s="13" t="s">
        <v>10</v>
      </c>
      <c r="G284" s="13" t="str">
        <f t="shared" si="8"/>
        <v/>
      </c>
      <c r="K284" s="13">
        <v>0.0</v>
      </c>
      <c r="L284" s="13">
        <v>0.0</v>
      </c>
    </row>
    <row r="285">
      <c r="B285" s="10">
        <v>46105.0</v>
      </c>
      <c r="C285" s="13"/>
      <c r="D285" s="17" t="s">
        <v>300</v>
      </c>
      <c r="E285" s="13"/>
      <c r="F285" s="13" t="s">
        <v>11</v>
      </c>
      <c r="G285" s="13" t="str">
        <f t="shared" si="8"/>
        <v/>
      </c>
      <c r="K285" s="13">
        <v>0.0</v>
      </c>
      <c r="L285" s="13">
        <v>0.0</v>
      </c>
    </row>
    <row r="286">
      <c r="B286" s="10">
        <v>46105.0</v>
      </c>
      <c r="C286" s="13"/>
      <c r="D286" s="17" t="s">
        <v>300</v>
      </c>
      <c r="E286" s="13"/>
      <c r="F286" s="13" t="s">
        <v>12</v>
      </c>
      <c r="G286" s="13" t="str">
        <f t="shared" si="8"/>
        <v/>
      </c>
      <c r="K286" s="13">
        <v>0.0</v>
      </c>
      <c r="L286" s="13">
        <v>0.0</v>
      </c>
    </row>
    <row r="287">
      <c r="B287" s="10">
        <v>46105.0</v>
      </c>
      <c r="C287" s="13"/>
      <c r="D287" s="17" t="s">
        <v>300</v>
      </c>
      <c r="E287" s="13"/>
      <c r="F287" s="13" t="s">
        <v>13</v>
      </c>
      <c r="G287" s="13" t="str">
        <f t="shared" si="8"/>
        <v/>
      </c>
      <c r="K287" s="13">
        <v>0.0</v>
      </c>
      <c r="L287" s="13">
        <v>0.0</v>
      </c>
    </row>
    <row r="288">
      <c r="B288" s="10">
        <v>46105.0</v>
      </c>
      <c r="C288" s="13"/>
      <c r="D288" s="17" t="s">
        <v>300</v>
      </c>
      <c r="E288" s="13"/>
      <c r="F288" s="13" t="s">
        <v>14</v>
      </c>
      <c r="G288" s="13" t="str">
        <f t="shared" si="8"/>
        <v/>
      </c>
      <c r="K288" s="13">
        <v>0.0</v>
      </c>
      <c r="L288" s="13">
        <v>0.0</v>
      </c>
    </row>
    <row r="289">
      <c r="B289" s="10">
        <v>46105.0</v>
      </c>
      <c r="C289" s="4" t="s">
        <v>113</v>
      </c>
      <c r="D289" s="17" t="s">
        <v>300</v>
      </c>
      <c r="E289" s="13"/>
      <c r="F289" s="13" t="s">
        <v>15</v>
      </c>
      <c r="G289" s="13">
        <f t="shared" si="8"/>
        <v>2</v>
      </c>
      <c r="K289" s="13">
        <v>2.0</v>
      </c>
      <c r="L289" s="13">
        <v>40000.0</v>
      </c>
    </row>
    <row r="290">
      <c r="B290" s="10">
        <v>46105.0</v>
      </c>
      <c r="C290" s="4" t="s">
        <v>114</v>
      </c>
      <c r="D290" s="17" t="s">
        <v>300</v>
      </c>
      <c r="E290" s="4" t="s">
        <v>62</v>
      </c>
      <c r="F290" s="13" t="s">
        <v>4</v>
      </c>
      <c r="G290" s="13" t="str">
        <f t="shared" si="8"/>
        <v/>
      </c>
      <c r="H290" s="4">
        <v>2.0</v>
      </c>
      <c r="K290" s="13">
        <v>2.0</v>
      </c>
      <c r="L290" s="13">
        <v>40000.0</v>
      </c>
    </row>
    <row r="291">
      <c r="B291" s="10">
        <v>46105.0</v>
      </c>
      <c r="C291" s="13"/>
      <c r="D291" s="17" t="s">
        <v>300</v>
      </c>
      <c r="E291" s="13"/>
      <c r="F291" s="13" t="s">
        <v>5</v>
      </c>
      <c r="G291" s="13" t="str">
        <f t="shared" si="8"/>
        <v/>
      </c>
      <c r="H291" s="4">
        <v>2.0</v>
      </c>
      <c r="K291" s="13">
        <v>2.0</v>
      </c>
      <c r="L291" s="13">
        <v>40000.0</v>
      </c>
    </row>
    <row r="292">
      <c r="B292" s="10">
        <v>46105.0</v>
      </c>
      <c r="C292" s="13"/>
      <c r="D292" s="17" t="s">
        <v>300</v>
      </c>
      <c r="E292" s="13"/>
      <c r="F292" s="13" t="s">
        <v>6</v>
      </c>
      <c r="G292" s="13" t="str">
        <f t="shared" si="8"/>
        <v/>
      </c>
      <c r="H292" s="4">
        <v>1.0</v>
      </c>
      <c r="K292" s="13">
        <v>1.0</v>
      </c>
      <c r="L292" s="13">
        <v>20000.0</v>
      </c>
    </row>
    <row r="293">
      <c r="B293" s="10">
        <v>46105.0</v>
      </c>
      <c r="C293" s="13"/>
      <c r="D293" s="17" t="s">
        <v>300</v>
      </c>
      <c r="E293" s="13"/>
      <c r="F293" s="13" t="s">
        <v>7</v>
      </c>
      <c r="G293" s="13" t="str">
        <f t="shared" si="8"/>
        <v/>
      </c>
      <c r="H293" s="4">
        <v>2.0</v>
      </c>
      <c r="K293" s="13">
        <v>2.0</v>
      </c>
      <c r="L293" s="13">
        <v>40000.0</v>
      </c>
    </row>
    <row r="294">
      <c r="B294" s="10">
        <v>46105.0</v>
      </c>
      <c r="C294" s="13"/>
      <c r="D294" s="17" t="s">
        <v>300</v>
      </c>
      <c r="E294" s="13"/>
      <c r="F294" s="13" t="s">
        <v>8</v>
      </c>
      <c r="G294" s="13" t="str">
        <f t="shared" si="8"/>
        <v/>
      </c>
      <c r="H294" s="4">
        <v>2.0</v>
      </c>
      <c r="K294" s="13">
        <v>2.0</v>
      </c>
      <c r="L294" s="13">
        <v>40000.0</v>
      </c>
    </row>
    <row r="295">
      <c r="B295" s="10">
        <v>46105.0</v>
      </c>
      <c r="C295" s="13"/>
      <c r="D295" s="17" t="s">
        <v>300</v>
      </c>
      <c r="E295" s="13"/>
      <c r="F295" s="13" t="s">
        <v>9</v>
      </c>
      <c r="G295" s="13" t="str">
        <f t="shared" si="8"/>
        <v/>
      </c>
      <c r="H295" s="4">
        <v>3.0</v>
      </c>
      <c r="K295" s="13">
        <v>3.0</v>
      </c>
      <c r="L295" s="13">
        <v>60000.0</v>
      </c>
    </row>
    <row r="296">
      <c r="B296" s="10">
        <v>46105.0</v>
      </c>
      <c r="C296" s="13"/>
      <c r="D296" s="17" t="s">
        <v>300</v>
      </c>
      <c r="E296" s="13"/>
      <c r="F296" s="13" t="s">
        <v>10</v>
      </c>
      <c r="G296" s="13" t="str">
        <f t="shared" si="8"/>
        <v/>
      </c>
      <c r="H296" s="4">
        <v>2.0</v>
      </c>
      <c r="K296" s="13">
        <v>2.0</v>
      </c>
      <c r="L296" s="13">
        <v>40000.0</v>
      </c>
    </row>
    <row r="297">
      <c r="B297" s="10">
        <v>46105.0</v>
      </c>
      <c r="C297" s="13"/>
      <c r="D297" s="17" t="s">
        <v>300</v>
      </c>
      <c r="E297" s="13"/>
      <c r="F297" s="13" t="s">
        <v>11</v>
      </c>
      <c r="G297" s="13" t="str">
        <f t="shared" si="8"/>
        <v/>
      </c>
      <c r="K297" s="13">
        <v>0.0</v>
      </c>
      <c r="L297" s="13">
        <v>0.0</v>
      </c>
    </row>
    <row r="298">
      <c r="B298" s="10">
        <v>46105.0</v>
      </c>
      <c r="C298" s="13"/>
      <c r="D298" s="17" t="s">
        <v>300</v>
      </c>
      <c r="E298" s="13"/>
      <c r="F298" s="13" t="s">
        <v>12</v>
      </c>
      <c r="G298" s="13" t="str">
        <f t="shared" si="8"/>
        <v/>
      </c>
      <c r="K298" s="13">
        <v>0.0</v>
      </c>
      <c r="L298" s="13">
        <v>0.0</v>
      </c>
    </row>
    <row r="299">
      <c r="B299" s="10">
        <v>46105.0</v>
      </c>
      <c r="C299" s="13"/>
      <c r="D299" s="17" t="s">
        <v>300</v>
      </c>
      <c r="E299" s="13"/>
      <c r="F299" s="13" t="s">
        <v>13</v>
      </c>
      <c r="G299" s="13" t="str">
        <f t="shared" si="8"/>
        <v/>
      </c>
      <c r="H299" s="4">
        <v>1.0</v>
      </c>
      <c r="K299" s="13">
        <v>1.0</v>
      </c>
      <c r="L299" s="13">
        <v>20000.0</v>
      </c>
    </row>
    <row r="300">
      <c r="B300" s="10">
        <v>46105.0</v>
      </c>
      <c r="C300" s="13"/>
      <c r="D300" s="17" t="s">
        <v>300</v>
      </c>
      <c r="E300" s="13"/>
      <c r="F300" s="13" t="s">
        <v>14</v>
      </c>
      <c r="G300" s="13" t="str">
        <f t="shared" si="8"/>
        <v/>
      </c>
      <c r="K300" s="13">
        <v>0.0</v>
      </c>
      <c r="L300" s="13">
        <v>0.0</v>
      </c>
    </row>
    <row r="301">
      <c r="B301" s="10">
        <v>46105.0</v>
      </c>
      <c r="C301" s="4" t="s">
        <v>114</v>
      </c>
      <c r="D301" s="17" t="s">
        <v>300</v>
      </c>
      <c r="E301" s="4" t="s">
        <v>62</v>
      </c>
      <c r="F301" s="13" t="s">
        <v>15</v>
      </c>
      <c r="G301" s="13" t="str">
        <f t="shared" si="8"/>
        <v/>
      </c>
      <c r="H301" s="4">
        <v>15.0</v>
      </c>
      <c r="K301" s="13">
        <v>15.0</v>
      </c>
      <c r="L301" s="13">
        <v>300000.0</v>
      </c>
    </row>
    <row r="302">
      <c r="B302" s="10">
        <v>46105.0</v>
      </c>
      <c r="C302" s="13"/>
      <c r="D302" s="13"/>
      <c r="E302" s="4" t="s">
        <v>301</v>
      </c>
      <c r="F302" s="13" t="s">
        <v>4</v>
      </c>
      <c r="G302" s="13" t="str">
        <f t="shared" si="8"/>
        <v/>
      </c>
      <c r="K302" s="13">
        <v>0.0</v>
      </c>
      <c r="L302" s="13">
        <v>0.0</v>
      </c>
    </row>
    <row r="303">
      <c r="B303" s="10">
        <v>46105.0</v>
      </c>
      <c r="C303" s="13"/>
      <c r="D303" s="13"/>
      <c r="E303" s="4" t="s">
        <v>301</v>
      </c>
      <c r="F303" s="13" t="s">
        <v>5</v>
      </c>
      <c r="G303" s="13" t="str">
        <f t="shared" si="8"/>
        <v/>
      </c>
      <c r="H303" s="4">
        <v>1.0</v>
      </c>
      <c r="K303" s="13">
        <v>1.0</v>
      </c>
      <c r="L303" s="13">
        <v>20000.0</v>
      </c>
    </row>
    <row r="304">
      <c r="B304" s="10">
        <v>46105.0</v>
      </c>
      <c r="C304" s="13"/>
      <c r="D304" s="13"/>
      <c r="E304" s="4" t="s">
        <v>301</v>
      </c>
      <c r="F304" s="13" t="s">
        <v>6</v>
      </c>
      <c r="G304" s="13" t="str">
        <f t="shared" si="8"/>
        <v/>
      </c>
      <c r="K304" s="13">
        <v>0.0</v>
      </c>
      <c r="L304" s="13">
        <v>0.0</v>
      </c>
    </row>
    <row r="305">
      <c r="B305" s="10">
        <v>46105.0</v>
      </c>
      <c r="C305" s="13"/>
      <c r="D305" s="13"/>
      <c r="E305" s="4" t="s">
        <v>301</v>
      </c>
      <c r="F305" s="13" t="s">
        <v>7</v>
      </c>
      <c r="G305" s="13" t="str">
        <f t="shared" si="8"/>
        <v/>
      </c>
      <c r="K305" s="13">
        <v>0.0</v>
      </c>
      <c r="L305" s="13">
        <v>0.0</v>
      </c>
    </row>
    <row r="306">
      <c r="B306" s="10">
        <v>46105.0</v>
      </c>
      <c r="C306" s="13"/>
      <c r="D306" s="13"/>
      <c r="E306" s="4" t="s">
        <v>301</v>
      </c>
      <c r="F306" s="13" t="s">
        <v>8</v>
      </c>
      <c r="G306" s="13" t="str">
        <f t="shared" si="8"/>
        <v/>
      </c>
      <c r="H306" s="4">
        <v>1.0</v>
      </c>
      <c r="K306" s="13">
        <v>1.0</v>
      </c>
      <c r="L306" s="13">
        <v>20000.0</v>
      </c>
    </row>
    <row r="307">
      <c r="B307" s="10">
        <v>46105.0</v>
      </c>
      <c r="C307" s="13"/>
      <c r="D307" s="13"/>
      <c r="E307" s="4" t="s">
        <v>301</v>
      </c>
      <c r="F307" s="13" t="s">
        <v>9</v>
      </c>
      <c r="G307" s="13" t="str">
        <f t="shared" si="8"/>
        <v/>
      </c>
      <c r="H307" s="4">
        <v>7.0</v>
      </c>
      <c r="K307" s="13">
        <v>7.0</v>
      </c>
      <c r="L307" s="13">
        <v>140000.0</v>
      </c>
    </row>
    <row r="308">
      <c r="B308" s="10">
        <v>46105.0</v>
      </c>
      <c r="C308" s="13"/>
      <c r="D308" s="13"/>
      <c r="E308" s="4" t="s">
        <v>301</v>
      </c>
      <c r="F308" s="13" t="s">
        <v>10</v>
      </c>
      <c r="G308" s="13" t="str">
        <f t="shared" si="8"/>
        <v/>
      </c>
      <c r="H308" s="4">
        <v>3.0</v>
      </c>
      <c r="K308" s="13">
        <v>3.0</v>
      </c>
      <c r="L308" s="13">
        <v>60000.0</v>
      </c>
    </row>
    <row r="309">
      <c r="B309" s="10">
        <v>46105.0</v>
      </c>
      <c r="C309" s="13"/>
      <c r="D309" s="13"/>
      <c r="E309" s="4" t="s">
        <v>301</v>
      </c>
      <c r="F309" s="13" t="s">
        <v>11</v>
      </c>
      <c r="G309" s="4">
        <f>I189</f>
        <v>1</v>
      </c>
      <c r="H309" s="4">
        <v>2.0</v>
      </c>
      <c r="K309" s="13">
        <v>3.0</v>
      </c>
      <c r="L309" s="13">
        <v>60000.0</v>
      </c>
    </row>
    <row r="310">
      <c r="B310" s="10">
        <v>46105.0</v>
      </c>
      <c r="C310" s="13"/>
      <c r="D310" s="13"/>
      <c r="E310" s="4" t="s">
        <v>301</v>
      </c>
      <c r="F310" s="13" t="s">
        <v>12</v>
      </c>
      <c r="G310" s="13" t="str">
        <f t="shared" ref="G310:G313" si="9">I298</f>
        <v/>
      </c>
      <c r="K310" s="13">
        <v>0.0</v>
      </c>
      <c r="L310" s="13">
        <v>0.0</v>
      </c>
    </row>
    <row r="311">
      <c r="B311" s="10">
        <v>46105.0</v>
      </c>
      <c r="C311" s="13"/>
      <c r="D311" s="13"/>
      <c r="E311" s="4" t="s">
        <v>301</v>
      </c>
      <c r="F311" s="13" t="s">
        <v>13</v>
      </c>
      <c r="G311" s="13" t="str">
        <f t="shared" si="9"/>
        <v/>
      </c>
      <c r="H311" s="4">
        <v>2.0</v>
      </c>
      <c r="K311" s="13">
        <v>2.0</v>
      </c>
      <c r="L311" s="13">
        <v>40000.0</v>
      </c>
    </row>
    <row r="312">
      <c r="B312" s="10">
        <v>46105.0</v>
      </c>
      <c r="C312" s="13"/>
      <c r="D312" s="13"/>
      <c r="E312" s="4" t="s">
        <v>301</v>
      </c>
      <c r="F312" s="13" t="s">
        <v>14</v>
      </c>
      <c r="G312" s="13" t="str">
        <f t="shared" si="9"/>
        <v/>
      </c>
      <c r="K312" s="13">
        <v>0.0</v>
      </c>
      <c r="L312" s="13">
        <v>0.0</v>
      </c>
    </row>
    <row r="313">
      <c r="B313" s="10">
        <v>46105.0</v>
      </c>
      <c r="C313" s="13"/>
      <c r="D313" s="13"/>
      <c r="E313" s="4" t="s">
        <v>301</v>
      </c>
      <c r="F313" s="13" t="s">
        <v>15</v>
      </c>
      <c r="G313" s="13" t="str">
        <f t="shared" si="9"/>
        <v/>
      </c>
      <c r="H313" s="4">
        <v>4.0</v>
      </c>
      <c r="K313" s="13">
        <v>4.0</v>
      </c>
      <c r="L313" s="13">
        <v>80000.0</v>
      </c>
    </row>
    <row r="314">
      <c r="B314" s="10">
        <v>46105.0</v>
      </c>
      <c r="C314" s="4" t="s">
        <v>114</v>
      </c>
      <c r="D314" s="4" t="s">
        <v>80</v>
      </c>
      <c r="E314" s="4" t="s">
        <v>57</v>
      </c>
      <c r="F314" s="13" t="s">
        <v>4</v>
      </c>
      <c r="H314" s="4">
        <v>5.0</v>
      </c>
      <c r="K314" s="13">
        <v>5.0</v>
      </c>
      <c r="L314" s="13">
        <v>100000.0</v>
      </c>
    </row>
    <row r="315">
      <c r="B315" s="10">
        <v>46105.0</v>
      </c>
      <c r="C315" s="4" t="s">
        <v>114</v>
      </c>
      <c r="D315" s="4" t="s">
        <v>80</v>
      </c>
      <c r="E315" s="4" t="s">
        <v>57</v>
      </c>
      <c r="F315" s="13" t="s">
        <v>5</v>
      </c>
      <c r="H315" s="4">
        <v>1.0</v>
      </c>
      <c r="K315" s="13">
        <v>1.0</v>
      </c>
      <c r="L315" s="13">
        <v>20000.0</v>
      </c>
    </row>
    <row r="316">
      <c r="B316" s="10">
        <v>46105.0</v>
      </c>
      <c r="C316" s="4" t="s">
        <v>114</v>
      </c>
      <c r="D316" s="4" t="s">
        <v>80</v>
      </c>
      <c r="E316" s="4" t="s">
        <v>57</v>
      </c>
      <c r="F316" s="13" t="s">
        <v>6</v>
      </c>
      <c r="H316" s="4">
        <v>1.0</v>
      </c>
      <c r="K316" s="13">
        <v>1.0</v>
      </c>
      <c r="L316" s="13">
        <v>20000.0</v>
      </c>
    </row>
    <row r="317">
      <c r="B317" s="10">
        <v>46105.0</v>
      </c>
      <c r="C317" s="4" t="s">
        <v>114</v>
      </c>
      <c r="D317" s="4" t="s">
        <v>80</v>
      </c>
      <c r="E317" s="4" t="s">
        <v>57</v>
      </c>
      <c r="F317" s="13" t="s">
        <v>7</v>
      </c>
      <c r="H317" s="4">
        <v>1.0</v>
      </c>
      <c r="K317" s="13">
        <v>1.0</v>
      </c>
      <c r="L317" s="13">
        <v>20000.0</v>
      </c>
    </row>
    <row r="318">
      <c r="B318" s="10">
        <v>46105.0</v>
      </c>
      <c r="C318" s="4" t="s">
        <v>114</v>
      </c>
      <c r="D318" s="4" t="s">
        <v>80</v>
      </c>
      <c r="E318" s="4" t="s">
        <v>57</v>
      </c>
      <c r="F318" s="13" t="s">
        <v>8</v>
      </c>
      <c r="H318" s="4">
        <v>2.0</v>
      </c>
      <c r="K318" s="13">
        <v>2.0</v>
      </c>
      <c r="L318" s="13">
        <v>40000.0</v>
      </c>
    </row>
    <row r="319">
      <c r="B319" s="10">
        <v>46105.0</v>
      </c>
      <c r="C319" s="4" t="s">
        <v>114</v>
      </c>
      <c r="D319" s="4" t="s">
        <v>80</v>
      </c>
      <c r="E319" s="4" t="s">
        <v>57</v>
      </c>
      <c r="F319" s="13" t="s">
        <v>9</v>
      </c>
      <c r="H319" s="4">
        <v>2.0</v>
      </c>
      <c r="K319" s="13">
        <v>2.0</v>
      </c>
      <c r="L319" s="13">
        <v>40000.0</v>
      </c>
    </row>
    <row r="320">
      <c r="B320" s="10">
        <v>46105.0</v>
      </c>
      <c r="C320" s="4" t="s">
        <v>114</v>
      </c>
      <c r="D320" s="4" t="s">
        <v>80</v>
      </c>
      <c r="E320" s="4" t="s">
        <v>57</v>
      </c>
      <c r="F320" s="13" t="s">
        <v>10</v>
      </c>
      <c r="H320" s="4">
        <v>2.0</v>
      </c>
      <c r="K320" s="13">
        <v>2.0</v>
      </c>
      <c r="L320" s="13">
        <v>40000.0</v>
      </c>
    </row>
    <row r="321">
      <c r="B321" s="10">
        <v>46105.0</v>
      </c>
      <c r="C321" s="4" t="s">
        <v>114</v>
      </c>
      <c r="D321" s="4" t="s">
        <v>80</v>
      </c>
      <c r="E321" s="4" t="s">
        <v>57</v>
      </c>
      <c r="F321" s="13" t="s">
        <v>11</v>
      </c>
      <c r="K321" s="13">
        <v>0.0</v>
      </c>
      <c r="L321" s="13">
        <v>0.0</v>
      </c>
    </row>
    <row r="322">
      <c r="B322" s="10">
        <v>46105.0</v>
      </c>
      <c r="C322" s="4" t="s">
        <v>114</v>
      </c>
      <c r="D322" s="4" t="s">
        <v>80</v>
      </c>
      <c r="E322" s="4" t="s">
        <v>57</v>
      </c>
      <c r="F322" s="13" t="s">
        <v>12</v>
      </c>
      <c r="H322" s="4">
        <v>1.0</v>
      </c>
      <c r="K322" s="13">
        <v>1.0</v>
      </c>
      <c r="L322" s="13">
        <v>20000.0</v>
      </c>
    </row>
    <row r="323">
      <c r="B323" s="10">
        <v>46105.0</v>
      </c>
      <c r="C323" s="4" t="s">
        <v>114</v>
      </c>
      <c r="D323" s="4" t="s">
        <v>80</v>
      </c>
      <c r="E323" s="4" t="s">
        <v>57</v>
      </c>
      <c r="F323" s="13" t="s">
        <v>13</v>
      </c>
      <c r="H323" s="4">
        <v>1.0</v>
      </c>
      <c r="K323" s="13">
        <v>1.0</v>
      </c>
      <c r="L323" s="13">
        <v>20000.0</v>
      </c>
    </row>
    <row r="324">
      <c r="B324" s="10">
        <v>46105.0</v>
      </c>
      <c r="C324" s="4" t="s">
        <v>114</v>
      </c>
      <c r="D324" s="4" t="s">
        <v>80</v>
      </c>
      <c r="E324" s="4" t="s">
        <v>57</v>
      </c>
      <c r="F324" s="13" t="s">
        <v>14</v>
      </c>
      <c r="H324" s="4">
        <v>1.0</v>
      </c>
      <c r="K324" s="13">
        <v>1.0</v>
      </c>
      <c r="L324" s="13">
        <v>22000.0</v>
      </c>
    </row>
    <row r="325">
      <c r="B325" s="10">
        <v>46105.0</v>
      </c>
      <c r="C325" s="4" t="s">
        <v>114</v>
      </c>
      <c r="D325" s="4" t="s">
        <v>80</v>
      </c>
      <c r="E325" s="4" t="s">
        <v>57</v>
      </c>
      <c r="F325" s="13" t="s">
        <v>15</v>
      </c>
      <c r="H325" s="4">
        <v>11.0</v>
      </c>
      <c r="K325" s="13">
        <v>11.0</v>
      </c>
      <c r="L325" s="13">
        <v>220000.0</v>
      </c>
    </row>
    <row r="326">
      <c r="B326" s="11">
        <f>B325+1</f>
        <v>46106</v>
      </c>
      <c r="C326" s="4" t="s">
        <v>113</v>
      </c>
      <c r="D326" s="4" t="s">
        <v>89</v>
      </c>
      <c r="E326" s="4" t="s">
        <v>82</v>
      </c>
      <c r="F326" s="13" t="s">
        <v>4</v>
      </c>
      <c r="H326" s="4">
        <v>10.0</v>
      </c>
      <c r="I326" s="4">
        <v>0.0</v>
      </c>
      <c r="K326" s="13">
        <v>10.0</v>
      </c>
      <c r="L326" s="13">
        <v>200000.0</v>
      </c>
    </row>
    <row r="327">
      <c r="B327" s="11">
        <v>46106.0</v>
      </c>
      <c r="C327" s="13"/>
      <c r="D327" s="4" t="s">
        <v>89</v>
      </c>
      <c r="E327" s="4" t="s">
        <v>82</v>
      </c>
      <c r="F327" s="13" t="s">
        <v>5</v>
      </c>
      <c r="H327" s="4">
        <v>5.0</v>
      </c>
      <c r="I327" s="4">
        <v>0.0</v>
      </c>
      <c r="K327" s="13">
        <v>5.0</v>
      </c>
      <c r="L327" s="13">
        <v>100000.0</v>
      </c>
    </row>
    <row r="328">
      <c r="B328" s="11">
        <v>46106.0</v>
      </c>
      <c r="C328" s="13"/>
      <c r="D328" s="4" t="s">
        <v>89</v>
      </c>
      <c r="E328" s="4" t="s">
        <v>82</v>
      </c>
      <c r="F328" s="13" t="s">
        <v>6</v>
      </c>
      <c r="H328" s="4">
        <v>4.0</v>
      </c>
      <c r="I328" s="4">
        <v>0.0</v>
      </c>
      <c r="K328" s="13">
        <v>4.0</v>
      </c>
      <c r="L328" s="13">
        <v>80000.0</v>
      </c>
    </row>
    <row r="329">
      <c r="B329" s="11">
        <v>46106.0</v>
      </c>
      <c r="C329" s="13"/>
      <c r="D329" s="4" t="s">
        <v>89</v>
      </c>
      <c r="E329" s="4" t="s">
        <v>82</v>
      </c>
      <c r="F329" s="13" t="s">
        <v>7</v>
      </c>
      <c r="H329" s="4">
        <v>5.0</v>
      </c>
      <c r="I329" s="4">
        <v>0.0</v>
      </c>
      <c r="K329" s="13">
        <v>5.0</v>
      </c>
      <c r="L329" s="13">
        <v>100000.0</v>
      </c>
    </row>
    <row r="330">
      <c r="B330" s="11">
        <v>46106.0</v>
      </c>
      <c r="C330" s="13"/>
      <c r="D330" s="4" t="s">
        <v>89</v>
      </c>
      <c r="E330" s="4" t="s">
        <v>82</v>
      </c>
      <c r="F330" s="13" t="s">
        <v>8</v>
      </c>
      <c r="H330" s="4">
        <v>8.0</v>
      </c>
      <c r="I330" s="4">
        <v>0.0</v>
      </c>
      <c r="K330" s="13">
        <v>8.0</v>
      </c>
      <c r="L330" s="13">
        <v>160000.0</v>
      </c>
    </row>
    <row r="331">
      <c r="B331" s="11">
        <v>46106.0</v>
      </c>
      <c r="C331" s="13"/>
      <c r="D331" s="4" t="s">
        <v>89</v>
      </c>
      <c r="E331" s="4" t="s">
        <v>82</v>
      </c>
      <c r="F331" s="13" t="s">
        <v>9</v>
      </c>
      <c r="H331" s="4">
        <v>8.0</v>
      </c>
      <c r="I331" s="4">
        <v>0.0</v>
      </c>
      <c r="K331" s="13">
        <v>8.0</v>
      </c>
      <c r="L331" s="13">
        <v>160000.0</v>
      </c>
    </row>
    <row r="332">
      <c r="B332" s="11">
        <v>46106.0</v>
      </c>
      <c r="C332" s="13"/>
      <c r="D332" s="4" t="s">
        <v>89</v>
      </c>
      <c r="E332" s="4" t="s">
        <v>86</v>
      </c>
      <c r="F332" s="13" t="s">
        <v>10</v>
      </c>
      <c r="H332" s="4">
        <v>5.0</v>
      </c>
      <c r="I332" s="4">
        <v>0.0</v>
      </c>
      <c r="K332" s="13">
        <v>5.0</v>
      </c>
      <c r="L332" s="13">
        <v>100000.0</v>
      </c>
    </row>
    <row r="333">
      <c r="B333" s="11">
        <v>46106.0</v>
      </c>
      <c r="C333" s="13"/>
      <c r="D333" s="4" t="s">
        <v>89</v>
      </c>
      <c r="E333" s="4" t="s">
        <v>86</v>
      </c>
      <c r="F333" s="13" t="s">
        <v>11</v>
      </c>
      <c r="H333" s="4">
        <v>3.0</v>
      </c>
      <c r="I333" s="4">
        <v>0.0</v>
      </c>
      <c r="K333" s="13">
        <v>3.0</v>
      </c>
      <c r="L333" s="13">
        <v>60000.0</v>
      </c>
    </row>
    <row r="334">
      <c r="B334" s="11">
        <v>46106.0</v>
      </c>
      <c r="C334" s="13"/>
      <c r="D334" s="4" t="s">
        <v>89</v>
      </c>
      <c r="E334" s="4" t="s">
        <v>86</v>
      </c>
      <c r="F334" s="13" t="s">
        <v>12</v>
      </c>
      <c r="H334" s="4">
        <v>4.0</v>
      </c>
      <c r="I334" s="4">
        <v>0.0</v>
      </c>
      <c r="K334" s="13">
        <v>4.0</v>
      </c>
      <c r="L334" s="13">
        <v>80000.0</v>
      </c>
    </row>
    <row r="335">
      <c r="B335" s="11">
        <v>46106.0</v>
      </c>
      <c r="C335" s="13"/>
      <c r="D335" s="4" t="s">
        <v>89</v>
      </c>
      <c r="E335" s="4" t="s">
        <v>86</v>
      </c>
      <c r="F335" s="13" t="s">
        <v>13</v>
      </c>
      <c r="H335" s="4">
        <v>5.0</v>
      </c>
      <c r="I335" s="4">
        <v>0.0</v>
      </c>
      <c r="K335" s="13">
        <v>5.0</v>
      </c>
      <c r="L335" s="13">
        <v>100000.0</v>
      </c>
    </row>
    <row r="336">
      <c r="B336" s="11">
        <v>46106.0</v>
      </c>
      <c r="C336" s="13"/>
      <c r="D336" s="4" t="s">
        <v>89</v>
      </c>
      <c r="E336" s="4" t="s">
        <v>86</v>
      </c>
      <c r="F336" s="13" t="s">
        <v>14</v>
      </c>
      <c r="H336" s="4">
        <v>4.0</v>
      </c>
      <c r="I336" s="4">
        <v>0.0</v>
      </c>
      <c r="K336" s="13">
        <v>4.0</v>
      </c>
      <c r="L336" s="13">
        <v>88000.0</v>
      </c>
    </row>
    <row r="337">
      <c r="B337" s="11">
        <v>46106.0</v>
      </c>
      <c r="C337" s="4" t="s">
        <v>113</v>
      </c>
      <c r="D337" s="4" t="s">
        <v>89</v>
      </c>
      <c r="E337" s="4" t="s">
        <v>86</v>
      </c>
      <c r="F337" s="13" t="s">
        <v>15</v>
      </c>
      <c r="G337" s="4">
        <v>7.0</v>
      </c>
      <c r="H337" s="4">
        <v>33.0</v>
      </c>
      <c r="I337" s="4">
        <v>0.0</v>
      </c>
      <c r="K337" s="13">
        <v>40.0</v>
      </c>
      <c r="L337" s="13">
        <v>800000.0</v>
      </c>
    </row>
    <row r="338">
      <c r="B338" s="11">
        <v>46106.0</v>
      </c>
      <c r="C338" s="4" t="s">
        <v>114</v>
      </c>
      <c r="D338" s="4" t="s">
        <v>89</v>
      </c>
      <c r="E338" s="4" t="s">
        <v>86</v>
      </c>
      <c r="F338" s="13" t="s">
        <v>4</v>
      </c>
      <c r="H338" s="4">
        <v>5.0</v>
      </c>
      <c r="K338" s="13">
        <v>5.0</v>
      </c>
      <c r="L338" s="13">
        <v>100000.0</v>
      </c>
    </row>
    <row r="339">
      <c r="B339" s="11">
        <v>46106.0</v>
      </c>
      <c r="C339" s="4" t="s">
        <v>114</v>
      </c>
      <c r="D339" s="4" t="s">
        <v>89</v>
      </c>
      <c r="E339" s="4" t="s">
        <v>86</v>
      </c>
      <c r="F339" s="13" t="s">
        <v>5</v>
      </c>
      <c r="H339" s="4">
        <v>3.0</v>
      </c>
      <c r="K339" s="13">
        <v>3.0</v>
      </c>
      <c r="L339" s="13">
        <v>60000.0</v>
      </c>
    </row>
    <row r="340">
      <c r="B340" s="11">
        <v>46106.0</v>
      </c>
      <c r="C340" s="4" t="s">
        <v>114</v>
      </c>
      <c r="D340" s="4" t="s">
        <v>89</v>
      </c>
      <c r="E340" s="4" t="s">
        <v>86</v>
      </c>
      <c r="F340" s="13" t="s">
        <v>6</v>
      </c>
      <c r="H340" s="4">
        <v>1.0</v>
      </c>
      <c r="K340" s="13">
        <v>1.0</v>
      </c>
      <c r="L340" s="13">
        <v>20000.0</v>
      </c>
    </row>
    <row r="341">
      <c r="B341" s="11">
        <v>46106.0</v>
      </c>
      <c r="C341" s="4" t="s">
        <v>114</v>
      </c>
      <c r="D341" s="4" t="s">
        <v>89</v>
      </c>
      <c r="E341" s="4" t="s">
        <v>86</v>
      </c>
      <c r="F341" s="13" t="s">
        <v>7</v>
      </c>
      <c r="K341" s="13">
        <v>0.0</v>
      </c>
      <c r="L341" s="13">
        <v>0.0</v>
      </c>
    </row>
    <row r="342">
      <c r="B342" s="11">
        <v>46106.0</v>
      </c>
      <c r="C342" s="4" t="s">
        <v>114</v>
      </c>
      <c r="D342" s="4" t="s">
        <v>89</v>
      </c>
      <c r="E342" s="4" t="s">
        <v>86</v>
      </c>
      <c r="F342" s="13" t="s">
        <v>8</v>
      </c>
      <c r="H342" s="4">
        <v>3.0</v>
      </c>
      <c r="K342" s="13">
        <v>3.0</v>
      </c>
      <c r="L342" s="13">
        <v>60000.0</v>
      </c>
    </row>
    <row r="343">
      <c r="B343" s="11">
        <v>46106.0</v>
      </c>
      <c r="C343" s="4" t="s">
        <v>114</v>
      </c>
      <c r="D343" s="4" t="s">
        <v>89</v>
      </c>
      <c r="E343" s="4" t="s">
        <v>86</v>
      </c>
      <c r="F343" s="13" t="s">
        <v>9</v>
      </c>
      <c r="H343" s="4">
        <v>5.0</v>
      </c>
      <c r="K343" s="13">
        <v>5.0</v>
      </c>
      <c r="L343" s="13">
        <v>100000.0</v>
      </c>
    </row>
    <row r="344">
      <c r="B344" s="11">
        <v>46106.0</v>
      </c>
      <c r="C344" s="4" t="s">
        <v>114</v>
      </c>
      <c r="D344" s="4" t="s">
        <v>89</v>
      </c>
      <c r="E344" s="4" t="s">
        <v>86</v>
      </c>
      <c r="F344" s="13" t="s">
        <v>10</v>
      </c>
      <c r="H344" s="4">
        <v>2.0</v>
      </c>
      <c r="K344" s="13">
        <v>2.0</v>
      </c>
      <c r="L344" s="13">
        <v>40000.0</v>
      </c>
    </row>
    <row r="345">
      <c r="B345" s="11">
        <v>46106.0</v>
      </c>
      <c r="C345" s="4" t="s">
        <v>114</v>
      </c>
      <c r="D345" s="4" t="s">
        <v>89</v>
      </c>
      <c r="E345" s="4" t="s">
        <v>86</v>
      </c>
      <c r="F345" s="13" t="s">
        <v>11</v>
      </c>
      <c r="K345" s="13">
        <v>0.0</v>
      </c>
      <c r="L345" s="13">
        <v>0.0</v>
      </c>
    </row>
    <row r="346">
      <c r="B346" s="11">
        <v>46106.0</v>
      </c>
      <c r="C346" s="4" t="s">
        <v>114</v>
      </c>
      <c r="D346" s="4" t="s">
        <v>89</v>
      </c>
      <c r="E346" s="4" t="s">
        <v>86</v>
      </c>
      <c r="F346" s="13" t="s">
        <v>12</v>
      </c>
      <c r="H346" s="4">
        <v>2.0</v>
      </c>
      <c r="K346" s="13">
        <v>2.0</v>
      </c>
      <c r="L346" s="13">
        <v>40000.0</v>
      </c>
    </row>
    <row r="347">
      <c r="B347" s="11">
        <v>46106.0</v>
      </c>
      <c r="C347" s="4" t="s">
        <v>114</v>
      </c>
      <c r="D347" s="4" t="s">
        <v>89</v>
      </c>
      <c r="E347" s="4" t="s">
        <v>86</v>
      </c>
      <c r="F347" s="13" t="s">
        <v>13</v>
      </c>
      <c r="H347" s="4">
        <v>3.0</v>
      </c>
      <c r="K347" s="13">
        <v>3.0</v>
      </c>
      <c r="L347" s="13">
        <v>60000.0</v>
      </c>
    </row>
    <row r="348">
      <c r="B348" s="11">
        <v>46106.0</v>
      </c>
      <c r="C348" s="4" t="s">
        <v>114</v>
      </c>
      <c r="D348" s="4" t="s">
        <v>89</v>
      </c>
      <c r="E348" s="4" t="s">
        <v>86</v>
      </c>
      <c r="F348" s="13" t="s">
        <v>14</v>
      </c>
      <c r="H348" s="4">
        <v>2.0</v>
      </c>
      <c r="K348" s="13">
        <v>2.0</v>
      </c>
      <c r="L348" s="13">
        <v>44000.0</v>
      </c>
    </row>
    <row r="349">
      <c r="B349" s="11">
        <v>46106.0</v>
      </c>
      <c r="C349" s="4" t="s">
        <v>114</v>
      </c>
      <c r="D349" s="4" t="s">
        <v>89</v>
      </c>
      <c r="E349" s="4" t="s">
        <v>86</v>
      </c>
      <c r="F349" s="13" t="s">
        <v>15</v>
      </c>
      <c r="H349" s="4">
        <v>25.0</v>
      </c>
      <c r="K349" s="13">
        <v>25.0</v>
      </c>
      <c r="L349" s="13">
        <v>500000.0</v>
      </c>
    </row>
    <row r="350">
      <c r="B350" s="11">
        <v>46106.0</v>
      </c>
      <c r="C350" s="4" t="s">
        <v>113</v>
      </c>
      <c r="D350" s="4" t="s">
        <v>81</v>
      </c>
      <c r="E350" s="4" t="s">
        <v>53</v>
      </c>
      <c r="F350" s="13" t="s">
        <v>4</v>
      </c>
      <c r="H350" s="4">
        <v>5.0</v>
      </c>
      <c r="K350" s="13">
        <v>5.0</v>
      </c>
      <c r="L350" s="13">
        <v>100000.0</v>
      </c>
    </row>
    <row r="351">
      <c r="B351" s="11">
        <v>46106.0</v>
      </c>
      <c r="C351" s="4" t="s">
        <v>113</v>
      </c>
      <c r="D351" s="4" t="s">
        <v>81</v>
      </c>
      <c r="E351" s="4" t="s">
        <v>53</v>
      </c>
      <c r="F351" s="13" t="s">
        <v>5</v>
      </c>
      <c r="H351" s="4">
        <v>3.0</v>
      </c>
      <c r="K351" s="13">
        <v>3.0</v>
      </c>
      <c r="L351" s="13">
        <v>60000.0</v>
      </c>
    </row>
    <row r="352">
      <c r="B352" s="11">
        <v>46106.0</v>
      </c>
      <c r="C352" s="4" t="s">
        <v>113</v>
      </c>
      <c r="D352" s="4" t="s">
        <v>81</v>
      </c>
      <c r="E352" s="4" t="s">
        <v>56</v>
      </c>
      <c r="F352" s="13" t="s">
        <v>6</v>
      </c>
      <c r="H352" s="4">
        <v>3.0</v>
      </c>
      <c r="K352" s="13">
        <v>3.0</v>
      </c>
      <c r="L352" s="13">
        <v>60000.0</v>
      </c>
    </row>
    <row r="353">
      <c r="B353" s="11">
        <v>46106.0</v>
      </c>
      <c r="C353" s="4" t="s">
        <v>113</v>
      </c>
      <c r="D353" s="4" t="s">
        <v>81</v>
      </c>
      <c r="E353" s="4" t="s">
        <v>56</v>
      </c>
      <c r="F353" s="13" t="s">
        <v>7</v>
      </c>
      <c r="H353" s="4">
        <v>3.0</v>
      </c>
      <c r="K353" s="13">
        <v>3.0</v>
      </c>
      <c r="L353" s="13">
        <v>60000.0</v>
      </c>
    </row>
    <row r="354">
      <c r="B354" s="11">
        <v>46106.0</v>
      </c>
      <c r="C354" s="4" t="s">
        <v>113</v>
      </c>
      <c r="D354" s="4" t="s">
        <v>81</v>
      </c>
      <c r="E354" s="4" t="s">
        <v>56</v>
      </c>
      <c r="F354" s="13" t="s">
        <v>8</v>
      </c>
      <c r="H354" s="4">
        <v>5.0</v>
      </c>
      <c r="K354" s="13">
        <v>5.0</v>
      </c>
      <c r="L354" s="13">
        <v>100000.0</v>
      </c>
    </row>
    <row r="355">
      <c r="B355" s="11">
        <v>46106.0</v>
      </c>
      <c r="C355" s="4" t="s">
        <v>113</v>
      </c>
      <c r="D355" s="4" t="s">
        <v>81</v>
      </c>
      <c r="E355" s="4" t="s">
        <v>56</v>
      </c>
      <c r="F355" s="13" t="s">
        <v>9</v>
      </c>
      <c r="H355" s="4">
        <v>5.0</v>
      </c>
      <c r="K355" s="13">
        <v>5.0</v>
      </c>
      <c r="L355" s="13">
        <v>100000.0</v>
      </c>
    </row>
    <row r="356">
      <c r="B356" s="11">
        <v>46106.0</v>
      </c>
      <c r="C356" s="4" t="s">
        <v>113</v>
      </c>
      <c r="D356" s="4" t="s">
        <v>81</v>
      </c>
      <c r="E356" s="4" t="s">
        <v>56</v>
      </c>
      <c r="F356" s="13" t="s">
        <v>10</v>
      </c>
      <c r="H356" s="4">
        <v>3.0</v>
      </c>
      <c r="K356" s="13">
        <v>3.0</v>
      </c>
      <c r="L356" s="13">
        <v>60000.0</v>
      </c>
    </row>
    <row r="357">
      <c r="B357" s="11">
        <v>46106.0</v>
      </c>
      <c r="C357" s="4" t="s">
        <v>113</v>
      </c>
      <c r="D357" s="4" t="s">
        <v>81</v>
      </c>
      <c r="E357" s="4" t="s">
        <v>56</v>
      </c>
      <c r="F357" s="13" t="s">
        <v>11</v>
      </c>
      <c r="H357" s="4">
        <v>3.0</v>
      </c>
      <c r="K357" s="13">
        <v>3.0</v>
      </c>
      <c r="L357" s="13">
        <v>60000.0</v>
      </c>
    </row>
    <row r="358">
      <c r="B358" s="11">
        <v>46106.0</v>
      </c>
      <c r="C358" s="4" t="s">
        <v>113</v>
      </c>
      <c r="D358" s="4" t="s">
        <v>81</v>
      </c>
      <c r="E358" s="4" t="s">
        <v>53</v>
      </c>
      <c r="F358" s="13" t="s">
        <v>12</v>
      </c>
      <c r="H358" s="4">
        <v>3.0</v>
      </c>
      <c r="K358" s="13">
        <v>3.0</v>
      </c>
      <c r="L358" s="13">
        <v>60000.0</v>
      </c>
    </row>
    <row r="359">
      <c r="B359" s="11">
        <v>46106.0</v>
      </c>
      <c r="C359" s="4" t="s">
        <v>113</v>
      </c>
      <c r="D359" s="4" t="s">
        <v>81</v>
      </c>
      <c r="E359" s="4" t="s">
        <v>53</v>
      </c>
      <c r="F359" s="13" t="s">
        <v>13</v>
      </c>
      <c r="H359" s="4">
        <v>4.0</v>
      </c>
      <c r="I359" s="4">
        <v>1.0</v>
      </c>
      <c r="K359" s="13">
        <v>3.0</v>
      </c>
      <c r="L359" s="13">
        <v>60000.0</v>
      </c>
    </row>
    <row r="360">
      <c r="B360" s="11">
        <v>46106.0</v>
      </c>
      <c r="C360" s="4" t="s">
        <v>113</v>
      </c>
      <c r="D360" s="4" t="s">
        <v>81</v>
      </c>
      <c r="E360" s="4" t="s">
        <v>53</v>
      </c>
      <c r="F360" s="13" t="s">
        <v>14</v>
      </c>
      <c r="H360" s="4">
        <v>3.0</v>
      </c>
      <c r="K360" s="13">
        <v>3.0</v>
      </c>
      <c r="L360" s="13">
        <v>66000.0</v>
      </c>
    </row>
    <row r="361">
      <c r="B361" s="11">
        <v>46106.0</v>
      </c>
      <c r="C361" s="4" t="s">
        <v>113</v>
      </c>
      <c r="D361" s="4" t="s">
        <v>81</v>
      </c>
      <c r="E361" s="4" t="s">
        <v>53</v>
      </c>
      <c r="F361" s="13" t="s">
        <v>15</v>
      </c>
      <c r="H361" s="4">
        <v>30.0</v>
      </c>
      <c r="I361" s="4">
        <v>2.0</v>
      </c>
      <c r="K361" s="13">
        <v>28.0</v>
      </c>
      <c r="L361" s="13">
        <v>560000.0</v>
      </c>
    </row>
    <row r="362">
      <c r="B362" s="11">
        <v>46106.0</v>
      </c>
      <c r="C362" s="4" t="s">
        <v>114</v>
      </c>
      <c r="D362" s="4" t="s">
        <v>81</v>
      </c>
      <c r="E362" s="4" t="s">
        <v>71</v>
      </c>
      <c r="F362" s="13" t="s">
        <v>4</v>
      </c>
      <c r="G362" s="13" t="str">
        <f t="shared" ref="G362:G373" si="10">I350</f>
        <v/>
      </c>
      <c r="H362" s="4">
        <v>3.0</v>
      </c>
      <c r="K362" s="13">
        <v>3.0</v>
      </c>
      <c r="L362" s="13">
        <v>60000.0</v>
      </c>
    </row>
    <row r="363">
      <c r="B363" s="11">
        <v>46106.0</v>
      </c>
      <c r="C363" s="4" t="s">
        <v>114</v>
      </c>
      <c r="D363" s="4" t="s">
        <v>81</v>
      </c>
      <c r="E363" s="4" t="s">
        <v>71</v>
      </c>
      <c r="F363" s="13" t="s">
        <v>5</v>
      </c>
      <c r="G363" s="13" t="str">
        <f t="shared" si="10"/>
        <v/>
      </c>
      <c r="H363" s="4">
        <v>2.0</v>
      </c>
      <c r="K363" s="13">
        <v>2.0</v>
      </c>
      <c r="L363" s="13">
        <v>40000.0</v>
      </c>
    </row>
    <row r="364">
      <c r="B364" s="11">
        <v>46106.0</v>
      </c>
      <c r="C364" s="4" t="s">
        <v>114</v>
      </c>
      <c r="D364" s="4" t="s">
        <v>81</v>
      </c>
      <c r="E364" s="4" t="s">
        <v>71</v>
      </c>
      <c r="F364" s="13" t="s">
        <v>6</v>
      </c>
      <c r="G364" s="13" t="str">
        <f t="shared" si="10"/>
        <v/>
      </c>
      <c r="H364" s="4">
        <v>2.0</v>
      </c>
      <c r="K364" s="13">
        <v>2.0</v>
      </c>
      <c r="L364" s="13">
        <v>40000.0</v>
      </c>
    </row>
    <row r="365">
      <c r="B365" s="11">
        <v>46106.0</v>
      </c>
      <c r="C365" s="4" t="s">
        <v>114</v>
      </c>
      <c r="D365" s="4" t="s">
        <v>81</v>
      </c>
      <c r="E365" s="4" t="s">
        <v>71</v>
      </c>
      <c r="F365" s="13" t="s">
        <v>7</v>
      </c>
      <c r="G365" s="13" t="str">
        <f t="shared" si="10"/>
        <v/>
      </c>
      <c r="H365" s="4">
        <v>2.0</v>
      </c>
      <c r="K365" s="13">
        <v>2.0</v>
      </c>
      <c r="L365" s="13">
        <v>40000.0</v>
      </c>
    </row>
    <row r="366">
      <c r="B366" s="11">
        <v>46106.0</v>
      </c>
      <c r="C366" s="4" t="s">
        <v>114</v>
      </c>
      <c r="D366" s="4" t="s">
        <v>81</v>
      </c>
      <c r="E366" s="4" t="s">
        <v>71</v>
      </c>
      <c r="F366" s="13" t="s">
        <v>8</v>
      </c>
      <c r="G366" s="13" t="str">
        <f t="shared" si="10"/>
        <v/>
      </c>
      <c r="H366" s="4">
        <v>3.0</v>
      </c>
      <c r="K366" s="13">
        <v>3.0</v>
      </c>
      <c r="L366" s="13">
        <v>60000.0</v>
      </c>
    </row>
    <row r="367">
      <c r="B367" s="11">
        <v>46106.0</v>
      </c>
      <c r="C367" s="4" t="s">
        <v>114</v>
      </c>
      <c r="D367" s="4" t="s">
        <v>81</v>
      </c>
      <c r="E367" s="4" t="s">
        <v>71</v>
      </c>
      <c r="F367" s="13" t="s">
        <v>9</v>
      </c>
      <c r="G367" s="13" t="str">
        <f t="shared" si="10"/>
        <v/>
      </c>
      <c r="H367" s="4">
        <v>4.0</v>
      </c>
      <c r="K367" s="13">
        <v>4.0</v>
      </c>
      <c r="L367" s="13">
        <v>80000.0</v>
      </c>
    </row>
    <row r="368">
      <c r="B368" s="11">
        <v>46106.0</v>
      </c>
      <c r="C368" s="4" t="s">
        <v>114</v>
      </c>
      <c r="D368" s="4" t="s">
        <v>81</v>
      </c>
      <c r="E368" s="4" t="s">
        <v>71</v>
      </c>
      <c r="F368" s="13" t="s">
        <v>10</v>
      </c>
      <c r="G368" s="13" t="str">
        <f t="shared" si="10"/>
        <v/>
      </c>
      <c r="H368" s="4">
        <v>2.0</v>
      </c>
      <c r="K368" s="13">
        <v>2.0</v>
      </c>
      <c r="L368" s="13">
        <v>40000.0</v>
      </c>
    </row>
    <row r="369">
      <c r="B369" s="11">
        <v>46106.0</v>
      </c>
      <c r="C369" s="4" t="s">
        <v>114</v>
      </c>
      <c r="D369" s="4" t="s">
        <v>81</v>
      </c>
      <c r="E369" s="4" t="s">
        <v>71</v>
      </c>
      <c r="F369" s="13" t="s">
        <v>11</v>
      </c>
      <c r="G369" s="13" t="str">
        <f t="shared" si="10"/>
        <v/>
      </c>
      <c r="H369" s="4">
        <v>2.0</v>
      </c>
      <c r="K369" s="13">
        <v>2.0</v>
      </c>
      <c r="L369" s="13">
        <v>40000.0</v>
      </c>
    </row>
    <row r="370">
      <c r="B370" s="11">
        <v>46106.0</v>
      </c>
      <c r="C370" s="4" t="s">
        <v>114</v>
      </c>
      <c r="D370" s="4" t="s">
        <v>81</v>
      </c>
      <c r="E370" s="4" t="s">
        <v>71</v>
      </c>
      <c r="F370" s="13" t="s">
        <v>12</v>
      </c>
      <c r="G370" s="13" t="str">
        <f t="shared" si="10"/>
        <v/>
      </c>
      <c r="K370" s="13">
        <v>0.0</v>
      </c>
      <c r="L370" s="13">
        <v>0.0</v>
      </c>
    </row>
    <row r="371">
      <c r="B371" s="11">
        <v>46106.0</v>
      </c>
      <c r="C371" s="4" t="s">
        <v>114</v>
      </c>
      <c r="D371" s="4" t="s">
        <v>81</v>
      </c>
      <c r="E371" s="4" t="s">
        <v>71</v>
      </c>
      <c r="F371" s="13" t="s">
        <v>13</v>
      </c>
      <c r="G371" s="13">
        <f t="shared" si="10"/>
        <v>1</v>
      </c>
      <c r="H371" s="4">
        <v>1.0</v>
      </c>
      <c r="K371" s="13">
        <v>2.0</v>
      </c>
      <c r="L371" s="13">
        <v>40000.0</v>
      </c>
    </row>
    <row r="372">
      <c r="B372" s="11">
        <v>46106.0</v>
      </c>
      <c r="C372" s="4" t="s">
        <v>114</v>
      </c>
      <c r="D372" s="4" t="s">
        <v>81</v>
      </c>
      <c r="E372" s="4" t="s">
        <v>71</v>
      </c>
      <c r="F372" s="13" t="s">
        <v>14</v>
      </c>
      <c r="G372" s="13" t="str">
        <f t="shared" si="10"/>
        <v/>
      </c>
      <c r="H372" s="4">
        <v>2.0</v>
      </c>
      <c r="K372" s="13">
        <v>2.0</v>
      </c>
      <c r="L372" s="13">
        <v>44000.0</v>
      </c>
    </row>
    <row r="373">
      <c r="B373" s="11">
        <v>46106.0</v>
      </c>
      <c r="C373" s="4" t="s">
        <v>114</v>
      </c>
      <c r="D373" s="4" t="s">
        <v>81</v>
      </c>
      <c r="E373" s="4" t="s">
        <v>71</v>
      </c>
      <c r="F373" s="13" t="s">
        <v>15</v>
      </c>
      <c r="G373" s="13">
        <f t="shared" si="10"/>
        <v>2</v>
      </c>
      <c r="H373" s="4">
        <v>20.0</v>
      </c>
      <c r="K373" s="13">
        <v>22.0</v>
      </c>
      <c r="L373" s="13">
        <v>440000.0</v>
      </c>
    </row>
    <row r="374">
      <c r="B374" s="11">
        <v>46106.0</v>
      </c>
      <c r="C374" s="4" t="s">
        <v>113</v>
      </c>
      <c r="D374" s="4" t="s">
        <v>93</v>
      </c>
      <c r="E374" s="4" t="s">
        <v>62</v>
      </c>
      <c r="F374" s="13" t="s">
        <v>4</v>
      </c>
      <c r="H374" s="4">
        <v>6.0</v>
      </c>
      <c r="K374" s="13">
        <v>6.0</v>
      </c>
      <c r="L374" s="13">
        <v>120000.0</v>
      </c>
    </row>
    <row r="375">
      <c r="B375" s="11">
        <v>46106.0</v>
      </c>
      <c r="C375" s="13"/>
      <c r="D375" s="13"/>
      <c r="E375" s="4" t="s">
        <v>62</v>
      </c>
      <c r="F375" s="13" t="s">
        <v>5</v>
      </c>
      <c r="H375" s="4">
        <v>4.0</v>
      </c>
      <c r="K375" s="13">
        <v>4.0</v>
      </c>
      <c r="L375" s="13">
        <v>80000.0</v>
      </c>
    </row>
    <row r="376">
      <c r="B376" s="11">
        <v>46106.0</v>
      </c>
      <c r="C376" s="13"/>
      <c r="D376" s="13"/>
      <c r="E376" s="4" t="s">
        <v>62</v>
      </c>
      <c r="F376" s="13" t="s">
        <v>6</v>
      </c>
      <c r="H376" s="4">
        <v>4.0</v>
      </c>
      <c r="K376" s="13">
        <v>4.0</v>
      </c>
      <c r="L376" s="13">
        <v>80000.0</v>
      </c>
    </row>
    <row r="377">
      <c r="B377" s="11">
        <v>46106.0</v>
      </c>
      <c r="C377" s="13"/>
      <c r="D377" s="13"/>
      <c r="E377" s="4" t="s">
        <v>62</v>
      </c>
      <c r="F377" s="13" t="s">
        <v>7</v>
      </c>
      <c r="H377" s="4">
        <v>3.0</v>
      </c>
      <c r="K377" s="13">
        <v>3.0</v>
      </c>
      <c r="L377" s="13">
        <v>60000.0</v>
      </c>
    </row>
    <row r="378">
      <c r="B378" s="11">
        <v>46106.0</v>
      </c>
      <c r="C378" s="13"/>
      <c r="D378" s="13"/>
      <c r="E378" s="4" t="s">
        <v>62</v>
      </c>
      <c r="F378" s="13" t="s">
        <v>8</v>
      </c>
      <c r="H378" s="4">
        <v>5.0</v>
      </c>
      <c r="K378" s="13">
        <v>5.0</v>
      </c>
      <c r="L378" s="13">
        <v>100000.0</v>
      </c>
    </row>
    <row r="379">
      <c r="B379" s="11">
        <v>46106.0</v>
      </c>
      <c r="C379" s="13"/>
      <c r="D379" s="13"/>
      <c r="E379" s="4" t="s">
        <v>62</v>
      </c>
      <c r="F379" s="13" t="s">
        <v>9</v>
      </c>
      <c r="H379" s="4">
        <v>6.0</v>
      </c>
      <c r="K379" s="13">
        <v>6.0</v>
      </c>
      <c r="L379" s="13">
        <v>120000.0</v>
      </c>
    </row>
    <row r="380">
      <c r="B380" s="11">
        <v>46106.0</v>
      </c>
      <c r="C380" s="13"/>
      <c r="D380" s="13"/>
      <c r="E380" s="4" t="s">
        <v>62</v>
      </c>
      <c r="F380" s="13" t="s">
        <v>10</v>
      </c>
      <c r="H380" s="4">
        <v>4.0</v>
      </c>
      <c r="K380" s="13">
        <v>4.0</v>
      </c>
      <c r="L380" s="13">
        <v>80000.0</v>
      </c>
    </row>
    <row r="381">
      <c r="B381" s="11">
        <v>46106.0</v>
      </c>
      <c r="C381" s="13"/>
      <c r="D381" s="13"/>
      <c r="E381" s="4" t="s">
        <v>62</v>
      </c>
      <c r="F381" s="13" t="s">
        <v>11</v>
      </c>
      <c r="H381" s="4">
        <v>2.0</v>
      </c>
      <c r="K381" s="13">
        <v>2.0</v>
      </c>
      <c r="L381" s="13">
        <v>40000.0</v>
      </c>
    </row>
    <row r="382">
      <c r="B382" s="11">
        <v>46106.0</v>
      </c>
      <c r="C382" s="13"/>
      <c r="D382" s="13"/>
      <c r="E382" s="4" t="s">
        <v>62</v>
      </c>
      <c r="F382" s="13" t="s">
        <v>12</v>
      </c>
      <c r="H382" s="4">
        <v>3.0</v>
      </c>
      <c r="K382" s="13">
        <v>3.0</v>
      </c>
      <c r="L382" s="13">
        <v>60000.0</v>
      </c>
    </row>
    <row r="383">
      <c r="B383" s="11">
        <v>46106.0</v>
      </c>
      <c r="C383" s="13"/>
      <c r="D383" s="13"/>
      <c r="E383" s="4" t="s">
        <v>62</v>
      </c>
      <c r="F383" s="13" t="s">
        <v>13</v>
      </c>
      <c r="H383" s="4">
        <v>5.0</v>
      </c>
      <c r="K383" s="13">
        <v>5.0</v>
      </c>
      <c r="L383" s="13">
        <v>100000.0</v>
      </c>
    </row>
    <row r="384">
      <c r="B384" s="11">
        <v>46106.0</v>
      </c>
      <c r="C384" s="13"/>
      <c r="D384" s="13"/>
      <c r="E384" s="4" t="s">
        <v>62</v>
      </c>
      <c r="F384" s="13" t="s">
        <v>14</v>
      </c>
      <c r="H384" s="4">
        <v>3.0</v>
      </c>
      <c r="K384" s="13">
        <v>3.0</v>
      </c>
      <c r="L384" s="13">
        <v>66000.0</v>
      </c>
    </row>
    <row r="385">
      <c r="B385" s="11">
        <v>46106.0</v>
      </c>
      <c r="C385" s="4" t="s">
        <v>113</v>
      </c>
      <c r="D385" s="4" t="s">
        <v>93</v>
      </c>
      <c r="E385" s="4" t="s">
        <v>62</v>
      </c>
      <c r="F385" s="13" t="s">
        <v>15</v>
      </c>
      <c r="H385" s="4">
        <v>25.0</v>
      </c>
      <c r="K385" s="13">
        <v>25.0</v>
      </c>
      <c r="L385" s="13">
        <v>500000.0</v>
      </c>
    </row>
    <row r="386">
      <c r="B386" s="11">
        <v>46106.0</v>
      </c>
      <c r="C386" s="4" t="s">
        <v>114</v>
      </c>
      <c r="D386" s="4" t="s">
        <v>93</v>
      </c>
      <c r="E386" s="4" t="s">
        <v>95</v>
      </c>
      <c r="F386" s="13" t="s">
        <v>4</v>
      </c>
      <c r="H386" s="4">
        <v>5.0</v>
      </c>
      <c r="K386" s="13">
        <v>5.0</v>
      </c>
      <c r="L386" s="13">
        <v>100000.0</v>
      </c>
    </row>
    <row r="387">
      <c r="B387" s="11">
        <v>46106.0</v>
      </c>
      <c r="C387" s="13"/>
      <c r="D387" s="13"/>
      <c r="E387" s="4" t="s">
        <v>95</v>
      </c>
      <c r="F387" s="13" t="s">
        <v>5</v>
      </c>
      <c r="H387" s="4">
        <v>4.0</v>
      </c>
      <c r="K387" s="13">
        <v>4.0</v>
      </c>
      <c r="L387" s="13">
        <v>80000.0</v>
      </c>
    </row>
    <row r="388">
      <c r="B388" s="11">
        <v>46106.0</v>
      </c>
      <c r="C388" s="13"/>
      <c r="D388" s="13"/>
      <c r="E388" s="4" t="s">
        <v>95</v>
      </c>
      <c r="F388" s="13" t="s">
        <v>6</v>
      </c>
      <c r="K388" s="13">
        <v>0.0</v>
      </c>
      <c r="L388" s="13">
        <v>0.0</v>
      </c>
    </row>
    <row r="389">
      <c r="B389" s="11">
        <v>46106.0</v>
      </c>
      <c r="C389" s="13"/>
      <c r="D389" s="13"/>
      <c r="E389" s="4" t="s">
        <v>95</v>
      </c>
      <c r="F389" s="13" t="s">
        <v>7</v>
      </c>
      <c r="H389" s="4">
        <v>3.0</v>
      </c>
      <c r="K389" s="13">
        <v>3.0</v>
      </c>
      <c r="L389" s="13">
        <v>60000.0</v>
      </c>
    </row>
    <row r="390">
      <c r="B390" s="11">
        <v>46106.0</v>
      </c>
      <c r="C390" s="13"/>
      <c r="D390" s="13"/>
      <c r="E390" s="4" t="s">
        <v>95</v>
      </c>
      <c r="F390" s="13" t="s">
        <v>8</v>
      </c>
      <c r="H390" s="4">
        <v>2.0</v>
      </c>
      <c r="K390" s="13">
        <v>2.0</v>
      </c>
      <c r="L390" s="13">
        <v>40000.0</v>
      </c>
    </row>
    <row r="391">
      <c r="B391" s="11">
        <v>46106.0</v>
      </c>
      <c r="C391" s="13"/>
      <c r="D391" s="13"/>
      <c r="E391" s="4" t="s">
        <v>95</v>
      </c>
      <c r="F391" s="13" t="s">
        <v>9</v>
      </c>
      <c r="H391" s="4">
        <v>4.0</v>
      </c>
      <c r="K391" s="13">
        <v>4.0</v>
      </c>
      <c r="L391" s="13">
        <v>80000.0</v>
      </c>
    </row>
    <row r="392">
      <c r="B392" s="11">
        <v>46106.0</v>
      </c>
      <c r="C392" s="13"/>
      <c r="D392" s="13"/>
      <c r="E392" s="4" t="s">
        <v>95</v>
      </c>
      <c r="F392" s="13" t="s">
        <v>10</v>
      </c>
      <c r="K392" s="13">
        <v>0.0</v>
      </c>
      <c r="L392" s="13">
        <v>0.0</v>
      </c>
    </row>
    <row r="393">
      <c r="B393" s="11">
        <v>46106.0</v>
      </c>
      <c r="C393" s="13"/>
      <c r="D393" s="13"/>
      <c r="E393" s="4" t="s">
        <v>95</v>
      </c>
      <c r="F393" s="13" t="s">
        <v>11</v>
      </c>
      <c r="K393" s="13">
        <v>0.0</v>
      </c>
      <c r="L393" s="13">
        <v>0.0</v>
      </c>
    </row>
    <row r="394">
      <c r="B394" s="11">
        <v>46106.0</v>
      </c>
      <c r="C394" s="13"/>
      <c r="D394" s="13"/>
      <c r="E394" s="4" t="s">
        <v>95</v>
      </c>
      <c r="F394" s="13" t="s">
        <v>12</v>
      </c>
      <c r="K394" s="13">
        <v>0.0</v>
      </c>
      <c r="L394" s="13">
        <v>0.0</v>
      </c>
    </row>
    <row r="395">
      <c r="B395" s="11">
        <v>46106.0</v>
      </c>
      <c r="C395" s="13"/>
      <c r="D395" s="13"/>
      <c r="E395" s="4" t="s">
        <v>95</v>
      </c>
      <c r="F395" s="13" t="s">
        <v>13</v>
      </c>
      <c r="H395" s="4">
        <v>4.0</v>
      </c>
      <c r="K395" s="13">
        <v>4.0</v>
      </c>
      <c r="L395" s="13">
        <v>80000.0</v>
      </c>
    </row>
    <row r="396">
      <c r="B396" s="11">
        <v>46106.0</v>
      </c>
      <c r="C396" s="13"/>
      <c r="D396" s="13"/>
      <c r="E396" s="4" t="s">
        <v>95</v>
      </c>
      <c r="F396" s="13" t="s">
        <v>14</v>
      </c>
      <c r="K396" s="13">
        <v>0.0</v>
      </c>
      <c r="L396" s="13">
        <v>0.0</v>
      </c>
    </row>
    <row r="397">
      <c r="B397" s="11">
        <v>46106.0</v>
      </c>
      <c r="C397" s="4" t="s">
        <v>114</v>
      </c>
      <c r="D397" s="4" t="s">
        <v>93</v>
      </c>
      <c r="E397" s="4" t="s">
        <v>95</v>
      </c>
      <c r="F397" s="13" t="s">
        <v>15</v>
      </c>
      <c r="H397" s="4">
        <v>20.0</v>
      </c>
      <c r="K397" s="13">
        <v>20.0</v>
      </c>
      <c r="L397" s="13">
        <v>400000.0</v>
      </c>
    </row>
    <row r="398">
      <c r="B398" s="11">
        <v>46106.0</v>
      </c>
      <c r="C398" s="4" t="s">
        <v>113</v>
      </c>
      <c r="D398" s="4" t="s">
        <v>80</v>
      </c>
      <c r="E398" s="4" t="s">
        <v>57</v>
      </c>
      <c r="F398" s="13" t="s">
        <v>4</v>
      </c>
      <c r="H398" s="4">
        <v>5.0</v>
      </c>
      <c r="I398" s="4">
        <v>5.0</v>
      </c>
      <c r="K398" s="13">
        <v>0.0</v>
      </c>
      <c r="L398" s="13">
        <v>0.0</v>
      </c>
    </row>
    <row r="399">
      <c r="B399" s="11">
        <v>46106.0</v>
      </c>
      <c r="C399" s="4" t="s">
        <v>113</v>
      </c>
      <c r="D399" s="4" t="s">
        <v>80</v>
      </c>
      <c r="E399" s="4" t="s">
        <v>85</v>
      </c>
      <c r="F399" s="13" t="s">
        <v>5</v>
      </c>
      <c r="H399" s="4">
        <v>4.0</v>
      </c>
      <c r="I399" s="4">
        <v>1.0</v>
      </c>
      <c r="K399" s="13">
        <v>3.0</v>
      </c>
      <c r="L399" s="13">
        <v>60000.0</v>
      </c>
    </row>
    <row r="400">
      <c r="B400" s="11">
        <v>46106.0</v>
      </c>
      <c r="C400" s="13"/>
      <c r="D400" s="13"/>
      <c r="E400" s="4" t="s">
        <v>85</v>
      </c>
      <c r="F400" s="13" t="s">
        <v>6</v>
      </c>
      <c r="H400" s="4">
        <v>4.0</v>
      </c>
      <c r="I400" s="4">
        <v>2.0</v>
      </c>
      <c r="K400" s="13">
        <v>2.0</v>
      </c>
      <c r="L400" s="13">
        <v>40000.0</v>
      </c>
    </row>
    <row r="401">
      <c r="B401" s="11">
        <v>46106.0</v>
      </c>
      <c r="C401" s="13"/>
      <c r="D401" s="13"/>
      <c r="E401" s="4" t="s">
        <v>85</v>
      </c>
      <c r="F401" s="13" t="s">
        <v>7</v>
      </c>
      <c r="H401" s="4">
        <v>3.0</v>
      </c>
      <c r="I401" s="4">
        <v>3.0</v>
      </c>
      <c r="K401" s="13">
        <v>0.0</v>
      </c>
      <c r="L401" s="13">
        <v>0.0</v>
      </c>
    </row>
    <row r="402">
      <c r="B402" s="11">
        <v>46106.0</v>
      </c>
      <c r="C402" s="13"/>
      <c r="D402" s="13"/>
      <c r="E402" s="4" t="s">
        <v>85</v>
      </c>
      <c r="F402" s="13" t="s">
        <v>8</v>
      </c>
      <c r="H402" s="4">
        <v>5.0</v>
      </c>
      <c r="K402" s="13">
        <v>5.0</v>
      </c>
      <c r="L402" s="13">
        <v>100000.0</v>
      </c>
    </row>
    <row r="403">
      <c r="B403" s="11">
        <v>46106.0</v>
      </c>
      <c r="C403" s="13"/>
      <c r="D403" s="13"/>
      <c r="E403" s="4" t="s">
        <v>85</v>
      </c>
      <c r="F403" s="13" t="s">
        <v>9</v>
      </c>
      <c r="H403" s="4">
        <v>5.0</v>
      </c>
      <c r="I403" s="4">
        <v>1.0</v>
      </c>
      <c r="K403" s="13">
        <v>4.0</v>
      </c>
      <c r="L403" s="13">
        <v>80000.0</v>
      </c>
    </row>
    <row r="404">
      <c r="B404" s="11">
        <v>46106.0</v>
      </c>
      <c r="C404" s="13"/>
      <c r="D404" s="13"/>
      <c r="E404" s="4" t="s">
        <v>85</v>
      </c>
      <c r="F404" s="13" t="s">
        <v>10</v>
      </c>
      <c r="H404" s="4">
        <v>4.0</v>
      </c>
      <c r="I404" s="4">
        <v>4.0</v>
      </c>
      <c r="K404" s="13">
        <v>0.0</v>
      </c>
      <c r="L404" s="13">
        <v>0.0</v>
      </c>
    </row>
    <row r="405">
      <c r="B405" s="11">
        <v>46106.0</v>
      </c>
      <c r="C405" s="13"/>
      <c r="D405" s="13"/>
      <c r="E405" s="4" t="s">
        <v>57</v>
      </c>
      <c r="F405" s="13" t="s">
        <v>11</v>
      </c>
      <c r="H405" s="4">
        <v>2.0</v>
      </c>
      <c r="I405" s="4">
        <v>1.0</v>
      </c>
      <c r="K405" s="13">
        <v>1.0</v>
      </c>
      <c r="L405" s="13">
        <v>20000.0</v>
      </c>
    </row>
    <row r="406">
      <c r="B406" s="11">
        <v>46106.0</v>
      </c>
      <c r="C406" s="13"/>
      <c r="D406" s="13"/>
      <c r="E406" s="4" t="s">
        <v>57</v>
      </c>
      <c r="F406" s="13" t="s">
        <v>12</v>
      </c>
      <c r="H406" s="4">
        <v>2.0</v>
      </c>
      <c r="K406" s="13">
        <v>2.0</v>
      </c>
      <c r="L406" s="13">
        <v>40000.0</v>
      </c>
    </row>
    <row r="407">
      <c r="B407" s="11">
        <v>46106.0</v>
      </c>
      <c r="C407" s="4" t="s">
        <v>113</v>
      </c>
      <c r="D407" s="13"/>
      <c r="E407" s="4" t="s">
        <v>57</v>
      </c>
      <c r="F407" s="13" t="s">
        <v>13</v>
      </c>
      <c r="H407" s="4">
        <v>1.0</v>
      </c>
      <c r="K407" s="13">
        <v>1.0</v>
      </c>
      <c r="L407" s="13">
        <v>20000.0</v>
      </c>
    </row>
    <row r="408">
      <c r="B408" s="11">
        <v>46106.0</v>
      </c>
      <c r="C408" s="4" t="s">
        <v>113</v>
      </c>
      <c r="D408" s="4" t="s">
        <v>80</v>
      </c>
      <c r="E408" s="4" t="s">
        <v>57</v>
      </c>
      <c r="F408" s="13" t="s">
        <v>14</v>
      </c>
      <c r="H408" s="4">
        <v>3.0</v>
      </c>
      <c r="I408" s="4">
        <v>1.0</v>
      </c>
      <c r="K408" s="13">
        <v>2.0</v>
      </c>
      <c r="L408" s="13">
        <v>44000.0</v>
      </c>
    </row>
    <row r="409">
      <c r="B409" s="11">
        <v>46106.0</v>
      </c>
      <c r="C409" s="4" t="s">
        <v>113</v>
      </c>
      <c r="D409" s="4" t="s">
        <v>80</v>
      </c>
      <c r="E409" s="4" t="s">
        <v>57</v>
      </c>
      <c r="F409" s="13" t="s">
        <v>15</v>
      </c>
      <c r="H409" s="4">
        <v>30.0</v>
      </c>
      <c r="I409" s="4">
        <v>8.0</v>
      </c>
      <c r="K409" s="13">
        <v>22.0</v>
      </c>
      <c r="L409" s="13">
        <v>440000.0</v>
      </c>
    </row>
    <row r="410">
      <c r="B410" s="11">
        <v>46106.0</v>
      </c>
      <c r="C410" s="4" t="s">
        <v>114</v>
      </c>
      <c r="D410" s="4" t="s">
        <v>80</v>
      </c>
      <c r="E410" s="4" t="s">
        <v>82</v>
      </c>
      <c r="F410" s="13" t="s">
        <v>4</v>
      </c>
      <c r="G410" s="13">
        <f t="shared" ref="G410:G469" si="11">I398</f>
        <v>5</v>
      </c>
      <c r="K410" s="13">
        <v>5.0</v>
      </c>
      <c r="L410" s="13">
        <v>100000.0</v>
      </c>
    </row>
    <row r="411">
      <c r="B411" s="11">
        <v>46106.0</v>
      </c>
      <c r="C411" s="4" t="s">
        <v>114</v>
      </c>
      <c r="D411" s="4" t="s">
        <v>80</v>
      </c>
      <c r="E411" s="4" t="s">
        <v>82</v>
      </c>
      <c r="F411" s="13" t="s">
        <v>5</v>
      </c>
      <c r="G411" s="13">
        <f t="shared" si="11"/>
        <v>1</v>
      </c>
      <c r="K411" s="13">
        <v>1.0</v>
      </c>
      <c r="L411" s="13">
        <v>20000.0</v>
      </c>
    </row>
    <row r="412">
      <c r="B412" s="11">
        <v>46106.0</v>
      </c>
      <c r="C412" s="4" t="s">
        <v>114</v>
      </c>
      <c r="D412" s="4" t="s">
        <v>80</v>
      </c>
      <c r="E412" s="4" t="s">
        <v>82</v>
      </c>
      <c r="F412" s="13" t="s">
        <v>6</v>
      </c>
      <c r="G412" s="13">
        <f t="shared" si="11"/>
        <v>2</v>
      </c>
      <c r="I412" s="4">
        <v>1.0</v>
      </c>
      <c r="K412" s="13">
        <v>1.0</v>
      </c>
      <c r="L412" s="13">
        <v>20000.0</v>
      </c>
    </row>
    <row r="413">
      <c r="B413" s="11">
        <v>46106.0</v>
      </c>
      <c r="C413" s="4" t="s">
        <v>114</v>
      </c>
      <c r="D413" s="4" t="s">
        <v>80</v>
      </c>
      <c r="E413" s="4" t="s">
        <v>82</v>
      </c>
      <c r="F413" s="13" t="s">
        <v>7</v>
      </c>
      <c r="G413" s="13">
        <f t="shared" si="11"/>
        <v>3</v>
      </c>
      <c r="I413" s="4">
        <v>1.0</v>
      </c>
      <c r="K413" s="13">
        <v>2.0</v>
      </c>
      <c r="L413" s="13">
        <v>40000.0</v>
      </c>
    </row>
    <row r="414">
      <c r="B414" s="11">
        <v>46106.0</v>
      </c>
      <c r="C414" s="4" t="s">
        <v>114</v>
      </c>
      <c r="D414" s="4" t="s">
        <v>80</v>
      </c>
      <c r="E414" s="4" t="s">
        <v>82</v>
      </c>
      <c r="F414" s="13" t="s">
        <v>8</v>
      </c>
      <c r="G414" s="13" t="str">
        <f t="shared" si="11"/>
        <v/>
      </c>
      <c r="H414" s="4">
        <v>2.0</v>
      </c>
      <c r="K414" s="13">
        <v>2.0</v>
      </c>
      <c r="L414" s="13">
        <v>40000.0</v>
      </c>
    </row>
    <row r="415">
      <c r="B415" s="11">
        <v>46106.0</v>
      </c>
      <c r="C415" s="4" t="s">
        <v>114</v>
      </c>
      <c r="D415" s="4" t="s">
        <v>80</v>
      </c>
      <c r="E415" s="4" t="s">
        <v>82</v>
      </c>
      <c r="F415" s="13" t="s">
        <v>9</v>
      </c>
      <c r="G415" s="13">
        <f t="shared" si="11"/>
        <v>1</v>
      </c>
      <c r="K415" s="13">
        <v>1.0</v>
      </c>
      <c r="L415" s="13">
        <v>20000.0</v>
      </c>
    </row>
    <row r="416">
      <c r="B416" s="11">
        <v>46106.0</v>
      </c>
      <c r="C416" s="4" t="s">
        <v>114</v>
      </c>
      <c r="D416" s="4" t="s">
        <v>80</v>
      </c>
      <c r="E416" s="4" t="s">
        <v>82</v>
      </c>
      <c r="F416" s="13" t="s">
        <v>10</v>
      </c>
      <c r="G416" s="13">
        <f t="shared" si="11"/>
        <v>4</v>
      </c>
      <c r="K416" s="13">
        <v>4.0</v>
      </c>
      <c r="L416" s="13">
        <v>80000.0</v>
      </c>
    </row>
    <row r="417">
      <c r="B417" s="11">
        <v>46106.0</v>
      </c>
      <c r="C417" s="4" t="s">
        <v>114</v>
      </c>
      <c r="D417" s="4" t="s">
        <v>80</v>
      </c>
      <c r="E417" s="4" t="s">
        <v>82</v>
      </c>
      <c r="F417" s="13" t="s">
        <v>11</v>
      </c>
      <c r="G417" s="13">
        <f t="shared" si="11"/>
        <v>1</v>
      </c>
      <c r="K417" s="13">
        <v>1.0</v>
      </c>
      <c r="L417" s="13">
        <v>20000.0</v>
      </c>
    </row>
    <row r="418">
      <c r="B418" s="11">
        <v>46106.0</v>
      </c>
      <c r="C418" s="4" t="s">
        <v>114</v>
      </c>
      <c r="D418" s="4" t="s">
        <v>80</v>
      </c>
      <c r="E418" s="4" t="s">
        <v>82</v>
      </c>
      <c r="F418" s="13" t="s">
        <v>12</v>
      </c>
      <c r="G418" s="13" t="str">
        <f t="shared" si="11"/>
        <v/>
      </c>
      <c r="K418" s="13">
        <v>0.0</v>
      </c>
      <c r="L418" s="13">
        <v>0.0</v>
      </c>
    </row>
    <row r="419">
      <c r="B419" s="11">
        <v>46106.0</v>
      </c>
      <c r="C419" s="4" t="s">
        <v>114</v>
      </c>
      <c r="D419" s="4" t="s">
        <v>80</v>
      </c>
      <c r="E419" s="4" t="s">
        <v>82</v>
      </c>
      <c r="F419" s="13" t="s">
        <v>13</v>
      </c>
      <c r="G419" s="13" t="str">
        <f t="shared" si="11"/>
        <v/>
      </c>
      <c r="K419" s="13">
        <v>0.0</v>
      </c>
      <c r="L419" s="13">
        <v>0.0</v>
      </c>
    </row>
    <row r="420">
      <c r="B420" s="11">
        <v>46106.0</v>
      </c>
      <c r="C420" s="4" t="s">
        <v>114</v>
      </c>
      <c r="D420" s="4" t="s">
        <v>80</v>
      </c>
      <c r="E420" s="4" t="s">
        <v>82</v>
      </c>
      <c r="F420" s="13" t="s">
        <v>14</v>
      </c>
      <c r="G420" s="13">
        <f t="shared" si="11"/>
        <v>1</v>
      </c>
      <c r="K420" s="13">
        <v>1.0</v>
      </c>
      <c r="L420" s="13">
        <v>22000.0</v>
      </c>
    </row>
    <row r="421">
      <c r="B421" s="11">
        <v>46106.0</v>
      </c>
      <c r="C421" s="4" t="s">
        <v>114</v>
      </c>
      <c r="D421" s="4" t="s">
        <v>80</v>
      </c>
      <c r="E421" s="4" t="s">
        <v>82</v>
      </c>
      <c r="F421" s="13" t="s">
        <v>15</v>
      </c>
      <c r="G421" s="13">
        <f t="shared" si="11"/>
        <v>8</v>
      </c>
      <c r="H421" s="4">
        <v>12.0</v>
      </c>
      <c r="I421" s="4">
        <v>3.0</v>
      </c>
      <c r="K421" s="13">
        <v>17.0</v>
      </c>
      <c r="L421" s="13">
        <v>340000.0</v>
      </c>
    </row>
    <row r="422">
      <c r="A422" s="13"/>
      <c r="B422" s="11">
        <v>46106.0</v>
      </c>
      <c r="C422" s="4" t="s">
        <v>113</v>
      </c>
      <c r="D422" s="4" t="s">
        <v>302</v>
      </c>
      <c r="E422" s="4" t="s">
        <v>299</v>
      </c>
      <c r="F422" s="13" t="s">
        <v>4</v>
      </c>
      <c r="G422" s="13" t="str">
        <f t="shared" si="11"/>
        <v/>
      </c>
      <c r="H422" s="13"/>
      <c r="I422" s="13"/>
      <c r="J422" s="13"/>
      <c r="K422" s="13">
        <v>0.0</v>
      </c>
      <c r="L422" s="13">
        <v>0.0</v>
      </c>
      <c r="M422" s="13"/>
      <c r="N422" s="13"/>
      <c r="O422" s="13"/>
      <c r="P422" s="13"/>
      <c r="Q422" s="13"/>
      <c r="R422" s="13"/>
      <c r="S422" s="13"/>
      <c r="T422" s="13"/>
      <c r="U422" s="13"/>
      <c r="V422" s="13"/>
      <c r="W422" s="13"/>
      <c r="X422" s="13"/>
      <c r="Y422" s="13"/>
      <c r="Z422" s="13"/>
      <c r="AA422" s="13"/>
      <c r="AB422" s="13"/>
      <c r="AC422" s="13"/>
    </row>
    <row r="423">
      <c r="B423" s="11">
        <v>46106.0</v>
      </c>
      <c r="C423" s="13"/>
      <c r="D423" s="13"/>
      <c r="E423" s="13"/>
      <c r="F423" s="13" t="s">
        <v>5</v>
      </c>
      <c r="G423" s="13" t="str">
        <f t="shared" si="11"/>
        <v/>
      </c>
      <c r="K423" s="13">
        <v>0.0</v>
      </c>
      <c r="L423" s="13">
        <v>0.0</v>
      </c>
    </row>
    <row r="424">
      <c r="B424" s="11">
        <v>46106.0</v>
      </c>
      <c r="C424" s="13"/>
      <c r="D424" s="13"/>
      <c r="E424" s="13"/>
      <c r="F424" s="13" t="s">
        <v>6</v>
      </c>
      <c r="G424" s="13">
        <f t="shared" si="11"/>
        <v>1</v>
      </c>
      <c r="K424" s="13">
        <v>1.0</v>
      </c>
      <c r="L424" s="13">
        <v>20000.0</v>
      </c>
    </row>
    <row r="425">
      <c r="B425" s="11">
        <v>46106.0</v>
      </c>
      <c r="C425" s="13"/>
      <c r="D425" s="13"/>
      <c r="E425" s="13"/>
      <c r="F425" s="13" t="s">
        <v>7</v>
      </c>
      <c r="G425" s="13">
        <f t="shared" si="11"/>
        <v>1</v>
      </c>
      <c r="K425" s="13">
        <v>1.0</v>
      </c>
      <c r="L425" s="13">
        <v>20000.0</v>
      </c>
    </row>
    <row r="426">
      <c r="B426" s="11">
        <v>46106.0</v>
      </c>
      <c r="C426" s="13"/>
      <c r="D426" s="13"/>
      <c r="E426" s="13"/>
      <c r="F426" s="13" t="s">
        <v>8</v>
      </c>
      <c r="G426" s="13" t="str">
        <f t="shared" si="11"/>
        <v/>
      </c>
      <c r="K426" s="13">
        <v>0.0</v>
      </c>
      <c r="L426" s="13">
        <v>0.0</v>
      </c>
    </row>
    <row r="427">
      <c r="B427" s="11">
        <v>46106.0</v>
      </c>
      <c r="C427" s="13"/>
      <c r="D427" s="13"/>
      <c r="E427" s="13"/>
      <c r="F427" s="13" t="s">
        <v>9</v>
      </c>
      <c r="G427" s="13" t="str">
        <f t="shared" si="11"/>
        <v/>
      </c>
      <c r="K427" s="13">
        <v>0.0</v>
      </c>
      <c r="L427" s="13">
        <v>0.0</v>
      </c>
    </row>
    <row r="428">
      <c r="B428" s="11">
        <v>46106.0</v>
      </c>
      <c r="C428" s="13"/>
      <c r="D428" s="13"/>
      <c r="E428" s="13"/>
      <c r="F428" s="13" t="s">
        <v>10</v>
      </c>
      <c r="G428" s="13" t="str">
        <f t="shared" si="11"/>
        <v/>
      </c>
      <c r="K428" s="13">
        <v>0.0</v>
      </c>
      <c r="L428" s="13">
        <v>0.0</v>
      </c>
    </row>
    <row r="429">
      <c r="B429" s="11">
        <v>46106.0</v>
      </c>
      <c r="C429" s="13"/>
      <c r="D429" s="13"/>
      <c r="E429" s="13"/>
      <c r="F429" s="13" t="s">
        <v>11</v>
      </c>
      <c r="G429" s="13" t="str">
        <f t="shared" si="11"/>
        <v/>
      </c>
      <c r="K429" s="13">
        <v>0.0</v>
      </c>
      <c r="L429" s="13">
        <v>0.0</v>
      </c>
    </row>
    <row r="430">
      <c r="B430" s="11">
        <v>46106.0</v>
      </c>
      <c r="C430" s="13"/>
      <c r="D430" s="13"/>
      <c r="E430" s="13"/>
      <c r="F430" s="13" t="s">
        <v>12</v>
      </c>
      <c r="G430" s="13" t="str">
        <f t="shared" si="11"/>
        <v/>
      </c>
      <c r="K430" s="13">
        <v>0.0</v>
      </c>
      <c r="L430" s="13">
        <v>0.0</v>
      </c>
    </row>
    <row r="431">
      <c r="B431" s="11">
        <v>46106.0</v>
      </c>
      <c r="C431" s="13"/>
      <c r="D431" s="13"/>
      <c r="E431" s="13"/>
      <c r="F431" s="13" t="s">
        <v>13</v>
      </c>
      <c r="G431" s="13" t="str">
        <f t="shared" si="11"/>
        <v/>
      </c>
      <c r="K431" s="13">
        <v>0.0</v>
      </c>
      <c r="L431" s="13">
        <v>0.0</v>
      </c>
    </row>
    <row r="432">
      <c r="B432" s="11">
        <v>46106.0</v>
      </c>
      <c r="C432" s="13"/>
      <c r="D432" s="13"/>
      <c r="E432" s="13"/>
      <c r="F432" s="13" t="s">
        <v>14</v>
      </c>
      <c r="G432" s="13" t="str">
        <f t="shared" si="11"/>
        <v/>
      </c>
      <c r="K432" s="13">
        <v>0.0</v>
      </c>
      <c r="L432" s="13">
        <v>0.0</v>
      </c>
    </row>
    <row r="433">
      <c r="B433" s="11">
        <v>46106.0</v>
      </c>
      <c r="C433" s="4" t="s">
        <v>113</v>
      </c>
      <c r="D433" s="4" t="s">
        <v>302</v>
      </c>
      <c r="E433" s="4" t="s">
        <v>56</v>
      </c>
      <c r="F433" s="13" t="s">
        <v>15</v>
      </c>
      <c r="G433" s="13">
        <f t="shared" si="11"/>
        <v>3</v>
      </c>
      <c r="K433" s="13">
        <v>3.0</v>
      </c>
      <c r="L433" s="13">
        <v>60000.0</v>
      </c>
    </row>
    <row r="434">
      <c r="B434" s="11">
        <v>46106.0</v>
      </c>
      <c r="C434" s="4" t="s">
        <v>114</v>
      </c>
      <c r="D434" s="4" t="s">
        <v>302</v>
      </c>
      <c r="E434" s="4" t="s">
        <v>62</v>
      </c>
      <c r="F434" s="13" t="s">
        <v>4</v>
      </c>
      <c r="G434" s="13" t="str">
        <f t="shared" si="11"/>
        <v/>
      </c>
      <c r="H434" s="4">
        <v>5.0</v>
      </c>
      <c r="I434" s="4">
        <v>5.0</v>
      </c>
      <c r="K434" s="13">
        <v>0.0</v>
      </c>
      <c r="L434" s="13">
        <v>0.0</v>
      </c>
    </row>
    <row r="435">
      <c r="B435" s="11">
        <v>46106.0</v>
      </c>
      <c r="C435" s="13"/>
      <c r="D435" s="13"/>
      <c r="E435" s="13"/>
      <c r="F435" s="13" t="s">
        <v>5</v>
      </c>
      <c r="G435" s="13" t="str">
        <f t="shared" si="11"/>
        <v/>
      </c>
      <c r="H435" s="4">
        <v>3.0</v>
      </c>
      <c r="I435" s="4">
        <v>2.0</v>
      </c>
      <c r="K435" s="13">
        <v>1.0</v>
      </c>
      <c r="L435" s="13">
        <v>20000.0</v>
      </c>
    </row>
    <row r="436">
      <c r="B436" s="11">
        <v>46106.0</v>
      </c>
      <c r="C436" s="13"/>
      <c r="D436" s="13"/>
      <c r="E436" s="13"/>
      <c r="F436" s="13" t="s">
        <v>6</v>
      </c>
      <c r="G436" s="13" t="str">
        <f t="shared" si="11"/>
        <v/>
      </c>
      <c r="H436" s="4">
        <v>3.0</v>
      </c>
      <c r="I436" s="4">
        <v>2.0</v>
      </c>
      <c r="K436" s="13">
        <v>1.0</v>
      </c>
      <c r="L436" s="13">
        <v>20000.0</v>
      </c>
    </row>
    <row r="437">
      <c r="B437" s="11">
        <v>46106.0</v>
      </c>
      <c r="C437" s="13"/>
      <c r="D437" s="13"/>
      <c r="E437" s="13"/>
      <c r="F437" s="13" t="s">
        <v>7</v>
      </c>
      <c r="G437" s="13" t="str">
        <f t="shared" si="11"/>
        <v/>
      </c>
      <c r="H437" s="4">
        <v>3.0</v>
      </c>
      <c r="I437" s="4">
        <v>3.0</v>
      </c>
      <c r="K437" s="13">
        <v>0.0</v>
      </c>
      <c r="L437" s="13">
        <v>0.0</v>
      </c>
    </row>
    <row r="438">
      <c r="B438" s="11">
        <v>46106.0</v>
      </c>
      <c r="C438" s="13"/>
      <c r="D438" s="13"/>
      <c r="E438" s="13"/>
      <c r="F438" s="13" t="s">
        <v>8</v>
      </c>
      <c r="G438" s="13" t="str">
        <f t="shared" si="11"/>
        <v/>
      </c>
      <c r="H438" s="4">
        <v>1.0</v>
      </c>
      <c r="K438" s="13">
        <v>1.0</v>
      </c>
      <c r="L438" s="13">
        <v>20000.0</v>
      </c>
    </row>
    <row r="439">
      <c r="B439" s="11">
        <v>46106.0</v>
      </c>
      <c r="C439" s="13"/>
      <c r="D439" s="13"/>
      <c r="E439" s="13"/>
      <c r="F439" s="13" t="s">
        <v>9</v>
      </c>
      <c r="G439" s="13" t="str">
        <f t="shared" si="11"/>
        <v/>
      </c>
      <c r="K439" s="13">
        <v>0.0</v>
      </c>
      <c r="L439" s="13">
        <v>0.0</v>
      </c>
    </row>
    <row r="440">
      <c r="B440" s="11">
        <v>46106.0</v>
      </c>
      <c r="C440" s="13"/>
      <c r="D440" s="13"/>
      <c r="E440" s="13"/>
      <c r="F440" s="13" t="s">
        <v>10</v>
      </c>
      <c r="G440" s="13" t="str">
        <f t="shared" si="11"/>
        <v/>
      </c>
      <c r="H440" s="4">
        <v>1.0</v>
      </c>
      <c r="K440" s="13">
        <v>1.0</v>
      </c>
      <c r="L440" s="13">
        <v>20000.0</v>
      </c>
    </row>
    <row r="441">
      <c r="B441" s="11">
        <v>46106.0</v>
      </c>
      <c r="C441" s="13"/>
      <c r="D441" s="13"/>
      <c r="E441" s="13"/>
      <c r="F441" s="13" t="s">
        <v>11</v>
      </c>
      <c r="G441" s="13" t="str">
        <f t="shared" si="11"/>
        <v/>
      </c>
      <c r="K441" s="13">
        <v>0.0</v>
      </c>
      <c r="L441" s="13">
        <v>0.0</v>
      </c>
    </row>
    <row r="442">
      <c r="B442" s="11">
        <v>46106.0</v>
      </c>
      <c r="C442" s="13"/>
      <c r="D442" s="13"/>
      <c r="E442" s="13"/>
      <c r="F442" s="13" t="s">
        <v>12</v>
      </c>
      <c r="G442" s="13" t="str">
        <f t="shared" si="11"/>
        <v/>
      </c>
      <c r="K442" s="13">
        <v>0.0</v>
      </c>
      <c r="L442" s="13">
        <v>0.0</v>
      </c>
    </row>
    <row r="443">
      <c r="B443" s="11">
        <v>46106.0</v>
      </c>
      <c r="C443" s="13"/>
      <c r="D443" s="13"/>
      <c r="E443" s="13"/>
      <c r="F443" s="13" t="s">
        <v>13</v>
      </c>
      <c r="G443" s="13" t="str">
        <f t="shared" si="11"/>
        <v/>
      </c>
      <c r="H443" s="4">
        <v>3.0</v>
      </c>
      <c r="I443" s="4">
        <v>3.0</v>
      </c>
      <c r="K443" s="13">
        <v>0.0</v>
      </c>
      <c r="L443" s="13">
        <v>0.0</v>
      </c>
    </row>
    <row r="444">
      <c r="B444" s="11">
        <v>46106.0</v>
      </c>
      <c r="C444" s="4" t="s">
        <v>114</v>
      </c>
      <c r="D444" s="4" t="s">
        <v>302</v>
      </c>
      <c r="E444" s="4" t="s">
        <v>62</v>
      </c>
      <c r="F444" s="13" t="s">
        <v>14</v>
      </c>
      <c r="G444" s="13" t="str">
        <f t="shared" si="11"/>
        <v/>
      </c>
      <c r="K444" s="13">
        <v>0.0</v>
      </c>
      <c r="L444" s="13">
        <v>0.0</v>
      </c>
    </row>
    <row r="445">
      <c r="B445" s="11">
        <v>46106.0</v>
      </c>
      <c r="C445" s="4" t="s">
        <v>114</v>
      </c>
      <c r="D445" s="4" t="s">
        <v>302</v>
      </c>
      <c r="E445" s="4" t="s">
        <v>62</v>
      </c>
      <c r="F445" s="13" t="s">
        <v>15</v>
      </c>
      <c r="G445" s="13" t="str">
        <f t="shared" si="11"/>
        <v/>
      </c>
      <c r="H445" s="4">
        <v>10.0</v>
      </c>
      <c r="I445" s="4">
        <v>6.0</v>
      </c>
      <c r="K445" s="13">
        <v>4.0</v>
      </c>
      <c r="L445" s="13">
        <v>80000.0</v>
      </c>
    </row>
    <row r="446">
      <c r="A446" s="13"/>
      <c r="B446" s="11">
        <v>46106.0</v>
      </c>
      <c r="C446" s="4" t="s">
        <v>113</v>
      </c>
      <c r="D446" s="4" t="s">
        <v>304</v>
      </c>
      <c r="E446" s="4" t="s">
        <v>299</v>
      </c>
      <c r="F446" s="13" t="s">
        <v>4</v>
      </c>
      <c r="G446" s="13">
        <f t="shared" si="11"/>
        <v>5</v>
      </c>
      <c r="H446" s="13"/>
      <c r="I446" s="13"/>
      <c r="J446" s="13"/>
      <c r="K446" s="13">
        <v>0.0</v>
      </c>
      <c r="L446" s="13">
        <v>0.0</v>
      </c>
      <c r="M446" s="13"/>
      <c r="N446" s="13"/>
      <c r="O446" s="13"/>
      <c r="P446" s="13"/>
      <c r="Q446" s="13"/>
      <c r="R446" s="13"/>
      <c r="S446" s="13"/>
      <c r="T446" s="13"/>
      <c r="U446" s="13"/>
      <c r="V446" s="13"/>
      <c r="W446" s="13"/>
      <c r="X446" s="13"/>
      <c r="Y446" s="13"/>
      <c r="Z446" s="13"/>
      <c r="AA446" s="13"/>
      <c r="AB446" s="13"/>
      <c r="AC446" s="13"/>
    </row>
    <row r="447">
      <c r="A447" s="13"/>
      <c r="B447" s="11">
        <v>46106.0</v>
      </c>
      <c r="C447" s="13"/>
      <c r="D447" s="13"/>
      <c r="E447" s="4" t="s">
        <v>299</v>
      </c>
      <c r="F447" s="13" t="s">
        <v>5</v>
      </c>
      <c r="G447" s="13">
        <f t="shared" si="11"/>
        <v>2</v>
      </c>
      <c r="H447" s="13"/>
      <c r="I447" s="13"/>
      <c r="J447" s="13"/>
      <c r="K447" s="13">
        <v>0.0</v>
      </c>
      <c r="L447" s="13">
        <v>0.0</v>
      </c>
      <c r="M447" s="13"/>
      <c r="N447" s="13"/>
      <c r="O447" s="13"/>
      <c r="P447" s="13"/>
      <c r="Q447" s="13"/>
      <c r="R447" s="13"/>
      <c r="S447" s="13"/>
      <c r="T447" s="13"/>
      <c r="U447" s="13"/>
      <c r="V447" s="13"/>
      <c r="W447" s="13"/>
      <c r="X447" s="13"/>
      <c r="Y447" s="13"/>
      <c r="Z447" s="13"/>
      <c r="AA447" s="13"/>
      <c r="AB447" s="13"/>
      <c r="AC447" s="13"/>
    </row>
    <row r="448">
      <c r="A448" s="13"/>
      <c r="B448" s="11">
        <v>46106.0</v>
      </c>
      <c r="C448" s="13"/>
      <c r="D448" s="13"/>
      <c r="E448" s="4" t="s">
        <v>299</v>
      </c>
      <c r="F448" s="13" t="s">
        <v>6</v>
      </c>
      <c r="G448" s="13">
        <f t="shared" si="11"/>
        <v>2</v>
      </c>
      <c r="H448" s="13"/>
      <c r="I448" s="13"/>
      <c r="J448" s="13"/>
      <c r="K448" s="13">
        <v>0.0</v>
      </c>
      <c r="L448" s="13">
        <v>0.0</v>
      </c>
      <c r="M448" s="13"/>
      <c r="N448" s="13"/>
      <c r="O448" s="13"/>
      <c r="P448" s="13"/>
      <c r="Q448" s="13"/>
      <c r="R448" s="13"/>
      <c r="S448" s="13"/>
      <c r="T448" s="13"/>
      <c r="U448" s="13"/>
      <c r="V448" s="13"/>
      <c r="W448" s="13"/>
      <c r="X448" s="13"/>
      <c r="Y448" s="13"/>
      <c r="Z448" s="13"/>
      <c r="AA448" s="13"/>
      <c r="AB448" s="13"/>
      <c r="AC448" s="13"/>
    </row>
    <row r="449">
      <c r="A449" s="13"/>
      <c r="B449" s="11">
        <v>46106.0</v>
      </c>
      <c r="C449" s="13"/>
      <c r="D449" s="13"/>
      <c r="E449" s="4" t="s">
        <v>299</v>
      </c>
      <c r="F449" s="13" t="s">
        <v>7</v>
      </c>
      <c r="G449" s="13">
        <f t="shared" si="11"/>
        <v>3</v>
      </c>
      <c r="H449" s="13"/>
      <c r="I449" s="13"/>
      <c r="J449" s="13"/>
      <c r="K449" s="13">
        <v>0.0</v>
      </c>
      <c r="L449" s="13">
        <v>0.0</v>
      </c>
      <c r="M449" s="13"/>
      <c r="N449" s="13"/>
      <c r="O449" s="13"/>
      <c r="P449" s="13"/>
      <c r="Q449" s="13"/>
      <c r="R449" s="13"/>
      <c r="S449" s="13"/>
      <c r="T449" s="13"/>
      <c r="U449" s="13"/>
      <c r="V449" s="13"/>
      <c r="W449" s="13"/>
      <c r="X449" s="13"/>
      <c r="Y449" s="13"/>
      <c r="Z449" s="13"/>
      <c r="AA449" s="13"/>
      <c r="AB449" s="13"/>
      <c r="AC449" s="13"/>
    </row>
    <row r="450">
      <c r="A450" s="13"/>
      <c r="B450" s="11">
        <v>46106.0</v>
      </c>
      <c r="C450" s="13"/>
      <c r="D450" s="13"/>
      <c r="E450" s="4" t="s">
        <v>299</v>
      </c>
      <c r="F450" s="13" t="s">
        <v>8</v>
      </c>
      <c r="G450" s="13" t="str">
        <f t="shared" si="11"/>
        <v/>
      </c>
      <c r="H450" s="13"/>
      <c r="I450" s="13"/>
      <c r="J450" s="13"/>
      <c r="K450" s="13">
        <v>0.0</v>
      </c>
      <c r="L450" s="13">
        <v>0.0</v>
      </c>
      <c r="M450" s="13"/>
      <c r="N450" s="13"/>
      <c r="O450" s="13"/>
      <c r="P450" s="13"/>
      <c r="Q450" s="13"/>
      <c r="R450" s="13"/>
      <c r="S450" s="13"/>
      <c r="T450" s="13"/>
      <c r="U450" s="13"/>
      <c r="V450" s="13"/>
      <c r="W450" s="13"/>
      <c r="X450" s="13"/>
      <c r="Y450" s="13"/>
      <c r="Z450" s="13"/>
      <c r="AA450" s="13"/>
      <c r="AB450" s="13"/>
      <c r="AC450" s="13"/>
    </row>
    <row r="451">
      <c r="A451" s="13"/>
      <c r="B451" s="11">
        <v>46106.0</v>
      </c>
      <c r="C451" s="13"/>
      <c r="D451" s="13"/>
      <c r="E451" s="4" t="s">
        <v>299</v>
      </c>
      <c r="F451" s="13" t="s">
        <v>9</v>
      </c>
      <c r="G451" s="13" t="str">
        <f t="shared" si="11"/>
        <v/>
      </c>
      <c r="H451" s="13"/>
      <c r="I451" s="13"/>
      <c r="J451" s="13"/>
      <c r="K451" s="13">
        <v>0.0</v>
      </c>
      <c r="L451" s="13">
        <v>0.0</v>
      </c>
      <c r="M451" s="13"/>
      <c r="N451" s="13"/>
      <c r="O451" s="13"/>
      <c r="P451" s="13"/>
      <c r="Q451" s="13"/>
      <c r="R451" s="13"/>
      <c r="S451" s="13"/>
      <c r="T451" s="13"/>
      <c r="U451" s="13"/>
      <c r="V451" s="13"/>
      <c r="W451" s="13"/>
      <c r="X451" s="13"/>
      <c r="Y451" s="13"/>
      <c r="Z451" s="13"/>
      <c r="AA451" s="13"/>
      <c r="AB451" s="13"/>
      <c r="AC451" s="13"/>
    </row>
    <row r="452">
      <c r="A452" s="13"/>
      <c r="B452" s="11">
        <v>46106.0</v>
      </c>
      <c r="C452" s="13"/>
      <c r="D452" s="13"/>
      <c r="E452" s="4" t="s">
        <v>299</v>
      </c>
      <c r="F452" s="13" t="s">
        <v>10</v>
      </c>
      <c r="G452" s="13" t="str">
        <f t="shared" si="11"/>
        <v/>
      </c>
      <c r="H452" s="13"/>
      <c r="I452" s="13"/>
      <c r="J452" s="13"/>
      <c r="K452" s="13">
        <v>0.0</v>
      </c>
      <c r="L452" s="13">
        <v>0.0</v>
      </c>
      <c r="M452" s="13"/>
      <c r="N452" s="13"/>
      <c r="O452" s="13"/>
      <c r="P452" s="13"/>
      <c r="Q452" s="13"/>
      <c r="R452" s="13"/>
      <c r="S452" s="13"/>
      <c r="T452" s="13"/>
      <c r="U452" s="13"/>
      <c r="V452" s="13"/>
      <c r="W452" s="13"/>
      <c r="X452" s="13"/>
      <c r="Y452" s="13"/>
      <c r="Z452" s="13"/>
      <c r="AA452" s="13"/>
      <c r="AB452" s="13"/>
      <c r="AC452" s="13"/>
    </row>
    <row r="453">
      <c r="A453" s="13"/>
      <c r="B453" s="11">
        <v>46106.0</v>
      </c>
      <c r="C453" s="13"/>
      <c r="D453" s="13"/>
      <c r="E453" s="4" t="s">
        <v>299</v>
      </c>
      <c r="F453" s="13" t="s">
        <v>11</v>
      </c>
      <c r="G453" s="13" t="str">
        <f t="shared" si="11"/>
        <v/>
      </c>
      <c r="H453" s="13"/>
      <c r="I453" s="13"/>
      <c r="J453" s="13"/>
      <c r="K453" s="13">
        <v>0.0</v>
      </c>
      <c r="L453" s="13">
        <v>0.0</v>
      </c>
      <c r="M453" s="13"/>
      <c r="N453" s="13"/>
      <c r="O453" s="13"/>
      <c r="P453" s="13"/>
      <c r="Q453" s="13"/>
      <c r="R453" s="13"/>
      <c r="S453" s="13"/>
      <c r="T453" s="13"/>
      <c r="U453" s="13"/>
      <c r="V453" s="13"/>
      <c r="W453" s="13"/>
      <c r="X453" s="13"/>
      <c r="Y453" s="13"/>
      <c r="Z453" s="13"/>
      <c r="AA453" s="13"/>
      <c r="AB453" s="13"/>
      <c r="AC453" s="13"/>
    </row>
    <row r="454">
      <c r="A454" s="13"/>
      <c r="B454" s="11">
        <v>46106.0</v>
      </c>
      <c r="C454" s="13"/>
      <c r="D454" s="13"/>
      <c r="E454" s="4" t="s">
        <v>299</v>
      </c>
      <c r="F454" s="13" t="s">
        <v>12</v>
      </c>
      <c r="G454" s="13" t="str">
        <f t="shared" si="11"/>
        <v/>
      </c>
      <c r="H454" s="13"/>
      <c r="I454" s="13"/>
      <c r="J454" s="13"/>
      <c r="K454" s="13">
        <v>0.0</v>
      </c>
      <c r="L454" s="13">
        <v>0.0</v>
      </c>
      <c r="M454" s="13"/>
      <c r="N454" s="13"/>
      <c r="O454" s="13"/>
      <c r="P454" s="13"/>
      <c r="Q454" s="13"/>
      <c r="R454" s="13"/>
      <c r="S454" s="13"/>
      <c r="T454" s="13"/>
      <c r="U454" s="13"/>
      <c r="V454" s="13"/>
      <c r="W454" s="13"/>
      <c r="X454" s="13"/>
      <c r="Y454" s="13"/>
      <c r="Z454" s="13"/>
      <c r="AA454" s="13"/>
      <c r="AB454" s="13"/>
      <c r="AC454" s="13"/>
    </row>
    <row r="455">
      <c r="A455" s="13"/>
      <c r="B455" s="11">
        <v>46106.0</v>
      </c>
      <c r="C455" s="13"/>
      <c r="D455" s="13"/>
      <c r="E455" s="4" t="s">
        <v>299</v>
      </c>
      <c r="F455" s="13" t="s">
        <v>13</v>
      </c>
      <c r="G455" s="13">
        <f t="shared" si="11"/>
        <v>3</v>
      </c>
      <c r="H455" s="13"/>
      <c r="I455" s="13"/>
      <c r="J455" s="13"/>
      <c r="K455" s="13">
        <v>0.0</v>
      </c>
      <c r="L455" s="13">
        <v>0.0</v>
      </c>
      <c r="M455" s="13"/>
      <c r="N455" s="13"/>
      <c r="O455" s="13"/>
      <c r="P455" s="13"/>
      <c r="Q455" s="13"/>
      <c r="R455" s="13"/>
      <c r="S455" s="13"/>
      <c r="T455" s="13"/>
      <c r="U455" s="13"/>
      <c r="V455" s="13"/>
      <c r="W455" s="13"/>
      <c r="X455" s="13"/>
      <c r="Y455" s="13"/>
      <c r="Z455" s="13"/>
      <c r="AA455" s="13"/>
      <c r="AB455" s="13"/>
      <c r="AC455" s="13"/>
    </row>
    <row r="456">
      <c r="A456" s="13"/>
      <c r="B456" s="11">
        <v>46106.0</v>
      </c>
      <c r="C456" s="13"/>
      <c r="D456" s="13"/>
      <c r="E456" s="4" t="s">
        <v>299</v>
      </c>
      <c r="F456" s="13" t="s">
        <v>14</v>
      </c>
      <c r="G456" s="13" t="str">
        <f t="shared" si="11"/>
        <v/>
      </c>
      <c r="H456" s="13"/>
      <c r="I456" s="13"/>
      <c r="J456" s="13"/>
      <c r="K456" s="13">
        <v>0.0</v>
      </c>
      <c r="L456" s="13">
        <v>0.0</v>
      </c>
      <c r="M456" s="13"/>
      <c r="N456" s="13"/>
      <c r="O456" s="13"/>
      <c r="P456" s="13"/>
      <c r="Q456" s="13"/>
      <c r="R456" s="13"/>
      <c r="S456" s="13"/>
      <c r="T456" s="13"/>
      <c r="U456" s="13"/>
      <c r="V456" s="13"/>
      <c r="W456" s="13"/>
      <c r="X456" s="13"/>
      <c r="Y456" s="13"/>
      <c r="Z456" s="13"/>
      <c r="AA456" s="13"/>
      <c r="AB456" s="13"/>
      <c r="AC456" s="13"/>
    </row>
    <row r="457">
      <c r="A457" s="13"/>
      <c r="B457" s="11">
        <v>46106.0</v>
      </c>
      <c r="C457" s="4" t="s">
        <v>113</v>
      </c>
      <c r="D457" s="4" t="s">
        <v>304</v>
      </c>
      <c r="E457" s="4" t="s">
        <v>299</v>
      </c>
      <c r="F457" s="13" t="s">
        <v>15</v>
      </c>
      <c r="G457" s="13">
        <f t="shared" si="11"/>
        <v>6</v>
      </c>
      <c r="H457" s="13"/>
      <c r="I457" s="13"/>
      <c r="J457" s="13"/>
      <c r="K457" s="13">
        <v>0.0</v>
      </c>
      <c r="L457" s="13">
        <v>0.0</v>
      </c>
      <c r="M457" s="13"/>
      <c r="N457" s="13"/>
      <c r="O457" s="13"/>
      <c r="P457" s="13"/>
      <c r="Q457" s="13"/>
      <c r="R457" s="13"/>
      <c r="S457" s="13"/>
      <c r="T457" s="13"/>
      <c r="U457" s="13"/>
      <c r="V457" s="13"/>
      <c r="W457" s="13"/>
      <c r="X457" s="13"/>
      <c r="Y457" s="13"/>
      <c r="Z457" s="13"/>
      <c r="AA457" s="13"/>
      <c r="AB457" s="13"/>
      <c r="AC457" s="13"/>
    </row>
    <row r="458">
      <c r="B458" s="11">
        <v>46106.0</v>
      </c>
      <c r="C458" s="4" t="s">
        <v>114</v>
      </c>
      <c r="D458" s="4" t="s">
        <v>304</v>
      </c>
      <c r="E458" s="4" t="s">
        <v>57</v>
      </c>
      <c r="F458" s="13" t="s">
        <v>4</v>
      </c>
      <c r="G458" s="13" t="str">
        <f t="shared" si="11"/>
        <v/>
      </c>
      <c r="H458" s="4">
        <v>3.0</v>
      </c>
      <c r="K458" s="13">
        <v>3.0</v>
      </c>
      <c r="L458" s="13">
        <v>60000.0</v>
      </c>
    </row>
    <row r="459">
      <c r="B459" s="11">
        <v>46106.0</v>
      </c>
      <c r="C459" s="4" t="s">
        <v>114</v>
      </c>
      <c r="D459" s="4" t="s">
        <v>304</v>
      </c>
      <c r="E459" s="4" t="s">
        <v>53</v>
      </c>
      <c r="F459" s="13" t="s">
        <v>5</v>
      </c>
      <c r="G459" s="13" t="str">
        <f t="shared" si="11"/>
        <v/>
      </c>
      <c r="H459" s="4">
        <v>3.0</v>
      </c>
      <c r="K459" s="13">
        <v>3.0</v>
      </c>
      <c r="L459" s="13">
        <v>60000.0</v>
      </c>
    </row>
    <row r="460">
      <c r="B460" s="11">
        <v>46106.0</v>
      </c>
      <c r="C460" s="4" t="s">
        <v>114</v>
      </c>
      <c r="D460" s="4" t="s">
        <v>304</v>
      </c>
      <c r="E460" s="4" t="s">
        <v>53</v>
      </c>
      <c r="F460" s="13" t="s">
        <v>6</v>
      </c>
      <c r="G460" s="13" t="str">
        <f t="shared" si="11"/>
        <v/>
      </c>
      <c r="H460" s="4">
        <v>3.0</v>
      </c>
      <c r="I460" s="4">
        <v>1.0</v>
      </c>
      <c r="K460" s="13">
        <v>2.0</v>
      </c>
      <c r="L460" s="13">
        <v>40000.0</v>
      </c>
    </row>
    <row r="461">
      <c r="B461" s="11">
        <v>46106.0</v>
      </c>
      <c r="C461" s="4" t="s">
        <v>114</v>
      </c>
      <c r="D461" s="4" t="s">
        <v>304</v>
      </c>
      <c r="E461" s="4" t="s">
        <v>53</v>
      </c>
      <c r="F461" s="13" t="s">
        <v>7</v>
      </c>
      <c r="G461" s="13" t="str">
        <f t="shared" si="11"/>
        <v/>
      </c>
      <c r="K461" s="13">
        <v>0.0</v>
      </c>
      <c r="L461" s="13">
        <v>0.0</v>
      </c>
    </row>
    <row r="462">
      <c r="B462" s="11">
        <v>46106.0</v>
      </c>
      <c r="C462" s="4" t="s">
        <v>114</v>
      </c>
      <c r="D462" s="4" t="s">
        <v>304</v>
      </c>
      <c r="E462" s="4" t="s">
        <v>57</v>
      </c>
      <c r="F462" s="13" t="s">
        <v>8</v>
      </c>
      <c r="G462" s="13" t="str">
        <f t="shared" si="11"/>
        <v/>
      </c>
      <c r="H462" s="4">
        <v>3.0</v>
      </c>
      <c r="K462" s="13">
        <v>3.0</v>
      </c>
      <c r="L462" s="13">
        <v>60000.0</v>
      </c>
    </row>
    <row r="463">
      <c r="B463" s="11">
        <v>46106.0</v>
      </c>
      <c r="C463" s="4" t="s">
        <v>114</v>
      </c>
      <c r="D463" s="4" t="s">
        <v>304</v>
      </c>
      <c r="E463" s="4" t="s">
        <v>53</v>
      </c>
      <c r="F463" s="13" t="s">
        <v>9</v>
      </c>
      <c r="G463" s="13" t="str">
        <f t="shared" si="11"/>
        <v/>
      </c>
      <c r="H463" s="4">
        <v>3.0</v>
      </c>
      <c r="K463" s="13">
        <v>3.0</v>
      </c>
      <c r="L463" s="13">
        <v>60000.0</v>
      </c>
    </row>
    <row r="464">
      <c r="B464" s="11">
        <v>46106.0</v>
      </c>
      <c r="C464" s="4" t="s">
        <v>114</v>
      </c>
      <c r="D464" s="4" t="s">
        <v>304</v>
      </c>
      <c r="E464" s="4" t="s">
        <v>57</v>
      </c>
      <c r="F464" s="13" t="s">
        <v>10</v>
      </c>
      <c r="G464" s="13" t="str">
        <f t="shared" si="11"/>
        <v/>
      </c>
      <c r="H464" s="4">
        <v>3.0</v>
      </c>
      <c r="I464" s="4">
        <v>2.0</v>
      </c>
      <c r="K464" s="13">
        <v>1.0</v>
      </c>
      <c r="L464" s="13">
        <v>20000.0</v>
      </c>
    </row>
    <row r="465">
      <c r="B465" s="11">
        <v>46106.0</v>
      </c>
      <c r="C465" s="4" t="s">
        <v>114</v>
      </c>
      <c r="D465" s="4" t="s">
        <v>304</v>
      </c>
      <c r="E465" s="4" t="s">
        <v>53</v>
      </c>
      <c r="F465" s="13" t="s">
        <v>11</v>
      </c>
      <c r="G465" s="13" t="str">
        <f t="shared" si="11"/>
        <v/>
      </c>
      <c r="H465" s="4">
        <v>2.0</v>
      </c>
      <c r="I465" s="4">
        <v>1.0</v>
      </c>
      <c r="K465" s="13">
        <v>1.0</v>
      </c>
      <c r="L465" s="13">
        <v>20000.0</v>
      </c>
    </row>
    <row r="466">
      <c r="B466" s="11">
        <v>46106.0</v>
      </c>
      <c r="C466" s="4" t="s">
        <v>114</v>
      </c>
      <c r="D466" s="4" t="s">
        <v>304</v>
      </c>
      <c r="E466" s="4" t="s">
        <v>57</v>
      </c>
      <c r="F466" s="13" t="s">
        <v>12</v>
      </c>
      <c r="G466" s="13" t="str">
        <f t="shared" si="11"/>
        <v/>
      </c>
      <c r="K466" s="13">
        <v>0.0</v>
      </c>
      <c r="L466" s="13">
        <v>0.0</v>
      </c>
    </row>
    <row r="467">
      <c r="B467" s="11">
        <v>46106.0</v>
      </c>
      <c r="C467" s="4" t="s">
        <v>114</v>
      </c>
      <c r="D467" s="4" t="s">
        <v>304</v>
      </c>
      <c r="E467" s="4" t="s">
        <v>57</v>
      </c>
      <c r="F467" s="13" t="s">
        <v>13</v>
      </c>
      <c r="G467" s="13" t="str">
        <f t="shared" si="11"/>
        <v/>
      </c>
      <c r="H467" s="4">
        <v>2.0</v>
      </c>
      <c r="K467" s="13">
        <v>2.0</v>
      </c>
      <c r="L467" s="13">
        <v>40000.0</v>
      </c>
    </row>
    <row r="468">
      <c r="B468" s="11">
        <v>46106.0</v>
      </c>
      <c r="C468" s="4" t="s">
        <v>114</v>
      </c>
      <c r="D468" s="4" t="s">
        <v>304</v>
      </c>
      <c r="E468" s="4" t="s">
        <v>57</v>
      </c>
      <c r="F468" s="13" t="s">
        <v>14</v>
      </c>
      <c r="G468" s="13" t="str">
        <f t="shared" si="11"/>
        <v/>
      </c>
      <c r="H468" s="4">
        <v>2.0</v>
      </c>
      <c r="K468" s="13">
        <v>2.0</v>
      </c>
      <c r="L468" s="13">
        <v>44000.0</v>
      </c>
    </row>
    <row r="469">
      <c r="B469" s="11">
        <v>46106.0</v>
      </c>
      <c r="C469" s="4" t="s">
        <v>114</v>
      </c>
      <c r="D469" s="4" t="s">
        <v>304</v>
      </c>
      <c r="E469" s="4" t="s">
        <v>57</v>
      </c>
      <c r="F469" s="13" t="s">
        <v>15</v>
      </c>
      <c r="G469" s="13" t="str">
        <f t="shared" si="11"/>
        <v/>
      </c>
      <c r="H469" s="4">
        <v>25.0</v>
      </c>
      <c r="I469" s="4">
        <v>11.0</v>
      </c>
      <c r="K469" s="13">
        <v>14.0</v>
      </c>
      <c r="L469" s="13">
        <v>280000.0</v>
      </c>
    </row>
    <row r="470">
      <c r="B470" s="11">
        <f>B469+1</f>
        <v>46107</v>
      </c>
      <c r="C470" s="4" t="s">
        <v>113</v>
      </c>
      <c r="D470" s="4" t="s">
        <v>89</v>
      </c>
      <c r="E470" s="4" t="s">
        <v>82</v>
      </c>
      <c r="F470" s="13" t="s">
        <v>4</v>
      </c>
      <c r="H470" s="4">
        <v>5.0</v>
      </c>
      <c r="K470" s="13">
        <v>5.0</v>
      </c>
      <c r="L470" s="13">
        <v>100000.0</v>
      </c>
    </row>
    <row r="471">
      <c r="B471" s="11">
        <v>46107.0</v>
      </c>
      <c r="C471" s="4" t="s">
        <v>113</v>
      </c>
      <c r="D471" s="4" t="s">
        <v>89</v>
      </c>
      <c r="E471" s="4" t="s">
        <v>82</v>
      </c>
      <c r="F471" s="13" t="s">
        <v>5</v>
      </c>
      <c r="H471" s="4">
        <v>5.0</v>
      </c>
      <c r="K471" s="13">
        <v>5.0</v>
      </c>
      <c r="L471" s="13">
        <v>100000.0</v>
      </c>
    </row>
    <row r="472">
      <c r="B472" s="11">
        <v>46107.0</v>
      </c>
      <c r="C472" s="4" t="s">
        <v>113</v>
      </c>
      <c r="D472" s="4" t="s">
        <v>89</v>
      </c>
      <c r="E472" s="4" t="s">
        <v>82</v>
      </c>
      <c r="F472" s="13" t="s">
        <v>6</v>
      </c>
      <c r="H472" s="4">
        <v>4.0</v>
      </c>
      <c r="K472" s="13">
        <v>4.0</v>
      </c>
      <c r="L472" s="13">
        <v>80000.0</v>
      </c>
    </row>
    <row r="473">
      <c r="B473" s="11">
        <v>46107.0</v>
      </c>
      <c r="C473" s="4" t="s">
        <v>113</v>
      </c>
      <c r="D473" s="4" t="s">
        <v>89</v>
      </c>
      <c r="E473" s="4" t="s">
        <v>82</v>
      </c>
      <c r="F473" s="13" t="s">
        <v>7</v>
      </c>
      <c r="H473" s="4">
        <v>5.0</v>
      </c>
      <c r="K473" s="13">
        <v>5.0</v>
      </c>
      <c r="L473" s="13">
        <v>100000.0</v>
      </c>
    </row>
    <row r="474">
      <c r="B474" s="11">
        <v>46107.0</v>
      </c>
      <c r="C474" s="4" t="s">
        <v>113</v>
      </c>
      <c r="D474" s="4" t="s">
        <v>89</v>
      </c>
      <c r="E474" s="4" t="s">
        <v>82</v>
      </c>
      <c r="F474" s="13" t="s">
        <v>8</v>
      </c>
      <c r="H474" s="4">
        <v>5.0</v>
      </c>
      <c r="K474" s="13">
        <v>5.0</v>
      </c>
      <c r="L474" s="13">
        <v>100000.0</v>
      </c>
    </row>
    <row r="475">
      <c r="B475" s="11">
        <v>46107.0</v>
      </c>
      <c r="C475" s="4" t="s">
        <v>113</v>
      </c>
      <c r="D475" s="4" t="s">
        <v>89</v>
      </c>
      <c r="E475" s="4" t="s">
        <v>82</v>
      </c>
      <c r="F475" s="13" t="s">
        <v>9</v>
      </c>
      <c r="H475" s="4">
        <v>6.0</v>
      </c>
      <c r="K475" s="13">
        <v>6.0</v>
      </c>
      <c r="L475" s="13">
        <v>120000.0</v>
      </c>
    </row>
    <row r="476">
      <c r="B476" s="11">
        <v>46107.0</v>
      </c>
      <c r="C476" s="4" t="s">
        <v>113</v>
      </c>
      <c r="D476" s="4" t="s">
        <v>89</v>
      </c>
      <c r="E476" s="4" t="s">
        <v>82</v>
      </c>
      <c r="F476" s="13" t="s">
        <v>10</v>
      </c>
      <c r="H476" s="4">
        <v>5.0</v>
      </c>
      <c r="K476" s="13">
        <v>5.0</v>
      </c>
      <c r="L476" s="13">
        <v>100000.0</v>
      </c>
    </row>
    <row r="477">
      <c r="B477" s="11">
        <v>46107.0</v>
      </c>
      <c r="C477" s="4" t="s">
        <v>113</v>
      </c>
      <c r="D477" s="4" t="s">
        <v>89</v>
      </c>
      <c r="E477" s="4" t="s">
        <v>82</v>
      </c>
      <c r="F477" s="13" t="s">
        <v>11</v>
      </c>
      <c r="H477" s="4">
        <v>3.0</v>
      </c>
      <c r="K477" s="13">
        <v>3.0</v>
      </c>
      <c r="L477" s="13">
        <v>60000.0</v>
      </c>
    </row>
    <row r="478">
      <c r="B478" s="11">
        <v>46107.0</v>
      </c>
      <c r="C478" s="4" t="s">
        <v>113</v>
      </c>
      <c r="D478" s="4" t="s">
        <v>89</v>
      </c>
      <c r="E478" s="4" t="s">
        <v>82</v>
      </c>
      <c r="F478" s="13" t="s">
        <v>12</v>
      </c>
      <c r="H478" s="4">
        <v>4.0</v>
      </c>
      <c r="K478" s="13">
        <v>4.0</v>
      </c>
      <c r="L478" s="13">
        <v>80000.0</v>
      </c>
    </row>
    <row r="479">
      <c r="B479" s="11">
        <v>46107.0</v>
      </c>
      <c r="C479" s="4" t="s">
        <v>113</v>
      </c>
      <c r="D479" s="4" t="s">
        <v>89</v>
      </c>
      <c r="E479" s="4" t="s">
        <v>82</v>
      </c>
      <c r="F479" s="13" t="s">
        <v>13</v>
      </c>
      <c r="H479" s="4">
        <v>5.0</v>
      </c>
      <c r="K479" s="13">
        <v>5.0</v>
      </c>
      <c r="L479" s="13">
        <v>100000.0</v>
      </c>
    </row>
    <row r="480">
      <c r="B480" s="11">
        <v>46107.0</v>
      </c>
      <c r="C480" s="4" t="s">
        <v>113</v>
      </c>
      <c r="D480" s="4" t="s">
        <v>89</v>
      </c>
      <c r="E480" s="4" t="s">
        <v>82</v>
      </c>
      <c r="F480" s="13" t="s">
        <v>14</v>
      </c>
      <c r="H480" s="4">
        <v>4.0</v>
      </c>
      <c r="K480" s="13">
        <v>4.0</v>
      </c>
      <c r="L480" s="13">
        <v>88000.0</v>
      </c>
    </row>
    <row r="481">
      <c r="B481" s="11">
        <v>46107.0</v>
      </c>
      <c r="C481" s="4" t="s">
        <v>113</v>
      </c>
      <c r="D481" s="4" t="s">
        <v>89</v>
      </c>
      <c r="E481" s="4" t="s">
        <v>82</v>
      </c>
      <c r="F481" s="13" t="s">
        <v>15</v>
      </c>
      <c r="H481" s="4">
        <v>30.0</v>
      </c>
      <c r="K481" s="13">
        <v>30.0</v>
      </c>
      <c r="L481" s="13">
        <v>600000.0</v>
      </c>
    </row>
    <row r="482">
      <c r="B482" s="11">
        <v>46107.0</v>
      </c>
      <c r="C482" s="4" t="s">
        <v>114</v>
      </c>
      <c r="D482" s="4" t="s">
        <v>89</v>
      </c>
      <c r="E482" s="13"/>
      <c r="F482" s="13" t="s">
        <v>4</v>
      </c>
      <c r="K482" s="13">
        <v>0.0</v>
      </c>
      <c r="L482" s="13">
        <v>0.0</v>
      </c>
    </row>
    <row r="483">
      <c r="B483" s="11">
        <v>46107.0</v>
      </c>
      <c r="C483" s="4" t="s">
        <v>114</v>
      </c>
      <c r="D483" s="4" t="s">
        <v>89</v>
      </c>
      <c r="E483" s="13"/>
      <c r="F483" s="13" t="s">
        <v>5</v>
      </c>
      <c r="K483" s="13">
        <v>0.0</v>
      </c>
      <c r="L483" s="13">
        <v>0.0</v>
      </c>
    </row>
    <row r="484">
      <c r="B484" s="11">
        <v>46107.0</v>
      </c>
      <c r="C484" s="4" t="s">
        <v>114</v>
      </c>
      <c r="D484" s="4" t="s">
        <v>89</v>
      </c>
      <c r="E484" s="13"/>
      <c r="F484" s="13" t="s">
        <v>6</v>
      </c>
      <c r="K484" s="13">
        <v>0.0</v>
      </c>
      <c r="L484" s="13">
        <v>0.0</v>
      </c>
    </row>
    <row r="485">
      <c r="B485" s="11">
        <v>46107.0</v>
      </c>
      <c r="C485" s="4" t="s">
        <v>114</v>
      </c>
      <c r="D485" s="4" t="s">
        <v>89</v>
      </c>
      <c r="E485" s="13"/>
      <c r="F485" s="13" t="s">
        <v>7</v>
      </c>
      <c r="K485" s="13">
        <v>0.0</v>
      </c>
      <c r="L485" s="13">
        <v>0.0</v>
      </c>
    </row>
    <row r="486">
      <c r="B486" s="11">
        <v>46107.0</v>
      </c>
      <c r="C486" s="4" t="s">
        <v>114</v>
      </c>
      <c r="D486" s="4" t="s">
        <v>89</v>
      </c>
      <c r="E486" s="13"/>
      <c r="F486" s="13" t="s">
        <v>8</v>
      </c>
      <c r="K486" s="13">
        <v>0.0</v>
      </c>
      <c r="L486" s="13">
        <v>0.0</v>
      </c>
    </row>
    <row r="487">
      <c r="B487" s="11">
        <v>46107.0</v>
      </c>
      <c r="C487" s="4" t="s">
        <v>114</v>
      </c>
      <c r="D487" s="4" t="s">
        <v>89</v>
      </c>
      <c r="E487" s="13"/>
      <c r="F487" s="13" t="s">
        <v>9</v>
      </c>
      <c r="K487" s="13">
        <v>0.0</v>
      </c>
      <c r="L487" s="13">
        <v>0.0</v>
      </c>
    </row>
    <row r="488">
      <c r="B488" s="11">
        <v>46107.0</v>
      </c>
      <c r="C488" s="4" t="s">
        <v>114</v>
      </c>
      <c r="D488" s="4" t="s">
        <v>89</v>
      </c>
      <c r="E488" s="13"/>
      <c r="F488" s="13" t="s">
        <v>10</v>
      </c>
      <c r="K488" s="13">
        <v>0.0</v>
      </c>
      <c r="L488" s="13">
        <v>0.0</v>
      </c>
    </row>
    <row r="489">
      <c r="B489" s="11">
        <v>46107.0</v>
      </c>
      <c r="C489" s="4" t="s">
        <v>114</v>
      </c>
      <c r="D489" s="4" t="s">
        <v>89</v>
      </c>
      <c r="E489" s="13"/>
      <c r="F489" s="13" t="s">
        <v>11</v>
      </c>
      <c r="K489" s="13">
        <v>0.0</v>
      </c>
      <c r="L489" s="13">
        <v>0.0</v>
      </c>
    </row>
    <row r="490">
      <c r="B490" s="11">
        <v>46107.0</v>
      </c>
      <c r="C490" s="4" t="s">
        <v>114</v>
      </c>
      <c r="D490" s="4" t="s">
        <v>89</v>
      </c>
      <c r="E490" s="13"/>
      <c r="F490" s="13" t="s">
        <v>12</v>
      </c>
      <c r="K490" s="13">
        <v>0.0</v>
      </c>
      <c r="L490" s="13">
        <v>0.0</v>
      </c>
    </row>
    <row r="491">
      <c r="B491" s="11">
        <v>46107.0</v>
      </c>
      <c r="C491" s="4" t="s">
        <v>114</v>
      </c>
      <c r="D491" s="4" t="s">
        <v>89</v>
      </c>
      <c r="E491" s="13"/>
      <c r="F491" s="13" t="s">
        <v>13</v>
      </c>
      <c r="K491" s="13">
        <v>0.0</v>
      </c>
      <c r="L491" s="13">
        <v>0.0</v>
      </c>
    </row>
    <row r="492">
      <c r="B492" s="11">
        <v>46107.0</v>
      </c>
      <c r="C492" s="4" t="s">
        <v>114</v>
      </c>
      <c r="D492" s="4" t="s">
        <v>89</v>
      </c>
      <c r="E492" s="13"/>
      <c r="F492" s="13" t="s">
        <v>14</v>
      </c>
      <c r="K492" s="13">
        <v>0.0</v>
      </c>
      <c r="L492" s="13">
        <v>0.0</v>
      </c>
    </row>
    <row r="493">
      <c r="B493" s="11">
        <v>46107.0</v>
      </c>
      <c r="C493" s="4" t="s">
        <v>114</v>
      </c>
      <c r="D493" s="4" t="s">
        <v>89</v>
      </c>
      <c r="E493" s="13"/>
      <c r="F493" s="13" t="s">
        <v>15</v>
      </c>
      <c r="K493" s="13">
        <v>0.0</v>
      </c>
      <c r="L493" s="13">
        <v>0.0</v>
      </c>
    </row>
    <row r="494">
      <c r="B494" s="11">
        <v>46107.0</v>
      </c>
      <c r="C494" s="4" t="s">
        <v>113</v>
      </c>
      <c r="D494" s="4" t="s">
        <v>81</v>
      </c>
      <c r="E494" s="4" t="s">
        <v>71</v>
      </c>
      <c r="F494" s="13" t="s">
        <v>4</v>
      </c>
      <c r="H494" s="4">
        <v>5.0</v>
      </c>
      <c r="K494" s="13">
        <v>5.0</v>
      </c>
      <c r="L494" s="13">
        <v>100000.0</v>
      </c>
    </row>
    <row r="495">
      <c r="B495" s="11">
        <v>46107.0</v>
      </c>
      <c r="C495" s="4" t="s">
        <v>113</v>
      </c>
      <c r="D495" s="4" t="s">
        <v>81</v>
      </c>
      <c r="E495" s="4" t="s">
        <v>71</v>
      </c>
      <c r="F495" s="13" t="s">
        <v>5</v>
      </c>
      <c r="H495" s="4">
        <v>3.0</v>
      </c>
      <c r="K495" s="13">
        <v>3.0</v>
      </c>
      <c r="L495" s="13">
        <v>60000.0</v>
      </c>
    </row>
    <row r="496">
      <c r="B496" s="11">
        <v>46107.0</v>
      </c>
      <c r="C496" s="4" t="s">
        <v>113</v>
      </c>
      <c r="D496" s="4" t="s">
        <v>81</v>
      </c>
      <c r="E496" s="4" t="s">
        <v>71</v>
      </c>
      <c r="F496" s="13" t="s">
        <v>6</v>
      </c>
      <c r="H496" s="4">
        <v>3.0</v>
      </c>
      <c r="K496" s="13">
        <v>3.0</v>
      </c>
      <c r="L496" s="13">
        <v>60000.0</v>
      </c>
    </row>
    <row r="497">
      <c r="B497" s="11">
        <v>46107.0</v>
      </c>
      <c r="C497" s="4" t="s">
        <v>113</v>
      </c>
      <c r="D497" s="4" t="s">
        <v>81</v>
      </c>
      <c r="E497" s="4" t="s">
        <v>71</v>
      </c>
      <c r="F497" s="13" t="s">
        <v>7</v>
      </c>
      <c r="H497" s="4">
        <v>3.0</v>
      </c>
      <c r="K497" s="13">
        <v>3.0</v>
      </c>
      <c r="L497" s="13">
        <v>60000.0</v>
      </c>
    </row>
    <row r="498">
      <c r="B498" s="11">
        <v>46107.0</v>
      </c>
      <c r="C498" s="4" t="s">
        <v>113</v>
      </c>
      <c r="D498" s="4" t="s">
        <v>81</v>
      </c>
      <c r="E498" s="4" t="s">
        <v>71</v>
      </c>
      <c r="F498" s="13" t="s">
        <v>8</v>
      </c>
      <c r="H498" s="4">
        <v>5.0</v>
      </c>
      <c r="K498" s="13">
        <v>5.0</v>
      </c>
      <c r="L498" s="13">
        <v>100000.0</v>
      </c>
    </row>
    <row r="499">
      <c r="B499" s="11">
        <v>46107.0</v>
      </c>
      <c r="C499" s="4" t="s">
        <v>113</v>
      </c>
      <c r="D499" s="4" t="s">
        <v>81</v>
      </c>
      <c r="E499" s="4" t="s">
        <v>71</v>
      </c>
      <c r="F499" s="13" t="s">
        <v>9</v>
      </c>
      <c r="H499" s="4">
        <v>5.0</v>
      </c>
      <c r="K499" s="13">
        <v>5.0</v>
      </c>
      <c r="L499" s="13">
        <v>100000.0</v>
      </c>
    </row>
    <row r="500">
      <c r="B500" s="11">
        <v>46107.0</v>
      </c>
      <c r="C500" s="4" t="s">
        <v>113</v>
      </c>
      <c r="D500" s="4" t="s">
        <v>81</v>
      </c>
      <c r="E500" s="4" t="s">
        <v>71</v>
      </c>
      <c r="F500" s="13" t="s">
        <v>10</v>
      </c>
      <c r="H500" s="4">
        <v>3.0</v>
      </c>
      <c r="K500" s="13">
        <v>3.0</v>
      </c>
      <c r="L500" s="13">
        <v>60000.0</v>
      </c>
    </row>
    <row r="501">
      <c r="B501" s="11">
        <v>46107.0</v>
      </c>
      <c r="C501" s="4" t="s">
        <v>113</v>
      </c>
      <c r="D501" s="4" t="s">
        <v>81</v>
      </c>
      <c r="E501" s="4" t="s">
        <v>71</v>
      </c>
      <c r="F501" s="13" t="s">
        <v>11</v>
      </c>
      <c r="H501" s="4">
        <v>3.0</v>
      </c>
      <c r="K501" s="13">
        <v>3.0</v>
      </c>
      <c r="L501" s="13">
        <v>60000.0</v>
      </c>
    </row>
    <row r="502">
      <c r="B502" s="11">
        <v>46107.0</v>
      </c>
      <c r="C502" s="4" t="s">
        <v>113</v>
      </c>
      <c r="D502" s="4" t="s">
        <v>81</v>
      </c>
      <c r="E502" s="4" t="s">
        <v>71</v>
      </c>
      <c r="F502" s="13" t="s">
        <v>12</v>
      </c>
      <c r="H502" s="4">
        <v>3.0</v>
      </c>
      <c r="K502" s="13">
        <v>3.0</v>
      </c>
      <c r="L502" s="13">
        <v>60000.0</v>
      </c>
    </row>
    <row r="503">
      <c r="B503" s="11">
        <v>46107.0</v>
      </c>
      <c r="C503" s="4" t="s">
        <v>113</v>
      </c>
      <c r="D503" s="4" t="s">
        <v>81</v>
      </c>
      <c r="E503" s="4" t="s">
        <v>71</v>
      </c>
      <c r="F503" s="13" t="s">
        <v>13</v>
      </c>
      <c r="H503" s="4">
        <v>4.0</v>
      </c>
      <c r="K503" s="13">
        <v>4.0</v>
      </c>
      <c r="L503" s="13">
        <v>80000.0</v>
      </c>
    </row>
    <row r="504">
      <c r="B504" s="11">
        <v>46107.0</v>
      </c>
      <c r="C504" s="4" t="s">
        <v>113</v>
      </c>
      <c r="D504" s="4" t="s">
        <v>81</v>
      </c>
      <c r="E504" s="4" t="s">
        <v>71</v>
      </c>
      <c r="F504" s="13" t="s">
        <v>14</v>
      </c>
      <c r="H504" s="4">
        <v>3.0</v>
      </c>
      <c r="K504" s="13">
        <v>3.0</v>
      </c>
      <c r="L504" s="13">
        <v>66000.0</v>
      </c>
    </row>
    <row r="505">
      <c r="B505" s="11">
        <v>46107.0</v>
      </c>
      <c r="C505" s="4" t="s">
        <v>113</v>
      </c>
      <c r="D505" s="4" t="s">
        <v>81</v>
      </c>
      <c r="E505" s="4" t="s">
        <v>71</v>
      </c>
      <c r="F505" s="13" t="s">
        <v>15</v>
      </c>
      <c r="H505" s="4">
        <v>30.0</v>
      </c>
      <c r="K505" s="13">
        <v>30.0</v>
      </c>
      <c r="L505" s="13">
        <v>600000.0</v>
      </c>
    </row>
    <row r="506">
      <c r="B506" s="11">
        <v>46107.0</v>
      </c>
      <c r="C506" s="4" t="s">
        <v>114</v>
      </c>
      <c r="D506" s="4" t="s">
        <v>81</v>
      </c>
      <c r="E506" s="13"/>
      <c r="F506" s="13" t="s">
        <v>4</v>
      </c>
      <c r="G506" s="13" t="str">
        <f t="shared" ref="G506:G517" si="12">I494</f>
        <v/>
      </c>
      <c r="K506" s="13">
        <v>0.0</v>
      </c>
      <c r="L506" s="13">
        <v>0.0</v>
      </c>
    </row>
    <row r="507">
      <c r="B507" s="11">
        <v>46107.0</v>
      </c>
      <c r="C507" s="4" t="s">
        <v>114</v>
      </c>
      <c r="D507" s="4" t="s">
        <v>81</v>
      </c>
      <c r="E507" s="13"/>
      <c r="F507" s="13" t="s">
        <v>5</v>
      </c>
      <c r="G507" s="13" t="str">
        <f t="shared" si="12"/>
        <v/>
      </c>
      <c r="K507" s="13">
        <v>0.0</v>
      </c>
      <c r="L507" s="13">
        <v>0.0</v>
      </c>
    </row>
    <row r="508">
      <c r="B508" s="11">
        <v>46107.0</v>
      </c>
      <c r="C508" s="4" t="s">
        <v>114</v>
      </c>
      <c r="D508" s="4" t="s">
        <v>81</v>
      </c>
      <c r="E508" s="13"/>
      <c r="F508" s="13" t="s">
        <v>6</v>
      </c>
      <c r="G508" s="13" t="str">
        <f t="shared" si="12"/>
        <v/>
      </c>
      <c r="K508" s="13">
        <v>0.0</v>
      </c>
      <c r="L508" s="13">
        <v>0.0</v>
      </c>
    </row>
    <row r="509">
      <c r="B509" s="11">
        <v>46107.0</v>
      </c>
      <c r="C509" s="4" t="s">
        <v>114</v>
      </c>
      <c r="D509" s="4" t="s">
        <v>81</v>
      </c>
      <c r="E509" s="13"/>
      <c r="F509" s="13" t="s">
        <v>7</v>
      </c>
      <c r="G509" s="13" t="str">
        <f t="shared" si="12"/>
        <v/>
      </c>
      <c r="K509" s="13">
        <v>0.0</v>
      </c>
      <c r="L509" s="13">
        <v>0.0</v>
      </c>
    </row>
    <row r="510">
      <c r="B510" s="11">
        <v>46107.0</v>
      </c>
      <c r="C510" s="4" t="s">
        <v>114</v>
      </c>
      <c r="D510" s="4" t="s">
        <v>81</v>
      </c>
      <c r="E510" s="13"/>
      <c r="F510" s="13" t="s">
        <v>8</v>
      </c>
      <c r="G510" s="13" t="str">
        <f t="shared" si="12"/>
        <v/>
      </c>
      <c r="K510" s="13">
        <v>0.0</v>
      </c>
      <c r="L510" s="13">
        <v>0.0</v>
      </c>
    </row>
    <row r="511">
      <c r="B511" s="11">
        <v>46107.0</v>
      </c>
      <c r="C511" s="4" t="s">
        <v>114</v>
      </c>
      <c r="D511" s="4" t="s">
        <v>81</v>
      </c>
      <c r="E511" s="13"/>
      <c r="F511" s="13" t="s">
        <v>9</v>
      </c>
      <c r="G511" s="13" t="str">
        <f t="shared" si="12"/>
        <v/>
      </c>
      <c r="K511" s="13">
        <v>0.0</v>
      </c>
      <c r="L511" s="13">
        <v>0.0</v>
      </c>
    </row>
    <row r="512">
      <c r="B512" s="11">
        <v>46107.0</v>
      </c>
      <c r="C512" s="4" t="s">
        <v>114</v>
      </c>
      <c r="D512" s="4" t="s">
        <v>81</v>
      </c>
      <c r="E512" s="13"/>
      <c r="F512" s="13" t="s">
        <v>10</v>
      </c>
      <c r="G512" s="13" t="str">
        <f t="shared" si="12"/>
        <v/>
      </c>
      <c r="K512" s="13">
        <v>0.0</v>
      </c>
      <c r="L512" s="13">
        <v>0.0</v>
      </c>
    </row>
    <row r="513">
      <c r="B513" s="11">
        <v>46107.0</v>
      </c>
      <c r="C513" s="4" t="s">
        <v>114</v>
      </c>
      <c r="D513" s="4" t="s">
        <v>81</v>
      </c>
      <c r="E513" s="13"/>
      <c r="F513" s="13" t="s">
        <v>11</v>
      </c>
      <c r="G513" s="13" t="str">
        <f t="shared" si="12"/>
        <v/>
      </c>
      <c r="K513" s="13">
        <v>0.0</v>
      </c>
      <c r="L513" s="13">
        <v>0.0</v>
      </c>
    </row>
    <row r="514">
      <c r="B514" s="11">
        <v>46107.0</v>
      </c>
      <c r="C514" s="4" t="s">
        <v>114</v>
      </c>
      <c r="D514" s="4" t="s">
        <v>81</v>
      </c>
      <c r="E514" s="13"/>
      <c r="F514" s="13" t="s">
        <v>12</v>
      </c>
      <c r="G514" s="13" t="str">
        <f t="shared" si="12"/>
        <v/>
      </c>
      <c r="K514" s="13">
        <v>0.0</v>
      </c>
      <c r="L514" s="13">
        <v>0.0</v>
      </c>
    </row>
    <row r="515">
      <c r="B515" s="11">
        <v>46107.0</v>
      </c>
      <c r="C515" s="4" t="s">
        <v>114</v>
      </c>
      <c r="D515" s="4" t="s">
        <v>81</v>
      </c>
      <c r="E515" s="13"/>
      <c r="F515" s="13" t="s">
        <v>13</v>
      </c>
      <c r="G515" s="13" t="str">
        <f t="shared" si="12"/>
        <v/>
      </c>
      <c r="K515" s="13">
        <v>0.0</v>
      </c>
      <c r="L515" s="13">
        <v>0.0</v>
      </c>
    </row>
    <row r="516">
      <c r="B516" s="11">
        <v>46107.0</v>
      </c>
      <c r="C516" s="4" t="s">
        <v>114</v>
      </c>
      <c r="D516" s="4" t="s">
        <v>81</v>
      </c>
      <c r="E516" s="13"/>
      <c r="F516" s="13" t="s">
        <v>14</v>
      </c>
      <c r="G516" s="13" t="str">
        <f t="shared" si="12"/>
        <v/>
      </c>
      <c r="K516" s="13">
        <v>0.0</v>
      </c>
      <c r="L516" s="13">
        <v>0.0</v>
      </c>
    </row>
    <row r="517">
      <c r="B517" s="11">
        <v>46107.0</v>
      </c>
      <c r="C517" s="4" t="s">
        <v>114</v>
      </c>
      <c r="D517" s="4" t="s">
        <v>81</v>
      </c>
      <c r="E517" s="13"/>
      <c r="F517" s="13" t="s">
        <v>15</v>
      </c>
      <c r="G517" s="13" t="str">
        <f t="shared" si="12"/>
        <v/>
      </c>
      <c r="K517" s="13">
        <v>0.0</v>
      </c>
      <c r="L517" s="13">
        <v>0.0</v>
      </c>
    </row>
    <row r="518">
      <c r="B518" s="11">
        <v>46107.0</v>
      </c>
      <c r="C518" s="4" t="s">
        <v>113</v>
      </c>
      <c r="D518" s="4" t="s">
        <v>93</v>
      </c>
      <c r="E518" s="4" t="s">
        <v>95</v>
      </c>
      <c r="F518" s="13" t="s">
        <v>4</v>
      </c>
      <c r="H518" s="4">
        <v>6.0</v>
      </c>
      <c r="I518" s="4">
        <v>1.0</v>
      </c>
      <c r="K518" s="13">
        <v>5.0</v>
      </c>
      <c r="L518" s="13">
        <v>100000.0</v>
      </c>
    </row>
    <row r="519">
      <c r="B519" s="11">
        <v>46107.0</v>
      </c>
      <c r="C519" s="4" t="s">
        <v>113</v>
      </c>
      <c r="D519" s="4" t="s">
        <v>93</v>
      </c>
      <c r="E519" s="4" t="s">
        <v>95</v>
      </c>
      <c r="F519" s="13" t="s">
        <v>5</v>
      </c>
      <c r="H519" s="4">
        <v>4.0</v>
      </c>
      <c r="I519" s="4">
        <v>1.0</v>
      </c>
      <c r="K519" s="13">
        <v>3.0</v>
      </c>
      <c r="L519" s="13">
        <v>60000.0</v>
      </c>
    </row>
    <row r="520">
      <c r="B520" s="11">
        <v>46107.0</v>
      </c>
      <c r="C520" s="4" t="s">
        <v>113</v>
      </c>
      <c r="D520" s="4" t="s">
        <v>93</v>
      </c>
      <c r="E520" s="4" t="s">
        <v>95</v>
      </c>
      <c r="F520" s="13" t="s">
        <v>6</v>
      </c>
      <c r="H520" s="4">
        <v>4.0</v>
      </c>
      <c r="I520" s="4">
        <v>2.0</v>
      </c>
      <c r="K520" s="13">
        <v>2.0</v>
      </c>
      <c r="L520" s="13">
        <v>40000.0</v>
      </c>
    </row>
    <row r="521">
      <c r="B521" s="11">
        <v>46107.0</v>
      </c>
      <c r="C521" s="4" t="s">
        <v>113</v>
      </c>
      <c r="D521" s="4" t="s">
        <v>93</v>
      </c>
      <c r="E521" s="4" t="s">
        <v>95</v>
      </c>
      <c r="F521" s="13" t="s">
        <v>7</v>
      </c>
      <c r="H521" s="4">
        <v>3.0</v>
      </c>
      <c r="K521" s="13">
        <v>3.0</v>
      </c>
      <c r="L521" s="13">
        <v>60000.0</v>
      </c>
    </row>
    <row r="522">
      <c r="B522" s="11">
        <v>46107.0</v>
      </c>
      <c r="C522" s="4" t="s">
        <v>113</v>
      </c>
      <c r="D522" s="4" t="s">
        <v>93</v>
      </c>
      <c r="E522" s="4" t="s">
        <v>95</v>
      </c>
      <c r="F522" s="13" t="s">
        <v>8</v>
      </c>
      <c r="H522" s="4">
        <v>5.0</v>
      </c>
      <c r="K522" s="13">
        <v>5.0</v>
      </c>
      <c r="L522" s="13">
        <v>100000.0</v>
      </c>
    </row>
    <row r="523">
      <c r="B523" s="11">
        <v>46107.0</v>
      </c>
      <c r="C523" s="4" t="s">
        <v>113</v>
      </c>
      <c r="D523" s="4" t="s">
        <v>93</v>
      </c>
      <c r="E523" s="4" t="s">
        <v>95</v>
      </c>
      <c r="F523" s="13" t="s">
        <v>9</v>
      </c>
      <c r="H523" s="4">
        <v>6.0</v>
      </c>
      <c r="K523" s="13">
        <v>6.0</v>
      </c>
      <c r="L523" s="13">
        <v>120000.0</v>
      </c>
    </row>
    <row r="524">
      <c r="B524" s="11">
        <v>46107.0</v>
      </c>
      <c r="C524" s="4" t="s">
        <v>113</v>
      </c>
      <c r="D524" s="4" t="s">
        <v>93</v>
      </c>
      <c r="E524" s="4" t="s">
        <v>95</v>
      </c>
      <c r="F524" s="13" t="s">
        <v>10</v>
      </c>
      <c r="H524" s="4">
        <v>4.0</v>
      </c>
      <c r="I524" s="4">
        <v>2.0</v>
      </c>
      <c r="K524" s="13">
        <v>2.0</v>
      </c>
      <c r="L524" s="13">
        <v>40000.0</v>
      </c>
    </row>
    <row r="525">
      <c r="B525" s="11">
        <v>46107.0</v>
      </c>
      <c r="C525" s="4" t="s">
        <v>113</v>
      </c>
      <c r="D525" s="4" t="s">
        <v>93</v>
      </c>
      <c r="E525" s="4" t="s">
        <v>95</v>
      </c>
      <c r="F525" s="13" t="s">
        <v>11</v>
      </c>
      <c r="H525" s="4">
        <v>2.0</v>
      </c>
      <c r="I525" s="4">
        <v>1.0</v>
      </c>
      <c r="K525" s="13">
        <v>1.0</v>
      </c>
      <c r="L525" s="13">
        <v>20000.0</v>
      </c>
    </row>
    <row r="526">
      <c r="B526" s="11">
        <v>46107.0</v>
      </c>
      <c r="C526" s="4" t="s">
        <v>113</v>
      </c>
      <c r="D526" s="4" t="s">
        <v>93</v>
      </c>
      <c r="E526" s="4" t="s">
        <v>95</v>
      </c>
      <c r="F526" s="13" t="s">
        <v>12</v>
      </c>
      <c r="H526" s="4">
        <v>3.0</v>
      </c>
      <c r="K526" s="13">
        <v>3.0</v>
      </c>
      <c r="L526" s="13">
        <v>60000.0</v>
      </c>
    </row>
    <row r="527">
      <c r="B527" s="11">
        <v>46107.0</v>
      </c>
      <c r="C527" s="4" t="s">
        <v>113</v>
      </c>
      <c r="D527" s="4" t="s">
        <v>93</v>
      </c>
      <c r="E527" s="4" t="s">
        <v>95</v>
      </c>
      <c r="F527" s="13" t="s">
        <v>13</v>
      </c>
      <c r="H527" s="4">
        <v>5.0</v>
      </c>
      <c r="I527" s="4">
        <v>2.0</v>
      </c>
      <c r="K527" s="13">
        <v>3.0</v>
      </c>
      <c r="L527" s="13">
        <v>60000.0</v>
      </c>
    </row>
    <row r="528">
      <c r="B528" s="11">
        <v>46107.0</v>
      </c>
      <c r="C528" s="4" t="s">
        <v>113</v>
      </c>
      <c r="D528" s="4" t="s">
        <v>93</v>
      </c>
      <c r="E528" s="4" t="s">
        <v>95</v>
      </c>
      <c r="F528" s="13" t="s">
        <v>14</v>
      </c>
      <c r="H528" s="4">
        <v>2.0</v>
      </c>
      <c r="I528" s="4">
        <v>1.0</v>
      </c>
      <c r="K528" s="13">
        <v>1.0</v>
      </c>
      <c r="L528" s="13">
        <v>22000.0</v>
      </c>
    </row>
    <row r="529">
      <c r="B529" s="11">
        <v>46107.0</v>
      </c>
      <c r="C529" s="4" t="s">
        <v>113</v>
      </c>
      <c r="D529" s="4" t="s">
        <v>93</v>
      </c>
      <c r="E529" s="4" t="s">
        <v>95</v>
      </c>
      <c r="F529" s="13" t="s">
        <v>15</v>
      </c>
      <c r="H529" s="4">
        <v>30.0</v>
      </c>
      <c r="I529" s="4">
        <v>2.0</v>
      </c>
      <c r="K529" s="13">
        <v>28.0</v>
      </c>
      <c r="L529" s="13">
        <v>560000.0</v>
      </c>
    </row>
    <row r="530">
      <c r="B530" s="11">
        <v>46107.0</v>
      </c>
      <c r="C530" s="4" t="s">
        <v>114</v>
      </c>
      <c r="D530" s="4" t="s">
        <v>93</v>
      </c>
      <c r="E530" s="13"/>
      <c r="F530" s="13" t="s">
        <v>4</v>
      </c>
      <c r="K530" s="13">
        <v>0.0</v>
      </c>
      <c r="L530" s="13">
        <v>0.0</v>
      </c>
    </row>
    <row r="531">
      <c r="B531" s="11">
        <v>46107.0</v>
      </c>
      <c r="C531" s="4" t="s">
        <v>114</v>
      </c>
      <c r="D531" s="4" t="s">
        <v>93</v>
      </c>
      <c r="E531" s="13"/>
      <c r="F531" s="13" t="s">
        <v>5</v>
      </c>
      <c r="K531" s="13">
        <v>0.0</v>
      </c>
      <c r="L531" s="13">
        <v>0.0</v>
      </c>
    </row>
    <row r="532">
      <c r="B532" s="11">
        <v>46107.0</v>
      </c>
      <c r="C532" s="4" t="s">
        <v>114</v>
      </c>
      <c r="D532" s="4" t="s">
        <v>93</v>
      </c>
      <c r="E532" s="13"/>
      <c r="F532" s="13" t="s">
        <v>6</v>
      </c>
      <c r="K532" s="13">
        <v>0.0</v>
      </c>
      <c r="L532" s="13">
        <v>0.0</v>
      </c>
    </row>
    <row r="533">
      <c r="B533" s="11">
        <v>46107.0</v>
      </c>
      <c r="C533" s="4" t="s">
        <v>114</v>
      </c>
      <c r="D533" s="4" t="s">
        <v>93</v>
      </c>
      <c r="E533" s="13"/>
      <c r="F533" s="13" t="s">
        <v>7</v>
      </c>
      <c r="K533" s="13">
        <v>0.0</v>
      </c>
      <c r="L533" s="13">
        <v>0.0</v>
      </c>
    </row>
    <row r="534">
      <c r="B534" s="11">
        <v>46107.0</v>
      </c>
      <c r="C534" s="4" t="s">
        <v>114</v>
      </c>
      <c r="D534" s="4" t="s">
        <v>93</v>
      </c>
      <c r="E534" s="13"/>
      <c r="F534" s="13" t="s">
        <v>8</v>
      </c>
      <c r="K534" s="13">
        <v>0.0</v>
      </c>
      <c r="L534" s="13">
        <v>0.0</v>
      </c>
    </row>
    <row r="535">
      <c r="B535" s="11">
        <v>46107.0</v>
      </c>
      <c r="C535" s="4" t="s">
        <v>114</v>
      </c>
      <c r="D535" s="4" t="s">
        <v>93</v>
      </c>
      <c r="E535" s="13"/>
      <c r="F535" s="13" t="s">
        <v>9</v>
      </c>
      <c r="I535" s="4">
        <v>2.0</v>
      </c>
      <c r="K535" s="13">
        <v>-2.0</v>
      </c>
      <c r="L535" s="13">
        <v>-40000.0</v>
      </c>
    </row>
    <row r="536">
      <c r="B536" s="11">
        <v>46107.0</v>
      </c>
      <c r="C536" s="4" t="s">
        <v>114</v>
      </c>
      <c r="D536" s="4" t="s">
        <v>93</v>
      </c>
      <c r="E536" s="13"/>
      <c r="F536" s="13" t="s">
        <v>10</v>
      </c>
      <c r="K536" s="13">
        <v>0.0</v>
      </c>
      <c r="L536" s="13">
        <v>0.0</v>
      </c>
    </row>
    <row r="537">
      <c r="B537" s="11">
        <v>46107.0</v>
      </c>
      <c r="C537" s="4" t="s">
        <v>114</v>
      </c>
      <c r="D537" s="4" t="s">
        <v>93</v>
      </c>
      <c r="E537" s="13"/>
      <c r="F537" s="13" t="s">
        <v>11</v>
      </c>
      <c r="K537" s="13">
        <v>0.0</v>
      </c>
      <c r="L537" s="13">
        <v>0.0</v>
      </c>
    </row>
    <row r="538">
      <c r="B538" s="11">
        <v>46107.0</v>
      </c>
      <c r="C538" s="4" t="s">
        <v>114</v>
      </c>
      <c r="D538" s="4" t="s">
        <v>93</v>
      </c>
      <c r="E538" s="13"/>
      <c r="F538" s="13" t="s">
        <v>12</v>
      </c>
      <c r="K538" s="13">
        <v>0.0</v>
      </c>
      <c r="L538" s="13">
        <v>0.0</v>
      </c>
    </row>
    <row r="539">
      <c r="B539" s="11">
        <v>46107.0</v>
      </c>
      <c r="C539" s="4" t="s">
        <v>114</v>
      </c>
      <c r="D539" s="4" t="s">
        <v>93</v>
      </c>
      <c r="E539" s="13"/>
      <c r="F539" s="13" t="s">
        <v>13</v>
      </c>
      <c r="K539" s="13">
        <v>0.0</v>
      </c>
      <c r="L539" s="13">
        <v>0.0</v>
      </c>
    </row>
    <row r="540">
      <c r="B540" s="11">
        <v>46107.0</v>
      </c>
      <c r="C540" s="4" t="s">
        <v>114</v>
      </c>
      <c r="D540" s="4" t="s">
        <v>93</v>
      </c>
      <c r="E540" s="13"/>
      <c r="F540" s="13" t="s">
        <v>14</v>
      </c>
      <c r="K540" s="13">
        <v>0.0</v>
      </c>
      <c r="L540" s="13">
        <v>0.0</v>
      </c>
    </row>
    <row r="541">
      <c r="B541" s="11">
        <v>46107.0</v>
      </c>
      <c r="C541" s="4" t="s">
        <v>114</v>
      </c>
      <c r="D541" s="4" t="s">
        <v>93</v>
      </c>
      <c r="E541" s="13"/>
      <c r="F541" s="13" t="s">
        <v>15</v>
      </c>
      <c r="K541" s="13">
        <v>0.0</v>
      </c>
      <c r="L541" s="13">
        <v>0.0</v>
      </c>
    </row>
    <row r="542">
      <c r="B542" s="11">
        <v>46107.0</v>
      </c>
      <c r="C542" s="4" t="s">
        <v>113</v>
      </c>
      <c r="D542" s="4" t="s">
        <v>80</v>
      </c>
      <c r="E542" s="4" t="s">
        <v>86</v>
      </c>
      <c r="F542" s="13" t="s">
        <v>4</v>
      </c>
      <c r="H542" s="4">
        <v>5.0</v>
      </c>
      <c r="K542" s="13">
        <v>5.0</v>
      </c>
      <c r="L542" s="13">
        <v>100000.0</v>
      </c>
    </row>
    <row r="543">
      <c r="B543" s="11">
        <v>46107.0</v>
      </c>
      <c r="C543" s="4" t="s">
        <v>113</v>
      </c>
      <c r="D543" s="4" t="s">
        <v>80</v>
      </c>
      <c r="E543" s="4" t="s">
        <v>86</v>
      </c>
      <c r="F543" s="13" t="s">
        <v>5</v>
      </c>
      <c r="H543" s="4">
        <v>4.0</v>
      </c>
      <c r="K543" s="13">
        <v>4.0</v>
      </c>
      <c r="L543" s="13">
        <v>80000.0</v>
      </c>
    </row>
    <row r="544">
      <c r="B544" s="11">
        <v>46107.0</v>
      </c>
      <c r="C544" s="4" t="s">
        <v>113</v>
      </c>
      <c r="D544" s="4" t="s">
        <v>80</v>
      </c>
      <c r="E544" s="4" t="s">
        <v>86</v>
      </c>
      <c r="F544" s="13" t="s">
        <v>6</v>
      </c>
      <c r="H544" s="4">
        <v>4.0</v>
      </c>
      <c r="I544" s="4">
        <v>1.0</v>
      </c>
      <c r="K544" s="13">
        <v>3.0</v>
      </c>
      <c r="L544" s="13">
        <v>60000.0</v>
      </c>
    </row>
    <row r="545">
      <c r="B545" s="11">
        <v>46107.0</v>
      </c>
      <c r="C545" s="4" t="s">
        <v>113</v>
      </c>
      <c r="D545" s="4" t="s">
        <v>80</v>
      </c>
      <c r="E545" s="4" t="s">
        <v>86</v>
      </c>
      <c r="F545" s="13" t="s">
        <v>7</v>
      </c>
      <c r="H545" s="4">
        <v>3.0</v>
      </c>
      <c r="K545" s="13">
        <v>3.0</v>
      </c>
      <c r="L545" s="13">
        <v>60000.0</v>
      </c>
    </row>
    <row r="546">
      <c r="B546" s="11">
        <v>46107.0</v>
      </c>
      <c r="C546" s="4" t="s">
        <v>113</v>
      </c>
      <c r="D546" s="4" t="s">
        <v>80</v>
      </c>
      <c r="E546" s="4" t="s">
        <v>86</v>
      </c>
      <c r="F546" s="13" t="s">
        <v>8</v>
      </c>
      <c r="H546" s="4">
        <v>5.0</v>
      </c>
      <c r="K546" s="13">
        <v>5.0</v>
      </c>
      <c r="L546" s="13">
        <v>100000.0</v>
      </c>
    </row>
    <row r="547">
      <c r="B547" s="11">
        <v>46107.0</v>
      </c>
      <c r="C547" s="4" t="s">
        <v>113</v>
      </c>
      <c r="D547" s="4" t="s">
        <v>80</v>
      </c>
      <c r="E547" s="4" t="s">
        <v>86</v>
      </c>
      <c r="F547" s="13" t="s">
        <v>9</v>
      </c>
      <c r="H547" s="4">
        <v>5.0</v>
      </c>
      <c r="K547" s="13">
        <v>5.0</v>
      </c>
      <c r="L547" s="13">
        <v>100000.0</v>
      </c>
    </row>
    <row r="548">
      <c r="B548" s="11">
        <v>46107.0</v>
      </c>
      <c r="C548" s="4" t="s">
        <v>113</v>
      </c>
      <c r="D548" s="4" t="s">
        <v>80</v>
      </c>
      <c r="E548" s="4" t="s">
        <v>86</v>
      </c>
      <c r="F548" s="13" t="s">
        <v>10</v>
      </c>
      <c r="H548" s="4">
        <v>4.0</v>
      </c>
      <c r="I548" s="4">
        <v>1.0</v>
      </c>
      <c r="K548" s="13">
        <v>3.0</v>
      </c>
      <c r="L548" s="13">
        <v>60000.0</v>
      </c>
    </row>
    <row r="549">
      <c r="B549" s="11">
        <v>46107.0</v>
      </c>
      <c r="C549" s="4" t="s">
        <v>113</v>
      </c>
      <c r="D549" s="4" t="s">
        <v>80</v>
      </c>
      <c r="E549" s="4" t="s">
        <v>86</v>
      </c>
      <c r="F549" s="13" t="s">
        <v>11</v>
      </c>
      <c r="H549" s="4">
        <v>2.0</v>
      </c>
      <c r="K549" s="13">
        <v>2.0</v>
      </c>
      <c r="L549" s="13">
        <v>40000.0</v>
      </c>
    </row>
    <row r="550">
      <c r="B550" s="11">
        <v>46107.0</v>
      </c>
      <c r="C550" s="4" t="s">
        <v>113</v>
      </c>
      <c r="D550" s="4" t="s">
        <v>80</v>
      </c>
      <c r="E550" s="4" t="s">
        <v>86</v>
      </c>
      <c r="F550" s="13" t="s">
        <v>12</v>
      </c>
      <c r="H550" s="4">
        <v>1.0</v>
      </c>
      <c r="K550" s="13">
        <v>1.0</v>
      </c>
      <c r="L550" s="13">
        <v>20000.0</v>
      </c>
    </row>
    <row r="551">
      <c r="B551" s="11">
        <v>46107.0</v>
      </c>
      <c r="C551" s="4" t="s">
        <v>113</v>
      </c>
      <c r="D551" s="4" t="s">
        <v>80</v>
      </c>
      <c r="E551" s="4" t="s">
        <v>86</v>
      </c>
      <c r="F551" s="13" t="s">
        <v>13</v>
      </c>
      <c r="H551" s="4">
        <v>1.0</v>
      </c>
      <c r="K551" s="13">
        <v>1.0</v>
      </c>
      <c r="L551" s="13">
        <v>20000.0</v>
      </c>
    </row>
    <row r="552">
      <c r="B552" s="11">
        <v>46107.0</v>
      </c>
      <c r="C552" s="4" t="s">
        <v>113</v>
      </c>
      <c r="D552" s="4" t="s">
        <v>80</v>
      </c>
      <c r="E552" s="4" t="s">
        <v>86</v>
      </c>
      <c r="F552" s="13" t="s">
        <v>14</v>
      </c>
      <c r="H552" s="4">
        <v>1.0</v>
      </c>
      <c r="K552" s="13">
        <v>1.0</v>
      </c>
      <c r="L552" s="13">
        <v>22000.0</v>
      </c>
    </row>
    <row r="553">
      <c r="B553" s="11">
        <v>46107.0</v>
      </c>
      <c r="C553" s="4" t="s">
        <v>113</v>
      </c>
      <c r="D553" s="4" t="s">
        <v>80</v>
      </c>
      <c r="E553" s="4" t="s">
        <v>86</v>
      </c>
      <c r="F553" s="13" t="s">
        <v>15</v>
      </c>
      <c r="H553" s="4">
        <v>30.0</v>
      </c>
      <c r="I553" s="4">
        <v>4.0</v>
      </c>
      <c r="K553" s="13">
        <v>26.0</v>
      </c>
      <c r="L553" s="13">
        <v>520000.0</v>
      </c>
    </row>
    <row r="554">
      <c r="B554" s="11">
        <v>46107.0</v>
      </c>
      <c r="C554" s="4" t="s">
        <v>114</v>
      </c>
      <c r="D554" s="4" t="s">
        <v>80</v>
      </c>
      <c r="E554" s="13"/>
      <c r="F554" s="13" t="s">
        <v>4</v>
      </c>
      <c r="G554" s="13" t="str">
        <f t="shared" ref="G554:G613" si="13">I542</f>
        <v/>
      </c>
      <c r="K554" s="13">
        <v>0.0</v>
      </c>
      <c r="L554" s="13">
        <v>0.0</v>
      </c>
    </row>
    <row r="555">
      <c r="B555" s="11">
        <v>46107.0</v>
      </c>
      <c r="C555" s="4" t="s">
        <v>114</v>
      </c>
      <c r="D555" s="4" t="s">
        <v>80</v>
      </c>
      <c r="E555" s="13"/>
      <c r="F555" s="13" t="s">
        <v>5</v>
      </c>
      <c r="G555" s="13" t="str">
        <f t="shared" si="13"/>
        <v/>
      </c>
      <c r="K555" s="13">
        <v>0.0</v>
      </c>
      <c r="L555" s="13">
        <v>0.0</v>
      </c>
    </row>
    <row r="556">
      <c r="B556" s="11">
        <v>46107.0</v>
      </c>
      <c r="C556" s="4" t="s">
        <v>114</v>
      </c>
      <c r="D556" s="4" t="s">
        <v>80</v>
      </c>
      <c r="E556" s="13"/>
      <c r="F556" s="13" t="s">
        <v>6</v>
      </c>
      <c r="G556" s="13">
        <f t="shared" si="13"/>
        <v>1</v>
      </c>
      <c r="K556" s="13">
        <v>1.0</v>
      </c>
      <c r="L556" s="13">
        <v>20000.0</v>
      </c>
    </row>
    <row r="557">
      <c r="B557" s="11">
        <v>46107.0</v>
      </c>
      <c r="C557" s="4" t="s">
        <v>114</v>
      </c>
      <c r="D557" s="4" t="s">
        <v>80</v>
      </c>
      <c r="E557" s="13"/>
      <c r="F557" s="13" t="s">
        <v>7</v>
      </c>
      <c r="G557" s="13" t="str">
        <f t="shared" si="13"/>
        <v/>
      </c>
      <c r="K557" s="13">
        <v>0.0</v>
      </c>
      <c r="L557" s="13">
        <v>0.0</v>
      </c>
    </row>
    <row r="558">
      <c r="B558" s="11">
        <v>46107.0</v>
      </c>
      <c r="C558" s="4" t="s">
        <v>114</v>
      </c>
      <c r="D558" s="4" t="s">
        <v>80</v>
      </c>
      <c r="E558" s="13"/>
      <c r="F558" s="13" t="s">
        <v>8</v>
      </c>
      <c r="G558" s="13" t="str">
        <f t="shared" si="13"/>
        <v/>
      </c>
      <c r="K558" s="13">
        <v>0.0</v>
      </c>
      <c r="L558" s="13">
        <v>0.0</v>
      </c>
    </row>
    <row r="559">
      <c r="B559" s="11">
        <v>46107.0</v>
      </c>
      <c r="C559" s="4" t="s">
        <v>114</v>
      </c>
      <c r="D559" s="4" t="s">
        <v>80</v>
      </c>
      <c r="E559" s="13"/>
      <c r="F559" s="13" t="s">
        <v>9</v>
      </c>
      <c r="G559" s="13" t="str">
        <f t="shared" si="13"/>
        <v/>
      </c>
      <c r="K559" s="13">
        <v>0.0</v>
      </c>
      <c r="L559" s="13">
        <v>0.0</v>
      </c>
    </row>
    <row r="560">
      <c r="B560" s="11">
        <v>46107.0</v>
      </c>
      <c r="C560" s="4" t="s">
        <v>114</v>
      </c>
      <c r="D560" s="4" t="s">
        <v>80</v>
      </c>
      <c r="E560" s="13"/>
      <c r="F560" s="13" t="s">
        <v>10</v>
      </c>
      <c r="G560" s="13">
        <f t="shared" si="13"/>
        <v>1</v>
      </c>
      <c r="K560" s="13">
        <v>1.0</v>
      </c>
      <c r="L560" s="13">
        <v>20000.0</v>
      </c>
    </row>
    <row r="561">
      <c r="B561" s="11">
        <v>46107.0</v>
      </c>
      <c r="C561" s="4" t="s">
        <v>114</v>
      </c>
      <c r="D561" s="4" t="s">
        <v>80</v>
      </c>
      <c r="E561" s="13"/>
      <c r="F561" s="13" t="s">
        <v>11</v>
      </c>
      <c r="G561" s="13" t="str">
        <f t="shared" si="13"/>
        <v/>
      </c>
      <c r="K561" s="13">
        <v>0.0</v>
      </c>
      <c r="L561" s="13">
        <v>0.0</v>
      </c>
    </row>
    <row r="562">
      <c r="B562" s="11">
        <v>46107.0</v>
      </c>
      <c r="C562" s="4" t="s">
        <v>114</v>
      </c>
      <c r="D562" s="4" t="s">
        <v>80</v>
      </c>
      <c r="E562" s="13"/>
      <c r="F562" s="13" t="s">
        <v>12</v>
      </c>
      <c r="G562" s="13" t="str">
        <f t="shared" si="13"/>
        <v/>
      </c>
      <c r="K562" s="13">
        <v>0.0</v>
      </c>
      <c r="L562" s="13">
        <v>0.0</v>
      </c>
    </row>
    <row r="563">
      <c r="B563" s="11">
        <v>46107.0</v>
      </c>
      <c r="C563" s="4" t="s">
        <v>114</v>
      </c>
      <c r="D563" s="4" t="s">
        <v>80</v>
      </c>
      <c r="E563" s="13"/>
      <c r="F563" s="13" t="s">
        <v>13</v>
      </c>
      <c r="G563" s="13" t="str">
        <f t="shared" si="13"/>
        <v/>
      </c>
      <c r="K563" s="13">
        <v>0.0</v>
      </c>
      <c r="L563" s="13">
        <v>0.0</v>
      </c>
    </row>
    <row r="564">
      <c r="B564" s="11">
        <v>46107.0</v>
      </c>
      <c r="C564" s="4" t="s">
        <v>114</v>
      </c>
      <c r="D564" s="4" t="s">
        <v>80</v>
      </c>
      <c r="E564" s="13"/>
      <c r="F564" s="13" t="s">
        <v>14</v>
      </c>
      <c r="G564" s="13" t="str">
        <f t="shared" si="13"/>
        <v/>
      </c>
      <c r="K564" s="13">
        <v>0.0</v>
      </c>
      <c r="L564" s="13">
        <v>0.0</v>
      </c>
    </row>
    <row r="565">
      <c r="B565" s="11">
        <v>46107.0</v>
      </c>
      <c r="C565" s="4" t="s">
        <v>114</v>
      </c>
      <c r="D565" s="4" t="s">
        <v>80</v>
      </c>
      <c r="E565" s="13"/>
      <c r="F565" s="13" t="s">
        <v>15</v>
      </c>
      <c r="G565" s="13">
        <f t="shared" si="13"/>
        <v>4</v>
      </c>
      <c r="K565" s="13">
        <v>4.0</v>
      </c>
      <c r="L565" s="13">
        <v>80000.0</v>
      </c>
    </row>
    <row r="566">
      <c r="A566" s="13"/>
      <c r="B566" s="11">
        <v>46107.0</v>
      </c>
      <c r="C566" s="4" t="s">
        <v>113</v>
      </c>
      <c r="D566" s="4" t="s">
        <v>302</v>
      </c>
      <c r="E566" s="4" t="s">
        <v>299</v>
      </c>
      <c r="F566" s="13" t="s">
        <v>4</v>
      </c>
      <c r="G566" s="13" t="str">
        <f t="shared" si="13"/>
        <v/>
      </c>
      <c r="H566" s="13"/>
      <c r="I566" s="13"/>
      <c r="J566" s="13"/>
      <c r="K566" s="13">
        <v>0.0</v>
      </c>
      <c r="L566" s="13">
        <v>0.0</v>
      </c>
      <c r="M566" s="13"/>
      <c r="N566" s="13"/>
      <c r="O566" s="13"/>
      <c r="P566" s="13"/>
      <c r="Q566" s="13"/>
      <c r="R566" s="13"/>
      <c r="S566" s="13"/>
      <c r="T566" s="13"/>
      <c r="U566" s="13"/>
      <c r="V566" s="13"/>
      <c r="W566" s="13"/>
      <c r="X566" s="13"/>
      <c r="Y566" s="13"/>
      <c r="Z566" s="13"/>
      <c r="AA566" s="13"/>
      <c r="AB566" s="13"/>
      <c r="AC566" s="13"/>
    </row>
    <row r="567">
      <c r="A567" s="13"/>
      <c r="B567" s="11">
        <v>46107.0</v>
      </c>
      <c r="C567" s="4" t="s">
        <v>113</v>
      </c>
      <c r="D567" s="4" t="s">
        <v>302</v>
      </c>
      <c r="E567" s="4" t="s">
        <v>299</v>
      </c>
      <c r="F567" s="13" t="s">
        <v>5</v>
      </c>
      <c r="G567" s="13" t="str">
        <f t="shared" si="13"/>
        <v/>
      </c>
      <c r="H567" s="13"/>
      <c r="I567" s="13"/>
      <c r="J567" s="13"/>
      <c r="K567" s="13">
        <v>0.0</v>
      </c>
      <c r="L567" s="13">
        <v>0.0</v>
      </c>
      <c r="M567" s="13"/>
      <c r="N567" s="13"/>
      <c r="O567" s="13"/>
      <c r="P567" s="13"/>
      <c r="Q567" s="13"/>
      <c r="R567" s="13"/>
      <c r="S567" s="13"/>
      <c r="T567" s="13"/>
      <c r="U567" s="13"/>
      <c r="V567" s="13"/>
      <c r="W567" s="13"/>
      <c r="X567" s="13"/>
      <c r="Y567" s="13"/>
      <c r="Z567" s="13"/>
      <c r="AA567" s="13"/>
      <c r="AB567" s="13"/>
      <c r="AC567" s="13"/>
    </row>
    <row r="568">
      <c r="A568" s="13"/>
      <c r="B568" s="11">
        <v>46107.0</v>
      </c>
      <c r="C568" s="4" t="s">
        <v>113</v>
      </c>
      <c r="D568" s="4" t="s">
        <v>302</v>
      </c>
      <c r="E568" s="4" t="s">
        <v>299</v>
      </c>
      <c r="F568" s="13" t="s">
        <v>6</v>
      </c>
      <c r="G568" s="13" t="str">
        <f t="shared" si="13"/>
        <v/>
      </c>
      <c r="H568" s="13"/>
      <c r="I568" s="13"/>
      <c r="J568" s="13"/>
      <c r="K568" s="13">
        <v>0.0</v>
      </c>
      <c r="L568" s="13">
        <v>0.0</v>
      </c>
      <c r="M568" s="13"/>
      <c r="N568" s="13"/>
      <c r="O568" s="13"/>
      <c r="P568" s="13"/>
      <c r="Q568" s="13"/>
      <c r="R568" s="13"/>
      <c r="S568" s="13"/>
      <c r="T568" s="13"/>
      <c r="U568" s="13"/>
      <c r="V568" s="13"/>
      <c r="W568" s="13"/>
      <c r="X568" s="13"/>
      <c r="Y568" s="13"/>
      <c r="Z568" s="13"/>
      <c r="AA568" s="13"/>
      <c r="AB568" s="13"/>
      <c r="AC568" s="13"/>
    </row>
    <row r="569">
      <c r="A569" s="13"/>
      <c r="B569" s="11">
        <v>46107.0</v>
      </c>
      <c r="C569" s="4" t="s">
        <v>113</v>
      </c>
      <c r="D569" s="4" t="s">
        <v>302</v>
      </c>
      <c r="E569" s="4" t="s">
        <v>299</v>
      </c>
      <c r="F569" s="13" t="s">
        <v>7</v>
      </c>
      <c r="G569" s="13" t="str">
        <f t="shared" si="13"/>
        <v/>
      </c>
      <c r="H569" s="13"/>
      <c r="I569" s="13"/>
      <c r="J569" s="13"/>
      <c r="K569" s="13">
        <v>0.0</v>
      </c>
      <c r="L569" s="13">
        <v>0.0</v>
      </c>
      <c r="M569" s="13"/>
      <c r="N569" s="13"/>
      <c r="O569" s="13"/>
      <c r="P569" s="13"/>
      <c r="Q569" s="13"/>
      <c r="R569" s="13"/>
      <c r="S569" s="13"/>
      <c r="T569" s="13"/>
      <c r="U569" s="13"/>
      <c r="V569" s="13"/>
      <c r="W569" s="13"/>
      <c r="X569" s="13"/>
      <c r="Y569" s="13"/>
      <c r="Z569" s="13"/>
      <c r="AA569" s="13"/>
      <c r="AB569" s="13"/>
      <c r="AC569" s="13"/>
    </row>
    <row r="570">
      <c r="A570" s="13"/>
      <c r="B570" s="11">
        <v>46107.0</v>
      </c>
      <c r="C570" s="4" t="s">
        <v>113</v>
      </c>
      <c r="D570" s="4" t="s">
        <v>302</v>
      </c>
      <c r="E570" s="4" t="s">
        <v>299</v>
      </c>
      <c r="F570" s="13" t="s">
        <v>8</v>
      </c>
      <c r="G570" s="13" t="str">
        <f t="shared" si="13"/>
        <v/>
      </c>
      <c r="H570" s="13"/>
      <c r="I570" s="13"/>
      <c r="J570" s="13"/>
      <c r="K570" s="13">
        <v>0.0</v>
      </c>
      <c r="L570" s="13">
        <v>0.0</v>
      </c>
      <c r="M570" s="13"/>
      <c r="N570" s="13"/>
      <c r="O570" s="13"/>
      <c r="P570" s="13"/>
      <c r="Q570" s="13"/>
      <c r="R570" s="13"/>
      <c r="S570" s="13"/>
      <c r="T570" s="13"/>
      <c r="U570" s="13"/>
      <c r="V570" s="13"/>
      <c r="W570" s="13"/>
      <c r="X570" s="13"/>
      <c r="Y570" s="13"/>
      <c r="Z570" s="13"/>
      <c r="AA570" s="13"/>
      <c r="AB570" s="13"/>
      <c r="AC570" s="13"/>
    </row>
    <row r="571">
      <c r="A571" s="13"/>
      <c r="B571" s="11">
        <v>46107.0</v>
      </c>
      <c r="C571" s="4" t="s">
        <v>113</v>
      </c>
      <c r="D571" s="4" t="s">
        <v>302</v>
      </c>
      <c r="E571" s="4" t="s">
        <v>299</v>
      </c>
      <c r="F571" s="13" t="s">
        <v>9</v>
      </c>
      <c r="G571" s="13" t="str">
        <f t="shared" si="13"/>
        <v/>
      </c>
      <c r="H571" s="13"/>
      <c r="I571" s="13"/>
      <c r="J571" s="13"/>
      <c r="K571" s="13">
        <v>0.0</v>
      </c>
      <c r="L571" s="13">
        <v>0.0</v>
      </c>
      <c r="M571" s="13"/>
      <c r="N571" s="13"/>
      <c r="O571" s="13"/>
      <c r="P571" s="13"/>
      <c r="Q571" s="13"/>
      <c r="R571" s="13"/>
      <c r="S571" s="13"/>
      <c r="T571" s="13"/>
      <c r="U571" s="13"/>
      <c r="V571" s="13"/>
      <c r="W571" s="13"/>
      <c r="X571" s="13"/>
      <c r="Y571" s="13"/>
      <c r="Z571" s="13"/>
      <c r="AA571" s="13"/>
      <c r="AB571" s="13"/>
      <c r="AC571" s="13"/>
    </row>
    <row r="572">
      <c r="A572" s="13"/>
      <c r="B572" s="11">
        <v>46107.0</v>
      </c>
      <c r="C572" s="4" t="s">
        <v>113</v>
      </c>
      <c r="D572" s="4" t="s">
        <v>302</v>
      </c>
      <c r="E572" s="4" t="s">
        <v>299</v>
      </c>
      <c r="F572" s="13" t="s">
        <v>10</v>
      </c>
      <c r="G572" s="13" t="str">
        <f t="shared" si="13"/>
        <v/>
      </c>
      <c r="H572" s="13"/>
      <c r="I572" s="13"/>
      <c r="J572" s="13"/>
      <c r="K572" s="13">
        <v>0.0</v>
      </c>
      <c r="L572" s="13">
        <v>0.0</v>
      </c>
      <c r="M572" s="13"/>
      <c r="N572" s="13"/>
      <c r="O572" s="13"/>
      <c r="P572" s="13"/>
      <c r="Q572" s="13"/>
      <c r="R572" s="13"/>
      <c r="S572" s="13"/>
      <c r="T572" s="13"/>
      <c r="U572" s="13"/>
      <c r="V572" s="13"/>
      <c r="W572" s="13"/>
      <c r="X572" s="13"/>
      <c r="Y572" s="13"/>
      <c r="Z572" s="13"/>
      <c r="AA572" s="13"/>
      <c r="AB572" s="13"/>
      <c r="AC572" s="13"/>
    </row>
    <row r="573">
      <c r="A573" s="13"/>
      <c r="B573" s="11">
        <v>46107.0</v>
      </c>
      <c r="C573" s="4" t="s">
        <v>113</v>
      </c>
      <c r="D573" s="4" t="s">
        <v>302</v>
      </c>
      <c r="E573" s="4" t="s">
        <v>299</v>
      </c>
      <c r="F573" s="13" t="s">
        <v>11</v>
      </c>
      <c r="G573" s="13" t="str">
        <f t="shared" si="13"/>
        <v/>
      </c>
      <c r="H573" s="13"/>
      <c r="I573" s="13"/>
      <c r="J573" s="13"/>
      <c r="K573" s="13">
        <v>0.0</v>
      </c>
      <c r="L573" s="13">
        <v>0.0</v>
      </c>
      <c r="M573" s="13"/>
      <c r="N573" s="13"/>
      <c r="O573" s="13"/>
      <c r="P573" s="13"/>
      <c r="Q573" s="13"/>
      <c r="R573" s="13"/>
      <c r="S573" s="13"/>
      <c r="T573" s="13"/>
      <c r="U573" s="13"/>
      <c r="V573" s="13"/>
      <c r="W573" s="13"/>
      <c r="X573" s="13"/>
      <c r="Y573" s="13"/>
      <c r="Z573" s="13"/>
      <c r="AA573" s="13"/>
      <c r="AB573" s="13"/>
      <c r="AC573" s="13"/>
    </row>
    <row r="574">
      <c r="A574" s="13"/>
      <c r="B574" s="11">
        <v>46107.0</v>
      </c>
      <c r="C574" s="4" t="s">
        <v>113</v>
      </c>
      <c r="D574" s="4" t="s">
        <v>302</v>
      </c>
      <c r="E574" s="4" t="s">
        <v>299</v>
      </c>
      <c r="F574" s="13" t="s">
        <v>12</v>
      </c>
      <c r="G574" s="13" t="str">
        <f t="shared" si="13"/>
        <v/>
      </c>
      <c r="H574" s="13"/>
      <c r="I574" s="13"/>
      <c r="J574" s="13"/>
      <c r="K574" s="13">
        <v>0.0</v>
      </c>
      <c r="L574" s="13">
        <v>0.0</v>
      </c>
      <c r="M574" s="13"/>
      <c r="N574" s="13"/>
      <c r="O574" s="13"/>
      <c r="P574" s="13"/>
      <c r="Q574" s="13"/>
      <c r="R574" s="13"/>
      <c r="S574" s="13"/>
      <c r="T574" s="13"/>
      <c r="U574" s="13"/>
      <c r="V574" s="13"/>
      <c r="W574" s="13"/>
      <c r="X574" s="13"/>
      <c r="Y574" s="13"/>
      <c r="Z574" s="13"/>
      <c r="AA574" s="13"/>
      <c r="AB574" s="13"/>
      <c r="AC574" s="13"/>
    </row>
    <row r="575">
      <c r="A575" s="13"/>
      <c r="B575" s="11">
        <v>46107.0</v>
      </c>
      <c r="C575" s="4" t="s">
        <v>113</v>
      </c>
      <c r="D575" s="4" t="s">
        <v>302</v>
      </c>
      <c r="E575" s="4" t="s">
        <v>299</v>
      </c>
      <c r="F575" s="13" t="s">
        <v>13</v>
      </c>
      <c r="G575" s="13" t="str">
        <f t="shared" si="13"/>
        <v/>
      </c>
      <c r="H575" s="13"/>
      <c r="I575" s="13"/>
      <c r="J575" s="13"/>
      <c r="K575" s="13">
        <v>0.0</v>
      </c>
      <c r="L575" s="13">
        <v>0.0</v>
      </c>
      <c r="M575" s="13"/>
      <c r="N575" s="13"/>
      <c r="O575" s="13"/>
      <c r="P575" s="13"/>
      <c r="Q575" s="13"/>
      <c r="R575" s="13"/>
      <c r="S575" s="13"/>
      <c r="T575" s="13"/>
      <c r="U575" s="13"/>
      <c r="V575" s="13"/>
      <c r="W575" s="13"/>
      <c r="X575" s="13"/>
      <c r="Y575" s="13"/>
      <c r="Z575" s="13"/>
      <c r="AA575" s="13"/>
      <c r="AB575" s="13"/>
      <c r="AC575" s="13"/>
    </row>
    <row r="576">
      <c r="A576" s="13"/>
      <c r="B576" s="11">
        <v>46107.0</v>
      </c>
      <c r="C576" s="4" t="s">
        <v>113</v>
      </c>
      <c r="D576" s="4" t="s">
        <v>302</v>
      </c>
      <c r="E576" s="4" t="s">
        <v>299</v>
      </c>
      <c r="F576" s="13" t="s">
        <v>14</v>
      </c>
      <c r="G576" s="13" t="str">
        <f t="shared" si="13"/>
        <v/>
      </c>
      <c r="H576" s="13"/>
      <c r="I576" s="13"/>
      <c r="J576" s="13"/>
      <c r="K576" s="13">
        <v>0.0</v>
      </c>
      <c r="L576" s="13">
        <v>0.0</v>
      </c>
      <c r="M576" s="13"/>
      <c r="N576" s="13"/>
      <c r="O576" s="13"/>
      <c r="P576" s="13"/>
      <c r="Q576" s="13"/>
      <c r="R576" s="13"/>
      <c r="S576" s="13"/>
      <c r="T576" s="13"/>
      <c r="U576" s="13"/>
      <c r="V576" s="13"/>
      <c r="W576" s="13"/>
      <c r="X576" s="13"/>
      <c r="Y576" s="13"/>
      <c r="Z576" s="13"/>
      <c r="AA576" s="13"/>
      <c r="AB576" s="13"/>
      <c r="AC576" s="13"/>
    </row>
    <row r="577">
      <c r="A577" s="13"/>
      <c r="B577" s="11">
        <v>46107.0</v>
      </c>
      <c r="C577" s="4" t="s">
        <v>113</v>
      </c>
      <c r="D577" s="4" t="s">
        <v>302</v>
      </c>
      <c r="E577" s="4" t="s">
        <v>299</v>
      </c>
      <c r="F577" s="13" t="s">
        <v>15</v>
      </c>
      <c r="G577" s="13" t="str">
        <f t="shared" si="13"/>
        <v/>
      </c>
      <c r="H577" s="13"/>
      <c r="I577" s="13"/>
      <c r="J577" s="13"/>
      <c r="K577" s="13">
        <v>0.0</v>
      </c>
      <c r="L577" s="13">
        <v>0.0</v>
      </c>
      <c r="M577" s="13"/>
      <c r="N577" s="13"/>
      <c r="O577" s="13"/>
      <c r="P577" s="13"/>
      <c r="Q577" s="13"/>
      <c r="R577" s="13"/>
      <c r="S577" s="13"/>
      <c r="T577" s="13"/>
      <c r="U577" s="13"/>
      <c r="V577" s="13"/>
      <c r="W577" s="13"/>
      <c r="X577" s="13"/>
      <c r="Y577" s="13"/>
      <c r="Z577" s="13"/>
      <c r="AA577" s="13"/>
      <c r="AB577" s="13"/>
      <c r="AC577" s="13"/>
    </row>
    <row r="578">
      <c r="B578" s="11">
        <v>46107.0</v>
      </c>
      <c r="C578" s="4" t="s">
        <v>114</v>
      </c>
      <c r="D578" s="4" t="s">
        <v>302</v>
      </c>
      <c r="E578" s="13"/>
      <c r="F578" s="13" t="s">
        <v>4</v>
      </c>
      <c r="G578" s="13" t="str">
        <f t="shared" si="13"/>
        <v/>
      </c>
      <c r="K578" s="13">
        <v>0.0</v>
      </c>
      <c r="L578" s="13">
        <v>0.0</v>
      </c>
    </row>
    <row r="579">
      <c r="B579" s="11">
        <v>46107.0</v>
      </c>
      <c r="C579" s="13"/>
      <c r="D579" s="13"/>
      <c r="E579" s="13"/>
      <c r="F579" s="13" t="s">
        <v>5</v>
      </c>
      <c r="G579" s="13" t="str">
        <f t="shared" si="13"/>
        <v/>
      </c>
      <c r="K579" s="13">
        <v>0.0</v>
      </c>
      <c r="L579" s="13">
        <v>0.0</v>
      </c>
    </row>
    <row r="580">
      <c r="B580" s="11">
        <v>46107.0</v>
      </c>
      <c r="C580" s="13"/>
      <c r="D580" s="13"/>
      <c r="E580" s="13"/>
      <c r="F580" s="13" t="s">
        <v>6</v>
      </c>
      <c r="G580" s="13" t="str">
        <f t="shared" si="13"/>
        <v/>
      </c>
      <c r="K580" s="13">
        <v>0.0</v>
      </c>
      <c r="L580" s="13">
        <v>0.0</v>
      </c>
    </row>
    <row r="581">
      <c r="B581" s="11">
        <v>46107.0</v>
      </c>
      <c r="C581" s="13"/>
      <c r="D581" s="13"/>
      <c r="E581" s="13"/>
      <c r="F581" s="13" t="s">
        <v>7</v>
      </c>
      <c r="G581" s="13" t="str">
        <f t="shared" si="13"/>
        <v/>
      </c>
      <c r="K581" s="13">
        <v>0.0</v>
      </c>
      <c r="L581" s="13">
        <v>0.0</v>
      </c>
    </row>
    <row r="582">
      <c r="B582" s="11">
        <v>46107.0</v>
      </c>
      <c r="C582" s="13"/>
      <c r="D582" s="13"/>
      <c r="E582" s="13"/>
      <c r="F582" s="13" t="s">
        <v>8</v>
      </c>
      <c r="G582" s="13" t="str">
        <f t="shared" si="13"/>
        <v/>
      </c>
      <c r="K582" s="13">
        <v>0.0</v>
      </c>
      <c r="L582" s="13">
        <v>0.0</v>
      </c>
    </row>
    <row r="583">
      <c r="B583" s="11">
        <v>46107.0</v>
      </c>
      <c r="C583" s="13"/>
      <c r="D583" s="13"/>
      <c r="E583" s="13"/>
      <c r="F583" s="13" t="s">
        <v>9</v>
      </c>
      <c r="G583" s="13" t="str">
        <f t="shared" si="13"/>
        <v/>
      </c>
      <c r="K583" s="13">
        <v>0.0</v>
      </c>
      <c r="L583" s="13">
        <v>0.0</v>
      </c>
    </row>
    <row r="584">
      <c r="B584" s="11">
        <v>46107.0</v>
      </c>
      <c r="C584" s="13"/>
      <c r="D584" s="13"/>
      <c r="E584" s="13"/>
      <c r="F584" s="13" t="s">
        <v>10</v>
      </c>
      <c r="G584" s="13" t="str">
        <f t="shared" si="13"/>
        <v/>
      </c>
      <c r="K584" s="13">
        <v>0.0</v>
      </c>
      <c r="L584" s="13">
        <v>0.0</v>
      </c>
    </row>
    <row r="585">
      <c r="B585" s="11">
        <v>46107.0</v>
      </c>
      <c r="C585" s="13"/>
      <c r="D585" s="13"/>
      <c r="E585" s="13"/>
      <c r="F585" s="13" t="s">
        <v>11</v>
      </c>
      <c r="G585" s="13" t="str">
        <f t="shared" si="13"/>
        <v/>
      </c>
      <c r="K585" s="13">
        <v>0.0</v>
      </c>
      <c r="L585" s="13">
        <v>0.0</v>
      </c>
    </row>
    <row r="586">
      <c r="B586" s="11">
        <v>46107.0</v>
      </c>
      <c r="C586" s="13"/>
      <c r="D586" s="13"/>
      <c r="E586" s="13"/>
      <c r="F586" s="13" t="s">
        <v>12</v>
      </c>
      <c r="G586" s="13" t="str">
        <f t="shared" si="13"/>
        <v/>
      </c>
      <c r="K586" s="13">
        <v>0.0</v>
      </c>
      <c r="L586" s="13">
        <v>0.0</v>
      </c>
    </row>
    <row r="587">
      <c r="B587" s="11">
        <v>46107.0</v>
      </c>
      <c r="C587" s="13"/>
      <c r="D587" s="13"/>
      <c r="E587" s="13"/>
      <c r="F587" s="13" t="s">
        <v>13</v>
      </c>
      <c r="G587" s="13" t="str">
        <f t="shared" si="13"/>
        <v/>
      </c>
      <c r="K587" s="13">
        <v>0.0</v>
      </c>
      <c r="L587" s="13">
        <v>0.0</v>
      </c>
    </row>
    <row r="588">
      <c r="B588" s="11">
        <v>46107.0</v>
      </c>
      <c r="C588" s="4" t="s">
        <v>114</v>
      </c>
      <c r="D588" s="4" t="s">
        <v>302</v>
      </c>
      <c r="E588" s="13"/>
      <c r="F588" s="13" t="s">
        <v>14</v>
      </c>
      <c r="G588" s="13" t="str">
        <f t="shared" si="13"/>
        <v/>
      </c>
      <c r="K588" s="13">
        <v>0.0</v>
      </c>
      <c r="L588" s="13">
        <v>0.0</v>
      </c>
    </row>
    <row r="589">
      <c r="B589" s="11">
        <v>46107.0</v>
      </c>
      <c r="C589" s="4" t="s">
        <v>114</v>
      </c>
      <c r="D589" s="4" t="s">
        <v>302</v>
      </c>
      <c r="E589" s="13"/>
      <c r="F589" s="13" t="s">
        <v>15</v>
      </c>
      <c r="G589" s="13" t="str">
        <f t="shared" si="13"/>
        <v/>
      </c>
      <c r="K589" s="13">
        <v>0.0</v>
      </c>
      <c r="L589" s="13">
        <v>0.0</v>
      </c>
    </row>
    <row r="590">
      <c r="B590" s="11">
        <v>46107.0</v>
      </c>
      <c r="C590" s="4" t="s">
        <v>113</v>
      </c>
      <c r="D590" s="4" t="s">
        <v>304</v>
      </c>
      <c r="E590" s="4" t="s">
        <v>303</v>
      </c>
      <c r="F590" s="13" t="s">
        <v>4</v>
      </c>
      <c r="G590" s="13" t="str">
        <f t="shared" si="13"/>
        <v/>
      </c>
      <c r="H590" s="4">
        <v>5.0</v>
      </c>
      <c r="I590" s="4">
        <v>5.0</v>
      </c>
      <c r="K590" s="13">
        <v>0.0</v>
      </c>
      <c r="L590" s="13">
        <v>0.0</v>
      </c>
    </row>
    <row r="591">
      <c r="B591" s="11">
        <v>46107.0</v>
      </c>
      <c r="C591" s="4" t="s">
        <v>113</v>
      </c>
      <c r="D591" s="4" t="s">
        <v>304</v>
      </c>
      <c r="E591" s="4" t="s">
        <v>303</v>
      </c>
      <c r="F591" s="13" t="s">
        <v>5</v>
      </c>
      <c r="G591" s="13" t="str">
        <f t="shared" si="13"/>
        <v/>
      </c>
      <c r="H591" s="4">
        <v>3.0</v>
      </c>
      <c r="I591" s="4">
        <v>1.0</v>
      </c>
      <c r="K591" s="13">
        <v>2.0</v>
      </c>
      <c r="L591" s="13">
        <v>40000.0</v>
      </c>
    </row>
    <row r="592">
      <c r="B592" s="11">
        <v>46107.0</v>
      </c>
      <c r="C592" s="4" t="s">
        <v>113</v>
      </c>
      <c r="D592" s="4" t="s">
        <v>304</v>
      </c>
      <c r="E592" s="4" t="s">
        <v>303</v>
      </c>
      <c r="F592" s="13" t="s">
        <v>6</v>
      </c>
      <c r="G592" s="13" t="str">
        <f t="shared" si="13"/>
        <v/>
      </c>
      <c r="H592" s="4">
        <v>2.0</v>
      </c>
      <c r="K592" s="13">
        <v>2.0</v>
      </c>
      <c r="L592" s="13">
        <v>40000.0</v>
      </c>
    </row>
    <row r="593">
      <c r="B593" s="11">
        <v>46107.0</v>
      </c>
      <c r="C593" s="4" t="s">
        <v>113</v>
      </c>
      <c r="D593" s="4" t="s">
        <v>304</v>
      </c>
      <c r="E593" s="4" t="s">
        <v>303</v>
      </c>
      <c r="F593" s="13" t="s">
        <v>7</v>
      </c>
      <c r="G593" s="13" t="str">
        <f t="shared" si="13"/>
        <v/>
      </c>
      <c r="H593" s="4">
        <v>2.0</v>
      </c>
      <c r="I593" s="4">
        <v>1.0</v>
      </c>
      <c r="K593" s="13">
        <v>1.0</v>
      </c>
      <c r="L593" s="13">
        <v>20000.0</v>
      </c>
    </row>
    <row r="594">
      <c r="B594" s="11">
        <v>46107.0</v>
      </c>
      <c r="C594" s="4" t="s">
        <v>113</v>
      </c>
      <c r="D594" s="4" t="s">
        <v>304</v>
      </c>
      <c r="E594" s="4" t="s">
        <v>303</v>
      </c>
      <c r="F594" s="13" t="s">
        <v>8</v>
      </c>
      <c r="G594" s="13" t="str">
        <f t="shared" si="13"/>
        <v/>
      </c>
      <c r="H594" s="4">
        <v>3.0</v>
      </c>
      <c r="K594" s="13">
        <v>3.0</v>
      </c>
      <c r="L594" s="13">
        <v>60000.0</v>
      </c>
    </row>
    <row r="595">
      <c r="B595" s="11">
        <v>46107.0</v>
      </c>
      <c r="C595" s="4" t="s">
        <v>113</v>
      </c>
      <c r="D595" s="4" t="s">
        <v>304</v>
      </c>
      <c r="E595" s="4" t="s">
        <v>303</v>
      </c>
      <c r="F595" s="13" t="s">
        <v>9</v>
      </c>
      <c r="G595" s="13" t="str">
        <f t="shared" si="13"/>
        <v/>
      </c>
      <c r="H595" s="4">
        <v>6.0</v>
      </c>
      <c r="I595" s="4">
        <v>2.0</v>
      </c>
      <c r="K595" s="13">
        <v>4.0</v>
      </c>
      <c r="L595" s="13">
        <v>80000.0</v>
      </c>
    </row>
    <row r="596">
      <c r="B596" s="11">
        <v>46107.0</v>
      </c>
      <c r="C596" s="4" t="s">
        <v>113</v>
      </c>
      <c r="D596" s="4" t="s">
        <v>304</v>
      </c>
      <c r="E596" s="4" t="s">
        <v>303</v>
      </c>
      <c r="F596" s="13" t="s">
        <v>10</v>
      </c>
      <c r="G596" s="13" t="str">
        <f t="shared" si="13"/>
        <v/>
      </c>
      <c r="H596" s="4">
        <v>3.0</v>
      </c>
      <c r="K596" s="13">
        <v>3.0</v>
      </c>
      <c r="L596" s="13">
        <v>60000.0</v>
      </c>
    </row>
    <row r="597">
      <c r="B597" s="11">
        <v>46107.0</v>
      </c>
      <c r="C597" s="4" t="s">
        <v>113</v>
      </c>
      <c r="D597" s="4" t="s">
        <v>304</v>
      </c>
      <c r="E597" s="4" t="s">
        <v>303</v>
      </c>
      <c r="F597" s="13" t="s">
        <v>11</v>
      </c>
      <c r="G597" s="13" t="str">
        <f t="shared" si="13"/>
        <v/>
      </c>
      <c r="K597" s="13">
        <v>0.0</v>
      </c>
      <c r="L597" s="13">
        <v>0.0</v>
      </c>
    </row>
    <row r="598">
      <c r="B598" s="11">
        <v>46107.0</v>
      </c>
      <c r="C598" s="4" t="s">
        <v>113</v>
      </c>
      <c r="D598" s="4" t="s">
        <v>304</v>
      </c>
      <c r="E598" s="4" t="s">
        <v>303</v>
      </c>
      <c r="F598" s="13" t="s">
        <v>12</v>
      </c>
      <c r="G598" s="13" t="str">
        <f t="shared" si="13"/>
        <v/>
      </c>
      <c r="H598" s="4">
        <v>2.0</v>
      </c>
      <c r="I598" s="4">
        <v>1.0</v>
      </c>
      <c r="K598" s="13">
        <v>1.0</v>
      </c>
      <c r="L598" s="13">
        <v>20000.0</v>
      </c>
    </row>
    <row r="599">
      <c r="B599" s="11">
        <v>46107.0</v>
      </c>
      <c r="C599" s="4" t="s">
        <v>113</v>
      </c>
      <c r="D599" s="4" t="s">
        <v>304</v>
      </c>
      <c r="E599" s="4" t="s">
        <v>303</v>
      </c>
      <c r="F599" s="13" t="s">
        <v>13</v>
      </c>
      <c r="G599" s="13" t="str">
        <f t="shared" si="13"/>
        <v/>
      </c>
      <c r="H599" s="4">
        <v>3.0</v>
      </c>
      <c r="I599" s="4">
        <v>1.0</v>
      </c>
      <c r="K599" s="13">
        <v>2.0</v>
      </c>
      <c r="L599" s="13">
        <v>40000.0</v>
      </c>
    </row>
    <row r="600">
      <c r="B600" s="11">
        <v>46107.0</v>
      </c>
      <c r="C600" s="4" t="s">
        <v>113</v>
      </c>
      <c r="D600" s="4" t="s">
        <v>304</v>
      </c>
      <c r="E600" s="4" t="s">
        <v>303</v>
      </c>
      <c r="F600" s="13" t="s">
        <v>14</v>
      </c>
      <c r="G600" s="13" t="str">
        <f t="shared" si="13"/>
        <v/>
      </c>
      <c r="K600" s="13">
        <v>0.0</v>
      </c>
      <c r="L600" s="13">
        <v>0.0</v>
      </c>
    </row>
    <row r="601">
      <c r="B601" s="11">
        <v>46107.0</v>
      </c>
      <c r="C601" s="4" t="s">
        <v>113</v>
      </c>
      <c r="D601" s="4" t="s">
        <v>304</v>
      </c>
      <c r="E601" s="4" t="s">
        <v>303</v>
      </c>
      <c r="F601" s="13" t="s">
        <v>15</v>
      </c>
      <c r="G601" s="13" t="str">
        <f t="shared" si="13"/>
        <v/>
      </c>
      <c r="H601" s="4">
        <v>35.0</v>
      </c>
      <c r="I601" s="4">
        <v>30.0</v>
      </c>
      <c r="K601" s="13">
        <v>5.0</v>
      </c>
      <c r="L601" s="13">
        <v>100000.0</v>
      </c>
    </row>
    <row r="602">
      <c r="B602" s="11">
        <v>46107.0</v>
      </c>
      <c r="C602" s="4" t="s">
        <v>114</v>
      </c>
      <c r="D602" s="4" t="s">
        <v>304</v>
      </c>
      <c r="E602" s="13"/>
      <c r="F602" s="13" t="s">
        <v>4</v>
      </c>
      <c r="G602" s="13">
        <f t="shared" si="13"/>
        <v>5</v>
      </c>
      <c r="K602" s="13">
        <v>5.0</v>
      </c>
      <c r="L602" s="13">
        <v>100000.0</v>
      </c>
    </row>
    <row r="603">
      <c r="B603" s="11">
        <v>46107.0</v>
      </c>
      <c r="C603" s="4" t="s">
        <v>114</v>
      </c>
      <c r="D603" s="4" t="s">
        <v>304</v>
      </c>
      <c r="E603" s="13"/>
      <c r="F603" s="13" t="s">
        <v>5</v>
      </c>
      <c r="G603" s="13">
        <f t="shared" si="13"/>
        <v>1</v>
      </c>
      <c r="K603" s="13">
        <v>1.0</v>
      </c>
      <c r="L603" s="13">
        <v>20000.0</v>
      </c>
    </row>
    <row r="604">
      <c r="B604" s="11">
        <v>46107.0</v>
      </c>
      <c r="C604" s="4" t="s">
        <v>114</v>
      </c>
      <c r="D604" s="4" t="s">
        <v>304</v>
      </c>
      <c r="E604" s="13"/>
      <c r="F604" s="13" t="s">
        <v>6</v>
      </c>
      <c r="G604" s="13" t="str">
        <f t="shared" si="13"/>
        <v/>
      </c>
      <c r="K604" s="13">
        <v>0.0</v>
      </c>
      <c r="L604" s="13">
        <v>0.0</v>
      </c>
    </row>
    <row r="605">
      <c r="B605" s="11">
        <v>46107.0</v>
      </c>
      <c r="C605" s="4" t="s">
        <v>114</v>
      </c>
      <c r="D605" s="4" t="s">
        <v>304</v>
      </c>
      <c r="E605" s="13"/>
      <c r="F605" s="13" t="s">
        <v>7</v>
      </c>
      <c r="G605" s="13">
        <f t="shared" si="13"/>
        <v>1</v>
      </c>
      <c r="K605" s="13">
        <v>1.0</v>
      </c>
      <c r="L605" s="13">
        <v>20000.0</v>
      </c>
    </row>
    <row r="606">
      <c r="B606" s="11">
        <v>46107.0</v>
      </c>
      <c r="C606" s="4" t="s">
        <v>114</v>
      </c>
      <c r="D606" s="4" t="s">
        <v>304</v>
      </c>
      <c r="E606" s="13"/>
      <c r="F606" s="13" t="s">
        <v>8</v>
      </c>
      <c r="G606" s="13" t="str">
        <f t="shared" si="13"/>
        <v/>
      </c>
      <c r="K606" s="13">
        <v>0.0</v>
      </c>
      <c r="L606" s="13">
        <v>0.0</v>
      </c>
    </row>
    <row r="607">
      <c r="B607" s="11">
        <v>46107.0</v>
      </c>
      <c r="C607" s="4" t="s">
        <v>114</v>
      </c>
      <c r="D607" s="4" t="s">
        <v>304</v>
      </c>
      <c r="E607" s="13"/>
      <c r="F607" s="13" t="s">
        <v>9</v>
      </c>
      <c r="G607" s="13">
        <f t="shared" si="13"/>
        <v>2</v>
      </c>
      <c r="K607" s="13">
        <v>2.0</v>
      </c>
      <c r="L607" s="13">
        <v>40000.0</v>
      </c>
    </row>
    <row r="608">
      <c r="B608" s="11">
        <v>46107.0</v>
      </c>
      <c r="C608" s="4" t="s">
        <v>114</v>
      </c>
      <c r="D608" s="4" t="s">
        <v>304</v>
      </c>
      <c r="E608" s="13"/>
      <c r="F608" s="13" t="s">
        <v>10</v>
      </c>
      <c r="G608" s="13" t="str">
        <f t="shared" si="13"/>
        <v/>
      </c>
      <c r="K608" s="13">
        <v>0.0</v>
      </c>
      <c r="L608" s="13">
        <v>0.0</v>
      </c>
    </row>
    <row r="609">
      <c r="B609" s="11">
        <v>46107.0</v>
      </c>
      <c r="C609" s="4" t="s">
        <v>114</v>
      </c>
      <c r="D609" s="4" t="s">
        <v>304</v>
      </c>
      <c r="E609" s="13"/>
      <c r="F609" s="13" t="s">
        <v>11</v>
      </c>
      <c r="G609" s="13" t="str">
        <f t="shared" si="13"/>
        <v/>
      </c>
      <c r="K609" s="13">
        <v>0.0</v>
      </c>
      <c r="L609" s="13">
        <v>0.0</v>
      </c>
    </row>
    <row r="610">
      <c r="B610" s="11">
        <v>46107.0</v>
      </c>
      <c r="C610" s="4" t="s">
        <v>114</v>
      </c>
      <c r="D610" s="4" t="s">
        <v>304</v>
      </c>
      <c r="E610" s="13"/>
      <c r="F610" s="13" t="s">
        <v>12</v>
      </c>
      <c r="G610" s="13">
        <f t="shared" si="13"/>
        <v>1</v>
      </c>
      <c r="K610" s="13">
        <v>1.0</v>
      </c>
      <c r="L610" s="13">
        <v>20000.0</v>
      </c>
    </row>
    <row r="611">
      <c r="B611" s="11">
        <v>46107.0</v>
      </c>
      <c r="C611" s="4" t="s">
        <v>114</v>
      </c>
      <c r="D611" s="4" t="s">
        <v>304</v>
      </c>
      <c r="E611" s="13"/>
      <c r="F611" s="13" t="s">
        <v>13</v>
      </c>
      <c r="G611" s="13">
        <f t="shared" si="13"/>
        <v>1</v>
      </c>
      <c r="K611" s="13">
        <v>1.0</v>
      </c>
      <c r="L611" s="13">
        <v>20000.0</v>
      </c>
    </row>
    <row r="612">
      <c r="B612" s="11">
        <v>46107.0</v>
      </c>
      <c r="C612" s="4" t="s">
        <v>114</v>
      </c>
      <c r="D612" s="4" t="s">
        <v>304</v>
      </c>
      <c r="E612" s="13"/>
      <c r="F612" s="13" t="s">
        <v>14</v>
      </c>
      <c r="G612" s="13" t="str">
        <f t="shared" si="13"/>
        <v/>
      </c>
      <c r="K612" s="13">
        <v>0.0</v>
      </c>
      <c r="L612" s="13">
        <v>0.0</v>
      </c>
    </row>
    <row r="613">
      <c r="B613" s="11">
        <v>46107.0</v>
      </c>
      <c r="C613" s="4" t="s">
        <v>114</v>
      </c>
      <c r="D613" s="4" t="s">
        <v>304</v>
      </c>
      <c r="E613" s="13"/>
      <c r="F613" s="13" t="s">
        <v>15</v>
      </c>
      <c r="G613" s="13">
        <f t="shared" si="13"/>
        <v>30</v>
      </c>
      <c r="K613" s="13">
        <v>30.0</v>
      </c>
      <c r="L613" s="13">
        <v>600000.0</v>
      </c>
    </row>
    <row r="614">
      <c r="B614" s="11">
        <v>46107.0</v>
      </c>
      <c r="C614" s="13"/>
      <c r="D614" s="13"/>
      <c r="E614" s="13"/>
      <c r="F614" s="13" t="s">
        <v>4</v>
      </c>
      <c r="K614" s="13">
        <v>0.0</v>
      </c>
      <c r="L614" s="13">
        <v>0.0</v>
      </c>
    </row>
    <row r="615">
      <c r="B615" s="11">
        <v>46107.0</v>
      </c>
      <c r="C615" s="13"/>
      <c r="D615" s="13"/>
      <c r="E615" s="13"/>
      <c r="F615" s="13" t="s">
        <v>5</v>
      </c>
      <c r="K615" s="13">
        <v>0.0</v>
      </c>
      <c r="L615" s="13">
        <v>0.0</v>
      </c>
    </row>
    <row r="616">
      <c r="B616" s="11">
        <v>46107.0</v>
      </c>
      <c r="C616" s="13"/>
      <c r="D616" s="13"/>
      <c r="E616" s="13"/>
      <c r="F616" s="13" t="s">
        <v>6</v>
      </c>
      <c r="K616" s="13">
        <v>0.0</v>
      </c>
      <c r="L616" s="13">
        <v>0.0</v>
      </c>
    </row>
    <row r="617">
      <c r="B617" s="11">
        <v>46107.0</v>
      </c>
      <c r="C617" s="13"/>
      <c r="D617" s="13"/>
      <c r="E617" s="13"/>
      <c r="F617" s="13" t="s">
        <v>7</v>
      </c>
      <c r="K617" s="13">
        <v>0.0</v>
      </c>
      <c r="L617" s="13">
        <v>0.0</v>
      </c>
    </row>
    <row r="618">
      <c r="B618" s="11">
        <v>46107.0</v>
      </c>
      <c r="C618" s="13"/>
      <c r="D618" s="13"/>
      <c r="E618" s="13"/>
      <c r="F618" s="13" t="s">
        <v>8</v>
      </c>
      <c r="K618" s="13">
        <v>0.0</v>
      </c>
      <c r="L618" s="13">
        <v>0.0</v>
      </c>
    </row>
    <row r="619">
      <c r="B619" s="11">
        <v>46107.0</v>
      </c>
      <c r="C619" s="13"/>
      <c r="D619" s="13"/>
      <c r="E619" s="13"/>
      <c r="F619" s="13" t="s">
        <v>9</v>
      </c>
      <c r="K619" s="13">
        <v>0.0</v>
      </c>
      <c r="L619" s="13">
        <v>0.0</v>
      </c>
    </row>
    <row r="620">
      <c r="B620" s="11">
        <v>46107.0</v>
      </c>
      <c r="C620" s="13"/>
      <c r="D620" s="13"/>
      <c r="E620" s="13"/>
      <c r="F620" s="13" t="s">
        <v>10</v>
      </c>
      <c r="K620" s="13">
        <v>0.0</v>
      </c>
      <c r="L620" s="13">
        <v>0.0</v>
      </c>
    </row>
    <row r="621">
      <c r="B621" s="11">
        <v>46107.0</v>
      </c>
      <c r="C621" s="13"/>
      <c r="D621" s="13"/>
      <c r="E621" s="13"/>
      <c r="F621" s="13" t="s">
        <v>11</v>
      </c>
      <c r="K621" s="13">
        <v>0.0</v>
      </c>
      <c r="L621" s="13">
        <v>0.0</v>
      </c>
    </row>
    <row r="622">
      <c r="B622" s="11">
        <v>46107.0</v>
      </c>
      <c r="C622" s="13"/>
      <c r="D622" s="13"/>
      <c r="E622" s="13"/>
      <c r="F622" s="13" t="s">
        <v>12</v>
      </c>
      <c r="K622" s="13">
        <v>0.0</v>
      </c>
      <c r="L622" s="13">
        <v>0.0</v>
      </c>
    </row>
    <row r="623">
      <c r="B623" s="11">
        <v>46107.0</v>
      </c>
      <c r="C623" s="13"/>
      <c r="D623" s="13"/>
      <c r="E623" s="13"/>
      <c r="F623" s="13" t="s">
        <v>13</v>
      </c>
      <c r="K623" s="13">
        <v>0.0</v>
      </c>
      <c r="L623" s="13">
        <v>0.0</v>
      </c>
    </row>
    <row r="624">
      <c r="B624" s="11">
        <v>46107.0</v>
      </c>
      <c r="C624" s="13"/>
      <c r="D624" s="13"/>
      <c r="E624" s="13"/>
      <c r="F624" s="13" t="s">
        <v>14</v>
      </c>
      <c r="K624" s="13">
        <v>0.0</v>
      </c>
      <c r="L624" s="13">
        <v>0.0</v>
      </c>
    </row>
    <row r="625">
      <c r="B625" s="11">
        <v>46107.0</v>
      </c>
      <c r="C625" s="13"/>
      <c r="D625" s="13"/>
      <c r="E625" s="13"/>
      <c r="F625" s="13" t="s">
        <v>15</v>
      </c>
      <c r="K625" s="13">
        <v>0.0</v>
      </c>
      <c r="L625" s="13">
        <v>0.0</v>
      </c>
    </row>
    <row r="626">
      <c r="B626" s="11">
        <v>46107.0</v>
      </c>
      <c r="C626" s="13"/>
      <c r="D626" s="13"/>
      <c r="E626" s="13"/>
      <c r="F626" s="13" t="s">
        <v>4</v>
      </c>
      <c r="K626" s="13">
        <v>0.0</v>
      </c>
      <c r="L626" s="13">
        <v>0.0</v>
      </c>
    </row>
    <row r="627">
      <c r="B627" s="11">
        <v>46107.0</v>
      </c>
      <c r="C627" s="13"/>
      <c r="D627" s="13"/>
      <c r="E627" s="13"/>
      <c r="F627" s="13" t="s">
        <v>5</v>
      </c>
      <c r="K627" s="13">
        <v>0.0</v>
      </c>
      <c r="L627" s="13">
        <v>0.0</v>
      </c>
    </row>
    <row r="628">
      <c r="B628" s="11">
        <v>46107.0</v>
      </c>
      <c r="C628" s="13"/>
      <c r="D628" s="13"/>
      <c r="E628" s="13"/>
      <c r="F628" s="13" t="s">
        <v>6</v>
      </c>
      <c r="K628" s="13">
        <v>0.0</v>
      </c>
      <c r="L628" s="13">
        <v>0.0</v>
      </c>
    </row>
    <row r="629">
      <c r="C629" s="13"/>
      <c r="D629" s="13"/>
      <c r="E629" s="13"/>
      <c r="F629" s="13" t="s">
        <v>7</v>
      </c>
      <c r="K629" s="13">
        <v>0.0</v>
      </c>
      <c r="L629" s="13">
        <v>0.0</v>
      </c>
    </row>
    <row r="630">
      <c r="C630" s="13"/>
      <c r="D630" s="13"/>
      <c r="E630" s="13"/>
      <c r="F630" s="13" t="s">
        <v>8</v>
      </c>
      <c r="K630" s="13">
        <v>0.0</v>
      </c>
      <c r="L630" s="13">
        <v>0.0</v>
      </c>
    </row>
    <row r="631">
      <c r="C631" s="13"/>
      <c r="D631" s="13"/>
      <c r="E631" s="13"/>
      <c r="F631" s="13" t="s">
        <v>9</v>
      </c>
      <c r="K631" s="13">
        <v>0.0</v>
      </c>
      <c r="L631" s="13">
        <v>0.0</v>
      </c>
    </row>
    <row r="632">
      <c r="C632" s="13"/>
      <c r="D632" s="13"/>
      <c r="E632" s="13"/>
      <c r="F632" s="13" t="s">
        <v>10</v>
      </c>
      <c r="K632" s="13">
        <v>0.0</v>
      </c>
      <c r="L632" s="13">
        <v>0.0</v>
      </c>
    </row>
    <row r="633">
      <c r="C633" s="13"/>
      <c r="D633" s="13"/>
      <c r="E633" s="13"/>
      <c r="F633" s="13" t="s">
        <v>11</v>
      </c>
      <c r="K633" s="13">
        <v>0.0</v>
      </c>
      <c r="L633" s="13">
        <v>0.0</v>
      </c>
    </row>
    <row r="634">
      <c r="C634" s="13"/>
      <c r="D634" s="13"/>
      <c r="E634" s="13"/>
      <c r="F634" s="13" t="s">
        <v>12</v>
      </c>
      <c r="K634" s="13">
        <v>0.0</v>
      </c>
      <c r="L634" s="13">
        <v>0.0</v>
      </c>
    </row>
    <row r="635">
      <c r="B635" s="11">
        <v>46107.0</v>
      </c>
      <c r="C635" s="13"/>
      <c r="D635" s="13"/>
      <c r="E635" s="13"/>
      <c r="F635" s="13" t="s">
        <v>13</v>
      </c>
      <c r="K635" s="13">
        <v>0.0</v>
      </c>
      <c r="L635" s="13">
        <v>0.0</v>
      </c>
    </row>
    <row r="636">
      <c r="C636" s="13"/>
      <c r="D636" s="13"/>
      <c r="E636" s="13"/>
      <c r="F636" s="13" t="s">
        <v>14</v>
      </c>
      <c r="K636" s="13">
        <v>0.0</v>
      </c>
      <c r="L636" s="13">
        <v>0.0</v>
      </c>
    </row>
    <row r="637">
      <c r="C637" s="13"/>
      <c r="D637" s="13"/>
      <c r="E637" s="13"/>
      <c r="F637" s="13" t="s">
        <v>15</v>
      </c>
      <c r="K637" s="13">
        <v>0.0</v>
      </c>
      <c r="L637" s="13">
        <v>0.0</v>
      </c>
    </row>
    <row r="638">
      <c r="B638" s="94">
        <f>B635+1</f>
        <v>46108</v>
      </c>
      <c r="C638" s="4" t="s">
        <v>113</v>
      </c>
      <c r="D638" s="4" t="s">
        <v>81</v>
      </c>
      <c r="E638" s="4" t="s">
        <v>73</v>
      </c>
      <c r="F638" s="13" t="s">
        <v>4</v>
      </c>
      <c r="H638" s="4">
        <v>7.0</v>
      </c>
      <c r="K638" s="13">
        <v>7.0</v>
      </c>
      <c r="L638" s="13">
        <v>140000.0</v>
      </c>
      <c r="M638" s="13">
        <f>sum(L638:L649)+500000</f>
        <v>1964000</v>
      </c>
    </row>
    <row r="639">
      <c r="B639" s="94">
        <v>46108.0</v>
      </c>
      <c r="C639" s="4" t="s">
        <v>113</v>
      </c>
      <c r="D639" s="4" t="s">
        <v>81</v>
      </c>
      <c r="E639" s="4" t="s">
        <v>73</v>
      </c>
      <c r="F639" s="13" t="s">
        <v>5</v>
      </c>
      <c r="H639" s="4">
        <v>4.0</v>
      </c>
      <c r="K639" s="13">
        <v>4.0</v>
      </c>
      <c r="L639" s="13">
        <v>80000.0</v>
      </c>
    </row>
    <row r="640">
      <c r="B640" s="94">
        <v>46108.0</v>
      </c>
      <c r="C640" s="4" t="s">
        <v>113</v>
      </c>
      <c r="D640" s="4" t="s">
        <v>81</v>
      </c>
      <c r="E640" s="4" t="s">
        <v>73</v>
      </c>
      <c r="F640" s="13" t="s">
        <v>6</v>
      </c>
      <c r="H640" s="4">
        <v>3.0</v>
      </c>
      <c r="K640" s="13">
        <v>3.0</v>
      </c>
      <c r="L640" s="13">
        <v>60000.0</v>
      </c>
    </row>
    <row r="641">
      <c r="B641" s="94">
        <v>46108.0</v>
      </c>
      <c r="C641" s="4" t="s">
        <v>113</v>
      </c>
      <c r="D641" s="4" t="s">
        <v>81</v>
      </c>
      <c r="E641" s="4" t="s">
        <v>73</v>
      </c>
      <c r="F641" s="13" t="s">
        <v>7</v>
      </c>
      <c r="H641" s="4">
        <v>3.0</v>
      </c>
      <c r="K641" s="13">
        <v>3.0</v>
      </c>
      <c r="L641" s="13">
        <v>60000.0</v>
      </c>
    </row>
    <row r="642">
      <c r="B642" s="94">
        <v>46108.0</v>
      </c>
      <c r="C642" s="4" t="s">
        <v>113</v>
      </c>
      <c r="D642" s="4" t="s">
        <v>81</v>
      </c>
      <c r="E642" s="4" t="s">
        <v>73</v>
      </c>
      <c r="F642" s="13" t="s">
        <v>8</v>
      </c>
      <c r="H642" s="4">
        <v>5.0</v>
      </c>
      <c r="K642" s="13">
        <v>5.0</v>
      </c>
      <c r="L642" s="13">
        <v>100000.0</v>
      </c>
    </row>
    <row r="643">
      <c r="B643" s="94">
        <v>46108.0</v>
      </c>
      <c r="C643" s="4" t="s">
        <v>113</v>
      </c>
      <c r="D643" s="4" t="s">
        <v>81</v>
      </c>
      <c r="E643" s="4" t="s">
        <v>73</v>
      </c>
      <c r="F643" s="13" t="s">
        <v>9</v>
      </c>
      <c r="H643" s="4">
        <v>5.0</v>
      </c>
      <c r="K643" s="13">
        <v>5.0</v>
      </c>
      <c r="L643" s="13">
        <v>100000.0</v>
      </c>
    </row>
    <row r="644">
      <c r="B644" s="94">
        <v>46108.0</v>
      </c>
      <c r="C644" s="4" t="s">
        <v>113</v>
      </c>
      <c r="D644" s="4" t="s">
        <v>81</v>
      </c>
      <c r="E644" s="4" t="s">
        <v>73</v>
      </c>
      <c r="F644" s="13" t="s">
        <v>10</v>
      </c>
      <c r="H644" s="4">
        <v>4.0</v>
      </c>
      <c r="K644" s="13">
        <v>4.0</v>
      </c>
      <c r="L644" s="13">
        <v>80000.0</v>
      </c>
    </row>
    <row r="645">
      <c r="B645" s="94">
        <v>46108.0</v>
      </c>
      <c r="C645" s="4" t="s">
        <v>113</v>
      </c>
      <c r="D645" s="4" t="s">
        <v>81</v>
      </c>
      <c r="E645" s="4" t="s">
        <v>73</v>
      </c>
      <c r="F645" s="13" t="s">
        <v>11</v>
      </c>
      <c r="H645" s="4">
        <v>2.0</v>
      </c>
      <c r="K645" s="13">
        <v>2.0</v>
      </c>
      <c r="L645" s="13">
        <v>40000.0</v>
      </c>
    </row>
    <row r="646">
      <c r="B646" s="94">
        <v>46108.0</v>
      </c>
      <c r="C646" s="4" t="s">
        <v>113</v>
      </c>
      <c r="D646" s="4" t="s">
        <v>81</v>
      </c>
      <c r="E646" s="4" t="s">
        <v>73</v>
      </c>
      <c r="F646" s="13" t="s">
        <v>12</v>
      </c>
      <c r="H646" s="4">
        <v>4.0</v>
      </c>
      <c r="K646" s="13">
        <v>4.0</v>
      </c>
      <c r="L646" s="13">
        <v>80000.0</v>
      </c>
    </row>
    <row r="647">
      <c r="B647" s="94">
        <v>46108.0</v>
      </c>
      <c r="C647" s="4" t="s">
        <v>113</v>
      </c>
      <c r="D647" s="4" t="s">
        <v>81</v>
      </c>
      <c r="E647" s="4" t="s">
        <v>73</v>
      </c>
      <c r="F647" s="13" t="s">
        <v>13</v>
      </c>
      <c r="H647" s="4">
        <v>3.0</v>
      </c>
      <c r="K647" s="13">
        <v>3.0</v>
      </c>
      <c r="L647" s="13">
        <v>60000.0</v>
      </c>
    </row>
    <row r="648">
      <c r="B648" s="94">
        <v>46108.0</v>
      </c>
      <c r="C648" s="4" t="s">
        <v>113</v>
      </c>
      <c r="D648" s="4" t="s">
        <v>81</v>
      </c>
      <c r="E648" s="4" t="s">
        <v>73</v>
      </c>
      <c r="F648" s="13" t="s">
        <v>14</v>
      </c>
      <c r="H648" s="4">
        <v>2.0</v>
      </c>
      <c r="K648" s="13">
        <v>2.0</v>
      </c>
      <c r="L648" s="13">
        <v>44000.0</v>
      </c>
    </row>
    <row r="649">
      <c r="B649" s="94">
        <v>46108.0</v>
      </c>
      <c r="C649" s="4" t="s">
        <v>113</v>
      </c>
      <c r="D649" s="4" t="s">
        <v>81</v>
      </c>
      <c r="E649" s="4" t="s">
        <v>73</v>
      </c>
      <c r="F649" s="13" t="s">
        <v>15</v>
      </c>
      <c r="H649" s="4">
        <v>31.0</v>
      </c>
      <c r="K649" s="13">
        <v>31.0</v>
      </c>
      <c r="L649" s="13">
        <v>620000.0</v>
      </c>
    </row>
    <row r="650">
      <c r="B650" s="94">
        <v>46108.0</v>
      </c>
      <c r="C650" s="4" t="s">
        <v>114</v>
      </c>
      <c r="D650" s="4" t="s">
        <v>81</v>
      </c>
      <c r="E650" s="13"/>
      <c r="F650" s="13" t="s">
        <v>4</v>
      </c>
      <c r="K650" s="13">
        <v>0.0</v>
      </c>
      <c r="L650" s="13">
        <v>0.0</v>
      </c>
    </row>
    <row r="651">
      <c r="B651" s="94">
        <v>46108.0</v>
      </c>
      <c r="C651" s="4" t="s">
        <v>114</v>
      </c>
      <c r="D651" s="4" t="s">
        <v>81</v>
      </c>
      <c r="E651" s="13"/>
      <c r="F651" s="13" t="s">
        <v>5</v>
      </c>
      <c r="K651" s="13">
        <v>0.0</v>
      </c>
      <c r="L651" s="13">
        <v>0.0</v>
      </c>
    </row>
    <row r="652">
      <c r="B652" s="94">
        <v>46108.0</v>
      </c>
      <c r="C652" s="4" t="s">
        <v>114</v>
      </c>
      <c r="D652" s="4" t="s">
        <v>81</v>
      </c>
      <c r="E652" s="13"/>
      <c r="F652" s="13" t="s">
        <v>6</v>
      </c>
      <c r="K652" s="13">
        <v>0.0</v>
      </c>
      <c r="L652" s="13">
        <v>0.0</v>
      </c>
    </row>
    <row r="653">
      <c r="B653" s="94">
        <v>46108.0</v>
      </c>
      <c r="C653" s="4" t="s">
        <v>114</v>
      </c>
      <c r="D653" s="4" t="s">
        <v>81</v>
      </c>
      <c r="E653" s="13"/>
      <c r="F653" s="13" t="s">
        <v>7</v>
      </c>
      <c r="K653" s="13">
        <v>0.0</v>
      </c>
      <c r="L653" s="13">
        <v>0.0</v>
      </c>
    </row>
    <row r="654">
      <c r="B654" s="94">
        <v>46108.0</v>
      </c>
      <c r="C654" s="4" t="s">
        <v>114</v>
      </c>
      <c r="D654" s="4" t="s">
        <v>81</v>
      </c>
      <c r="E654" s="13"/>
      <c r="F654" s="13" t="s">
        <v>8</v>
      </c>
      <c r="K654" s="13">
        <v>0.0</v>
      </c>
      <c r="L654" s="13">
        <v>0.0</v>
      </c>
    </row>
    <row r="655">
      <c r="B655" s="94">
        <v>46108.0</v>
      </c>
      <c r="C655" s="4" t="s">
        <v>114</v>
      </c>
      <c r="D655" s="4" t="s">
        <v>81</v>
      </c>
      <c r="E655" s="13"/>
      <c r="F655" s="13" t="s">
        <v>9</v>
      </c>
      <c r="K655" s="13">
        <v>0.0</v>
      </c>
      <c r="L655" s="13">
        <v>0.0</v>
      </c>
    </row>
    <row r="656">
      <c r="B656" s="94">
        <v>46108.0</v>
      </c>
      <c r="C656" s="4" t="s">
        <v>114</v>
      </c>
      <c r="D656" s="4" t="s">
        <v>81</v>
      </c>
      <c r="E656" s="13"/>
      <c r="F656" s="13" t="s">
        <v>10</v>
      </c>
      <c r="K656" s="13">
        <v>0.0</v>
      </c>
      <c r="L656" s="13">
        <v>0.0</v>
      </c>
    </row>
    <row r="657">
      <c r="B657" s="94">
        <v>46108.0</v>
      </c>
      <c r="C657" s="4" t="s">
        <v>114</v>
      </c>
      <c r="D657" s="4" t="s">
        <v>81</v>
      </c>
      <c r="E657" s="13"/>
      <c r="F657" s="13" t="s">
        <v>11</v>
      </c>
      <c r="K657" s="13">
        <v>0.0</v>
      </c>
      <c r="L657" s="13">
        <v>0.0</v>
      </c>
    </row>
    <row r="658">
      <c r="B658" s="94">
        <v>46108.0</v>
      </c>
      <c r="C658" s="4" t="s">
        <v>114</v>
      </c>
      <c r="D658" s="4" t="s">
        <v>81</v>
      </c>
      <c r="E658" s="13"/>
      <c r="F658" s="13" t="s">
        <v>12</v>
      </c>
      <c r="K658" s="13">
        <v>0.0</v>
      </c>
      <c r="L658" s="13">
        <v>0.0</v>
      </c>
    </row>
    <row r="659">
      <c r="B659" s="94">
        <v>46108.0</v>
      </c>
      <c r="C659" s="4" t="s">
        <v>114</v>
      </c>
      <c r="D659" s="4" t="s">
        <v>81</v>
      </c>
      <c r="E659" s="13"/>
      <c r="F659" s="13" t="s">
        <v>13</v>
      </c>
      <c r="K659" s="13">
        <v>0.0</v>
      </c>
      <c r="L659" s="13">
        <v>0.0</v>
      </c>
    </row>
    <row r="660">
      <c r="B660" s="94">
        <v>46108.0</v>
      </c>
      <c r="C660" s="4" t="s">
        <v>114</v>
      </c>
      <c r="D660" s="4" t="s">
        <v>81</v>
      </c>
      <c r="E660" s="13"/>
      <c r="F660" s="13" t="s">
        <v>14</v>
      </c>
      <c r="K660" s="13">
        <v>0.0</v>
      </c>
      <c r="L660" s="13">
        <v>0.0</v>
      </c>
    </row>
    <row r="661">
      <c r="B661" s="94">
        <v>46108.0</v>
      </c>
      <c r="C661" s="4" t="s">
        <v>114</v>
      </c>
      <c r="D661" s="4" t="s">
        <v>81</v>
      </c>
      <c r="E661" s="13"/>
      <c r="F661" s="13" t="s">
        <v>15</v>
      </c>
      <c r="K661" s="13">
        <v>0.0</v>
      </c>
      <c r="L661" s="13">
        <v>0.0</v>
      </c>
    </row>
    <row r="662">
      <c r="B662" s="94">
        <v>46108.0</v>
      </c>
      <c r="C662" s="4" t="s">
        <v>113</v>
      </c>
      <c r="D662" s="4" t="s">
        <v>80</v>
      </c>
      <c r="E662" s="4" t="s">
        <v>62</v>
      </c>
      <c r="F662" s="13" t="s">
        <v>4</v>
      </c>
      <c r="H662" s="4">
        <v>6.0</v>
      </c>
      <c r="K662" s="13">
        <v>6.0</v>
      </c>
      <c r="L662" s="13">
        <v>120000.0</v>
      </c>
      <c r="M662" s="13">
        <f>sum(L662:L673)+500000</f>
        <v>1846000</v>
      </c>
    </row>
    <row r="663">
      <c r="B663" s="94">
        <v>46108.0</v>
      </c>
      <c r="C663" s="4" t="s">
        <v>113</v>
      </c>
      <c r="D663" s="4" t="s">
        <v>80</v>
      </c>
      <c r="E663" s="4" t="s">
        <v>62</v>
      </c>
      <c r="F663" s="13" t="s">
        <v>5</v>
      </c>
      <c r="H663" s="4">
        <v>3.0</v>
      </c>
      <c r="K663" s="13">
        <v>3.0</v>
      </c>
      <c r="L663" s="13">
        <v>60000.0</v>
      </c>
    </row>
    <row r="664">
      <c r="B664" s="94">
        <v>46108.0</v>
      </c>
      <c r="C664" s="4" t="s">
        <v>113</v>
      </c>
      <c r="D664" s="4" t="s">
        <v>80</v>
      </c>
      <c r="E664" s="4" t="s">
        <v>62</v>
      </c>
      <c r="F664" s="13" t="s">
        <v>6</v>
      </c>
      <c r="H664" s="4">
        <v>3.0</v>
      </c>
      <c r="K664" s="13">
        <v>3.0</v>
      </c>
      <c r="L664" s="13">
        <v>60000.0</v>
      </c>
    </row>
    <row r="665">
      <c r="B665" s="94">
        <v>46108.0</v>
      </c>
      <c r="C665" s="4" t="s">
        <v>113</v>
      </c>
      <c r="D665" s="4" t="s">
        <v>80</v>
      </c>
      <c r="E665" s="4" t="s">
        <v>62</v>
      </c>
      <c r="F665" s="13" t="s">
        <v>7</v>
      </c>
      <c r="H665" s="4">
        <v>3.0</v>
      </c>
      <c r="K665" s="13">
        <v>3.0</v>
      </c>
      <c r="L665" s="13">
        <v>60000.0</v>
      </c>
    </row>
    <row r="666">
      <c r="B666" s="94">
        <v>46108.0</v>
      </c>
      <c r="C666" s="4" t="s">
        <v>113</v>
      </c>
      <c r="D666" s="4" t="s">
        <v>80</v>
      </c>
      <c r="E666" s="4" t="s">
        <v>62</v>
      </c>
      <c r="F666" s="13" t="s">
        <v>8</v>
      </c>
      <c r="H666" s="4">
        <v>5.0</v>
      </c>
      <c r="K666" s="13">
        <v>5.0</v>
      </c>
      <c r="L666" s="13">
        <v>100000.0</v>
      </c>
    </row>
    <row r="667">
      <c r="B667" s="94">
        <v>46108.0</v>
      </c>
      <c r="C667" s="4" t="s">
        <v>113</v>
      </c>
      <c r="D667" s="4" t="s">
        <v>80</v>
      </c>
      <c r="E667" s="4" t="s">
        <v>62</v>
      </c>
      <c r="F667" s="13" t="s">
        <v>9</v>
      </c>
      <c r="H667" s="4">
        <v>6.0</v>
      </c>
      <c r="K667" s="13">
        <v>6.0</v>
      </c>
      <c r="L667" s="13">
        <v>120000.0</v>
      </c>
    </row>
    <row r="668">
      <c r="B668" s="94">
        <v>46108.0</v>
      </c>
      <c r="C668" s="4" t="s">
        <v>113</v>
      </c>
      <c r="D668" s="4" t="s">
        <v>80</v>
      </c>
      <c r="E668" s="4" t="s">
        <v>62</v>
      </c>
      <c r="F668" s="13" t="s">
        <v>10</v>
      </c>
      <c r="H668" s="4">
        <v>2.0</v>
      </c>
      <c r="K668" s="13">
        <v>2.0</v>
      </c>
      <c r="L668" s="13">
        <v>40000.0</v>
      </c>
    </row>
    <row r="669">
      <c r="B669" s="94">
        <v>46108.0</v>
      </c>
      <c r="C669" s="4" t="s">
        <v>113</v>
      </c>
      <c r="D669" s="4" t="s">
        <v>80</v>
      </c>
      <c r="E669" s="4" t="s">
        <v>62</v>
      </c>
      <c r="F669" s="13" t="s">
        <v>11</v>
      </c>
      <c r="H669" s="4">
        <v>2.0</v>
      </c>
      <c r="K669" s="13">
        <v>2.0</v>
      </c>
      <c r="L669" s="13">
        <v>40000.0</v>
      </c>
    </row>
    <row r="670">
      <c r="B670" s="94">
        <v>46108.0</v>
      </c>
      <c r="C670" s="4" t="s">
        <v>113</v>
      </c>
      <c r="D670" s="4" t="s">
        <v>80</v>
      </c>
      <c r="E670" s="4" t="s">
        <v>62</v>
      </c>
      <c r="F670" s="13" t="s">
        <v>12</v>
      </c>
      <c r="H670" s="4">
        <v>2.0</v>
      </c>
      <c r="K670" s="13">
        <v>2.0</v>
      </c>
      <c r="L670" s="13">
        <v>40000.0</v>
      </c>
    </row>
    <row r="671">
      <c r="B671" s="94">
        <v>46108.0</v>
      </c>
      <c r="C671" s="4" t="s">
        <v>113</v>
      </c>
      <c r="D671" s="4" t="s">
        <v>80</v>
      </c>
      <c r="E671" s="4" t="s">
        <v>62</v>
      </c>
      <c r="F671" s="13" t="s">
        <v>13</v>
      </c>
      <c r="H671" s="4">
        <v>2.0</v>
      </c>
      <c r="K671" s="13">
        <v>2.0</v>
      </c>
      <c r="L671" s="13">
        <v>40000.0</v>
      </c>
    </row>
    <row r="672">
      <c r="B672" s="94">
        <v>46108.0</v>
      </c>
      <c r="C672" s="4" t="s">
        <v>113</v>
      </c>
      <c r="D672" s="4" t="s">
        <v>80</v>
      </c>
      <c r="E672" s="4" t="s">
        <v>62</v>
      </c>
      <c r="F672" s="13" t="s">
        <v>14</v>
      </c>
      <c r="H672" s="4">
        <v>3.0</v>
      </c>
      <c r="K672" s="13">
        <v>3.0</v>
      </c>
      <c r="L672" s="13">
        <v>66000.0</v>
      </c>
    </row>
    <row r="673">
      <c r="B673" s="94">
        <v>46108.0</v>
      </c>
      <c r="C673" s="4" t="s">
        <v>113</v>
      </c>
      <c r="D673" s="4" t="s">
        <v>80</v>
      </c>
      <c r="E673" s="4" t="s">
        <v>62</v>
      </c>
      <c r="F673" s="13" t="s">
        <v>15</v>
      </c>
      <c r="H673" s="4">
        <v>30.0</v>
      </c>
      <c r="K673" s="13">
        <v>30.0</v>
      </c>
      <c r="L673" s="13">
        <v>600000.0</v>
      </c>
    </row>
    <row r="674">
      <c r="B674" s="94">
        <v>46108.0</v>
      </c>
      <c r="C674" s="4" t="s">
        <v>114</v>
      </c>
      <c r="D674" s="4" t="s">
        <v>80</v>
      </c>
      <c r="E674" s="13"/>
      <c r="F674" s="13" t="s">
        <v>4</v>
      </c>
      <c r="K674" s="13">
        <v>0.0</v>
      </c>
      <c r="L674" s="13">
        <v>0.0</v>
      </c>
    </row>
    <row r="675">
      <c r="B675" s="94">
        <v>46108.0</v>
      </c>
      <c r="C675" s="4" t="s">
        <v>114</v>
      </c>
      <c r="D675" s="4" t="s">
        <v>80</v>
      </c>
      <c r="E675" s="13"/>
      <c r="F675" s="13" t="s">
        <v>5</v>
      </c>
      <c r="K675" s="13">
        <v>0.0</v>
      </c>
      <c r="L675" s="13">
        <v>0.0</v>
      </c>
    </row>
    <row r="676">
      <c r="B676" s="94">
        <v>46108.0</v>
      </c>
      <c r="C676" s="4" t="s">
        <v>114</v>
      </c>
      <c r="D676" s="4" t="s">
        <v>80</v>
      </c>
      <c r="E676" s="13"/>
      <c r="F676" s="13" t="s">
        <v>6</v>
      </c>
      <c r="K676" s="13">
        <v>0.0</v>
      </c>
      <c r="L676" s="13">
        <v>0.0</v>
      </c>
    </row>
    <row r="677">
      <c r="B677" s="94">
        <v>46108.0</v>
      </c>
      <c r="C677" s="4" t="s">
        <v>114</v>
      </c>
      <c r="D677" s="4" t="s">
        <v>80</v>
      </c>
      <c r="E677" s="13"/>
      <c r="F677" s="13" t="s">
        <v>7</v>
      </c>
      <c r="K677" s="13">
        <v>0.0</v>
      </c>
      <c r="L677" s="13">
        <v>0.0</v>
      </c>
    </row>
    <row r="678">
      <c r="B678" s="94">
        <v>46108.0</v>
      </c>
      <c r="C678" s="4" t="s">
        <v>114</v>
      </c>
      <c r="D678" s="4" t="s">
        <v>80</v>
      </c>
      <c r="E678" s="13"/>
      <c r="F678" s="13" t="s">
        <v>8</v>
      </c>
      <c r="K678" s="13">
        <v>0.0</v>
      </c>
      <c r="L678" s="13">
        <v>0.0</v>
      </c>
    </row>
    <row r="679">
      <c r="B679" s="94">
        <v>46108.0</v>
      </c>
      <c r="C679" s="4" t="s">
        <v>114</v>
      </c>
      <c r="D679" s="4" t="s">
        <v>80</v>
      </c>
      <c r="E679" s="13"/>
      <c r="F679" s="13" t="s">
        <v>9</v>
      </c>
      <c r="K679" s="13">
        <v>0.0</v>
      </c>
      <c r="L679" s="13">
        <v>0.0</v>
      </c>
    </row>
    <row r="680">
      <c r="B680" s="94">
        <v>46108.0</v>
      </c>
      <c r="C680" s="4" t="s">
        <v>114</v>
      </c>
      <c r="D680" s="4" t="s">
        <v>80</v>
      </c>
      <c r="E680" s="13"/>
      <c r="F680" s="13" t="s">
        <v>10</v>
      </c>
      <c r="K680" s="13">
        <v>0.0</v>
      </c>
      <c r="L680" s="13">
        <v>0.0</v>
      </c>
    </row>
    <row r="681">
      <c r="B681" s="94">
        <v>46108.0</v>
      </c>
      <c r="C681" s="4" t="s">
        <v>114</v>
      </c>
      <c r="D681" s="4" t="s">
        <v>80</v>
      </c>
      <c r="E681" s="13"/>
      <c r="F681" s="13" t="s">
        <v>11</v>
      </c>
      <c r="K681" s="13">
        <v>0.0</v>
      </c>
      <c r="L681" s="13">
        <v>0.0</v>
      </c>
    </row>
    <row r="682">
      <c r="B682" s="94">
        <v>46108.0</v>
      </c>
      <c r="C682" s="4" t="s">
        <v>114</v>
      </c>
      <c r="D682" s="4" t="s">
        <v>80</v>
      </c>
      <c r="E682" s="13"/>
      <c r="F682" s="13" t="s">
        <v>12</v>
      </c>
      <c r="K682" s="13">
        <v>0.0</v>
      </c>
      <c r="L682" s="13">
        <v>0.0</v>
      </c>
    </row>
    <row r="683">
      <c r="B683" s="94">
        <v>46108.0</v>
      </c>
      <c r="C683" s="4" t="s">
        <v>114</v>
      </c>
      <c r="D683" s="4" t="s">
        <v>80</v>
      </c>
      <c r="E683" s="13"/>
      <c r="F683" s="13" t="s">
        <v>13</v>
      </c>
      <c r="K683" s="13">
        <v>0.0</v>
      </c>
      <c r="L683" s="13">
        <v>0.0</v>
      </c>
    </row>
    <row r="684">
      <c r="B684" s="94">
        <v>46108.0</v>
      </c>
      <c r="C684" s="4" t="s">
        <v>114</v>
      </c>
      <c r="D684" s="4" t="s">
        <v>80</v>
      </c>
      <c r="E684" s="13"/>
      <c r="F684" s="13" t="s">
        <v>14</v>
      </c>
      <c r="K684" s="13">
        <v>0.0</v>
      </c>
      <c r="L684" s="13">
        <v>0.0</v>
      </c>
    </row>
    <row r="685">
      <c r="B685" s="94">
        <v>46108.0</v>
      </c>
      <c r="C685" s="4" t="s">
        <v>114</v>
      </c>
      <c r="D685" s="4" t="s">
        <v>80</v>
      </c>
      <c r="E685" s="13"/>
      <c r="F685" s="13" t="s">
        <v>15</v>
      </c>
      <c r="K685" s="13">
        <v>0.0</v>
      </c>
      <c r="L685" s="13">
        <v>0.0</v>
      </c>
    </row>
    <row r="686">
      <c r="B686" s="94">
        <v>46108.0</v>
      </c>
      <c r="C686" s="4" t="s">
        <v>113</v>
      </c>
      <c r="D686" s="4" t="s">
        <v>89</v>
      </c>
      <c r="E686" s="4" t="s">
        <v>82</v>
      </c>
      <c r="F686" s="13" t="s">
        <v>4</v>
      </c>
      <c r="H686" s="4">
        <v>15.0</v>
      </c>
      <c r="K686" s="13">
        <v>15.0</v>
      </c>
      <c r="L686" s="13">
        <v>300000.0</v>
      </c>
      <c r="M686" s="13">
        <f>sum(L686:L697)+500000+ 500000</f>
        <v>3430000</v>
      </c>
    </row>
    <row r="687">
      <c r="B687" s="94">
        <v>46108.0</v>
      </c>
      <c r="C687" s="4" t="s">
        <v>113</v>
      </c>
      <c r="D687" s="4" t="s">
        <v>89</v>
      </c>
      <c r="E687" s="4" t="s">
        <v>82</v>
      </c>
      <c r="F687" s="13" t="s">
        <v>5</v>
      </c>
      <c r="H687" s="4">
        <v>8.0</v>
      </c>
      <c r="K687" s="13">
        <v>8.0</v>
      </c>
      <c r="L687" s="13">
        <v>160000.0</v>
      </c>
    </row>
    <row r="688">
      <c r="B688" s="94">
        <v>46108.0</v>
      </c>
      <c r="C688" s="4" t="s">
        <v>113</v>
      </c>
      <c r="D688" s="4" t="s">
        <v>89</v>
      </c>
      <c r="E688" s="4" t="s">
        <v>82</v>
      </c>
      <c r="F688" s="13" t="s">
        <v>6</v>
      </c>
      <c r="H688" s="4">
        <v>4.0</v>
      </c>
      <c r="K688" s="13">
        <v>4.0</v>
      </c>
      <c r="L688" s="13">
        <v>80000.0</v>
      </c>
    </row>
    <row r="689">
      <c r="B689" s="94">
        <v>46108.0</v>
      </c>
      <c r="C689" s="4" t="s">
        <v>113</v>
      </c>
      <c r="D689" s="4" t="s">
        <v>89</v>
      </c>
      <c r="E689" s="4" t="s">
        <v>82</v>
      </c>
      <c r="F689" s="13" t="s">
        <v>7</v>
      </c>
      <c r="H689" s="4">
        <v>4.0</v>
      </c>
      <c r="K689" s="13">
        <v>4.0</v>
      </c>
      <c r="L689" s="13">
        <v>80000.0</v>
      </c>
    </row>
    <row r="690">
      <c r="B690" s="94">
        <v>46108.0</v>
      </c>
      <c r="C690" s="4" t="s">
        <v>113</v>
      </c>
      <c r="D690" s="4" t="s">
        <v>89</v>
      </c>
      <c r="E690" s="4" t="s">
        <v>82</v>
      </c>
      <c r="F690" s="13" t="s">
        <v>8</v>
      </c>
      <c r="H690" s="4">
        <v>9.0</v>
      </c>
      <c r="K690" s="13">
        <v>9.0</v>
      </c>
      <c r="L690" s="13">
        <v>180000.0</v>
      </c>
    </row>
    <row r="691">
      <c r="B691" s="94">
        <v>46108.0</v>
      </c>
      <c r="C691" s="4" t="s">
        <v>113</v>
      </c>
      <c r="D691" s="4" t="s">
        <v>89</v>
      </c>
      <c r="E691" s="4" t="s">
        <v>82</v>
      </c>
      <c r="F691" s="13" t="s">
        <v>9</v>
      </c>
      <c r="H691" s="4">
        <v>10.0</v>
      </c>
      <c r="K691" s="13">
        <v>10.0</v>
      </c>
      <c r="L691" s="13">
        <v>200000.0</v>
      </c>
    </row>
    <row r="692">
      <c r="B692" s="94">
        <v>46108.0</v>
      </c>
      <c r="C692" s="4" t="s">
        <v>113</v>
      </c>
      <c r="D692" s="4" t="s">
        <v>89</v>
      </c>
      <c r="E692" s="4" t="s">
        <v>86</v>
      </c>
      <c r="F692" s="13" t="s">
        <v>10</v>
      </c>
      <c r="H692" s="4">
        <v>5.0</v>
      </c>
      <c r="K692" s="13">
        <v>5.0</v>
      </c>
      <c r="L692" s="13">
        <v>100000.0</v>
      </c>
    </row>
    <row r="693">
      <c r="B693" s="94">
        <v>46108.0</v>
      </c>
      <c r="C693" s="4" t="s">
        <v>113</v>
      </c>
      <c r="D693" s="4" t="s">
        <v>89</v>
      </c>
      <c r="E693" s="4" t="s">
        <v>86</v>
      </c>
      <c r="F693" s="13" t="s">
        <v>11</v>
      </c>
      <c r="H693" s="4">
        <v>5.0</v>
      </c>
      <c r="K693" s="13">
        <v>5.0</v>
      </c>
      <c r="L693" s="13">
        <v>100000.0</v>
      </c>
    </row>
    <row r="694">
      <c r="B694" s="94">
        <v>46108.0</v>
      </c>
      <c r="C694" s="4" t="s">
        <v>113</v>
      </c>
      <c r="D694" s="4" t="s">
        <v>89</v>
      </c>
      <c r="E694" s="4" t="s">
        <v>86</v>
      </c>
      <c r="F694" s="13" t="s">
        <v>12</v>
      </c>
      <c r="H694" s="4">
        <v>5.0</v>
      </c>
      <c r="K694" s="13">
        <v>5.0</v>
      </c>
      <c r="L694" s="13">
        <v>100000.0</v>
      </c>
    </row>
    <row r="695">
      <c r="B695" s="94">
        <v>46108.0</v>
      </c>
      <c r="C695" s="4" t="s">
        <v>113</v>
      </c>
      <c r="D695" s="4" t="s">
        <v>89</v>
      </c>
      <c r="E695" s="4" t="s">
        <v>86</v>
      </c>
      <c r="F695" s="13" t="s">
        <v>13</v>
      </c>
      <c r="H695" s="4">
        <v>5.0</v>
      </c>
      <c r="K695" s="13">
        <v>5.0</v>
      </c>
      <c r="L695" s="13">
        <v>100000.0</v>
      </c>
    </row>
    <row r="696">
      <c r="B696" s="94">
        <v>46108.0</v>
      </c>
      <c r="C696" s="4" t="s">
        <v>113</v>
      </c>
      <c r="D696" s="4" t="s">
        <v>89</v>
      </c>
      <c r="E696" s="4" t="s">
        <v>86</v>
      </c>
      <c r="F696" s="13" t="s">
        <v>14</v>
      </c>
      <c r="H696" s="4">
        <v>5.0</v>
      </c>
      <c r="K696" s="13">
        <v>5.0</v>
      </c>
      <c r="L696" s="13">
        <v>110000.0</v>
      </c>
    </row>
    <row r="697">
      <c r="B697" s="94">
        <v>46108.0</v>
      </c>
      <c r="C697" s="4" t="s">
        <v>113</v>
      </c>
      <c r="D697" s="4" t="s">
        <v>89</v>
      </c>
      <c r="E697" s="4" t="s">
        <v>86</v>
      </c>
      <c r="F697" s="13" t="s">
        <v>15</v>
      </c>
      <c r="H697" s="4">
        <v>46.0</v>
      </c>
      <c r="K697" s="13">
        <v>46.0</v>
      </c>
      <c r="L697" s="13">
        <v>920000.0</v>
      </c>
    </row>
    <row r="698">
      <c r="B698" s="94">
        <v>46108.0</v>
      </c>
      <c r="C698" s="4" t="s">
        <v>114</v>
      </c>
      <c r="D698" s="4" t="s">
        <v>89</v>
      </c>
      <c r="E698" s="4" t="s">
        <v>86</v>
      </c>
      <c r="F698" s="13" t="s">
        <v>4</v>
      </c>
      <c r="G698" s="13">
        <f t="shared" ref="G698:G708" si="14">I734</f>
        <v>3</v>
      </c>
      <c r="H698" s="4">
        <v>7.0</v>
      </c>
      <c r="K698" s="13">
        <v>10.0</v>
      </c>
      <c r="L698" s="13">
        <v>200000.0</v>
      </c>
      <c r="M698" s="13">
        <f>sum(L698:L709)+500000+ 500000</f>
        <v>1946000</v>
      </c>
    </row>
    <row r="699">
      <c r="B699" s="94">
        <v>46108.0</v>
      </c>
      <c r="C699" s="4" t="s">
        <v>114</v>
      </c>
      <c r="D699" s="4" t="s">
        <v>89</v>
      </c>
      <c r="E699" s="4" t="s">
        <v>86</v>
      </c>
      <c r="F699" s="13" t="s">
        <v>5</v>
      </c>
      <c r="G699" s="13" t="str">
        <f t="shared" si="14"/>
        <v/>
      </c>
      <c r="H699" s="4">
        <v>1.0</v>
      </c>
      <c r="K699" s="13">
        <v>1.0</v>
      </c>
      <c r="L699" s="13">
        <v>20000.0</v>
      </c>
    </row>
    <row r="700">
      <c r="B700" s="94">
        <v>46108.0</v>
      </c>
      <c r="C700" s="4" t="s">
        <v>114</v>
      </c>
      <c r="D700" s="4" t="s">
        <v>89</v>
      </c>
      <c r="E700" s="4" t="s">
        <v>86</v>
      </c>
      <c r="F700" s="13" t="s">
        <v>6</v>
      </c>
      <c r="G700" s="13">
        <f t="shared" si="14"/>
        <v>2</v>
      </c>
      <c r="H700" s="4">
        <v>1.0</v>
      </c>
      <c r="K700" s="13">
        <v>3.0</v>
      </c>
      <c r="L700" s="13">
        <v>60000.0</v>
      </c>
    </row>
    <row r="701">
      <c r="B701" s="94">
        <v>46108.0</v>
      </c>
      <c r="C701" s="4" t="s">
        <v>114</v>
      </c>
      <c r="D701" s="4" t="s">
        <v>89</v>
      </c>
      <c r="E701" s="4" t="s">
        <v>86</v>
      </c>
      <c r="F701" s="13" t="s">
        <v>7</v>
      </c>
      <c r="G701" s="13">
        <f t="shared" si="14"/>
        <v>3</v>
      </c>
      <c r="H701" s="4">
        <v>1.0</v>
      </c>
      <c r="K701" s="13">
        <v>4.0</v>
      </c>
      <c r="L701" s="13">
        <v>80000.0</v>
      </c>
    </row>
    <row r="702">
      <c r="B702" s="94">
        <v>46108.0</v>
      </c>
      <c r="C702" s="4" t="s">
        <v>114</v>
      </c>
      <c r="D702" s="4" t="s">
        <v>89</v>
      </c>
      <c r="E702" s="4" t="s">
        <v>86</v>
      </c>
      <c r="F702" s="13" t="s">
        <v>8</v>
      </c>
      <c r="G702" s="13">
        <f t="shared" si="14"/>
        <v>2</v>
      </c>
      <c r="H702" s="4">
        <v>2.0</v>
      </c>
      <c r="K702" s="13">
        <v>4.0</v>
      </c>
      <c r="L702" s="13">
        <v>80000.0</v>
      </c>
    </row>
    <row r="703">
      <c r="B703" s="94">
        <v>46108.0</v>
      </c>
      <c r="C703" s="4" t="s">
        <v>114</v>
      </c>
      <c r="D703" s="4" t="s">
        <v>89</v>
      </c>
      <c r="E703" s="4" t="s">
        <v>86</v>
      </c>
      <c r="F703" s="13" t="s">
        <v>9</v>
      </c>
      <c r="G703" s="13">
        <f t="shared" si="14"/>
        <v>3</v>
      </c>
      <c r="H703" s="4">
        <v>2.0</v>
      </c>
      <c r="K703" s="13">
        <v>5.0</v>
      </c>
      <c r="L703" s="13">
        <v>100000.0</v>
      </c>
    </row>
    <row r="704">
      <c r="B704" s="94">
        <v>46108.0</v>
      </c>
      <c r="C704" s="4" t="s">
        <v>114</v>
      </c>
      <c r="D704" s="4" t="s">
        <v>89</v>
      </c>
      <c r="E704" s="4" t="s">
        <v>86</v>
      </c>
      <c r="F704" s="13" t="s">
        <v>10</v>
      </c>
      <c r="G704" s="13" t="str">
        <f t="shared" si="14"/>
        <v/>
      </c>
      <c r="K704" s="13">
        <v>0.0</v>
      </c>
      <c r="L704" s="13">
        <v>0.0</v>
      </c>
    </row>
    <row r="705">
      <c r="B705" s="94">
        <v>46108.0</v>
      </c>
      <c r="C705" s="4" t="s">
        <v>114</v>
      </c>
      <c r="D705" s="4" t="s">
        <v>89</v>
      </c>
      <c r="E705" s="4" t="s">
        <v>86</v>
      </c>
      <c r="F705" s="13" t="s">
        <v>11</v>
      </c>
      <c r="G705" s="13">
        <f t="shared" si="14"/>
        <v>1</v>
      </c>
      <c r="H705" s="4">
        <v>1.0</v>
      </c>
      <c r="K705" s="13">
        <v>2.0</v>
      </c>
      <c r="L705" s="13">
        <v>40000.0</v>
      </c>
    </row>
    <row r="706">
      <c r="B706" s="94">
        <v>46108.0</v>
      </c>
      <c r="C706" s="4" t="s">
        <v>114</v>
      </c>
      <c r="D706" s="4" t="s">
        <v>89</v>
      </c>
      <c r="E706" s="4" t="s">
        <v>86</v>
      </c>
      <c r="F706" s="13" t="s">
        <v>12</v>
      </c>
      <c r="G706" s="13" t="str">
        <f t="shared" si="14"/>
        <v/>
      </c>
      <c r="K706" s="13">
        <v>0.0</v>
      </c>
      <c r="L706" s="13">
        <v>0.0</v>
      </c>
    </row>
    <row r="707">
      <c r="B707" s="94">
        <v>46108.0</v>
      </c>
      <c r="C707" s="4" t="s">
        <v>114</v>
      </c>
      <c r="D707" s="4" t="s">
        <v>89</v>
      </c>
      <c r="E707" s="4" t="s">
        <v>86</v>
      </c>
      <c r="F707" s="13" t="s">
        <v>13</v>
      </c>
      <c r="G707" s="13" t="str">
        <f t="shared" si="14"/>
        <v/>
      </c>
      <c r="H707" s="4">
        <v>0.0</v>
      </c>
      <c r="K707" s="13">
        <v>0.0</v>
      </c>
      <c r="L707" s="13">
        <v>0.0</v>
      </c>
    </row>
    <row r="708">
      <c r="B708" s="94">
        <v>46108.0</v>
      </c>
      <c r="C708" s="4" t="s">
        <v>114</v>
      </c>
      <c r="D708" s="4" t="s">
        <v>89</v>
      </c>
      <c r="E708" s="4" t="s">
        <v>86</v>
      </c>
      <c r="F708" s="13" t="s">
        <v>14</v>
      </c>
      <c r="G708" s="13">
        <f t="shared" si="14"/>
        <v>2</v>
      </c>
      <c r="H708" s="4">
        <v>1.0</v>
      </c>
      <c r="K708" s="13">
        <v>3.0</v>
      </c>
      <c r="L708" s="13">
        <v>66000.0</v>
      </c>
    </row>
    <row r="709">
      <c r="B709" s="94">
        <v>46108.0</v>
      </c>
      <c r="C709" s="4" t="s">
        <v>114</v>
      </c>
      <c r="D709" s="4" t="s">
        <v>89</v>
      </c>
      <c r="E709" s="4" t="s">
        <v>86</v>
      </c>
      <c r="F709" s="13" t="s">
        <v>15</v>
      </c>
      <c r="G709" s="4">
        <v>15.0</v>
      </c>
      <c r="H709" s="4">
        <v>0.0</v>
      </c>
      <c r="K709" s="13">
        <v>15.0</v>
      </c>
      <c r="L709" s="13">
        <v>300000.0</v>
      </c>
    </row>
    <row r="710">
      <c r="B710" s="94">
        <v>46108.0</v>
      </c>
      <c r="C710" s="4" t="s">
        <v>113</v>
      </c>
      <c r="D710" s="4" t="s">
        <v>80</v>
      </c>
      <c r="E710" s="4" t="s">
        <v>62</v>
      </c>
      <c r="F710" s="13" t="s">
        <v>4</v>
      </c>
      <c r="H710" s="4">
        <v>7.0</v>
      </c>
      <c r="K710" s="13">
        <v>7.0</v>
      </c>
      <c r="L710" s="13">
        <v>140000.0</v>
      </c>
      <c r="M710" s="13">
        <f>sum(L710:L721)+500000</f>
        <v>1906000</v>
      </c>
    </row>
    <row r="711">
      <c r="B711" s="94">
        <v>46108.0</v>
      </c>
      <c r="C711" s="4" t="s">
        <v>113</v>
      </c>
      <c r="D711" s="4" t="s">
        <v>80</v>
      </c>
      <c r="E711" s="4" t="s">
        <v>62</v>
      </c>
      <c r="F711" s="13" t="s">
        <v>5</v>
      </c>
      <c r="H711" s="4">
        <v>5.0</v>
      </c>
      <c r="K711" s="13">
        <v>5.0</v>
      </c>
      <c r="L711" s="13">
        <v>100000.0</v>
      </c>
    </row>
    <row r="712">
      <c r="B712" s="94">
        <v>46108.0</v>
      </c>
      <c r="C712" s="4" t="s">
        <v>113</v>
      </c>
      <c r="D712" s="4" t="s">
        <v>80</v>
      </c>
      <c r="E712" s="4" t="s">
        <v>62</v>
      </c>
      <c r="F712" s="13" t="s">
        <v>6</v>
      </c>
      <c r="H712" s="4">
        <v>3.0</v>
      </c>
      <c r="K712" s="13">
        <v>3.0</v>
      </c>
      <c r="L712" s="13">
        <v>60000.0</v>
      </c>
    </row>
    <row r="713">
      <c r="B713" s="94">
        <v>46108.0</v>
      </c>
      <c r="C713" s="4" t="s">
        <v>113</v>
      </c>
      <c r="D713" s="4" t="s">
        <v>80</v>
      </c>
      <c r="E713" s="4" t="s">
        <v>62</v>
      </c>
      <c r="F713" s="13" t="s">
        <v>7</v>
      </c>
      <c r="H713" s="4">
        <v>3.0</v>
      </c>
      <c r="K713" s="13">
        <v>3.0</v>
      </c>
      <c r="L713" s="13">
        <v>60000.0</v>
      </c>
    </row>
    <row r="714">
      <c r="B714" s="94">
        <v>46108.0</v>
      </c>
      <c r="C714" s="4" t="s">
        <v>113</v>
      </c>
      <c r="D714" s="4" t="s">
        <v>80</v>
      </c>
      <c r="E714" s="4" t="s">
        <v>62</v>
      </c>
      <c r="F714" s="13" t="s">
        <v>8</v>
      </c>
      <c r="H714" s="4">
        <v>5.0</v>
      </c>
      <c r="K714" s="13">
        <v>5.0</v>
      </c>
      <c r="L714" s="13">
        <v>100000.0</v>
      </c>
    </row>
    <row r="715">
      <c r="B715" s="94">
        <v>46108.0</v>
      </c>
      <c r="C715" s="4" t="s">
        <v>113</v>
      </c>
      <c r="D715" s="4" t="s">
        <v>80</v>
      </c>
      <c r="E715" s="4" t="s">
        <v>62</v>
      </c>
      <c r="F715" s="13" t="s">
        <v>9</v>
      </c>
      <c r="H715" s="4">
        <v>5.0</v>
      </c>
      <c r="K715" s="13">
        <v>5.0</v>
      </c>
      <c r="L715" s="13">
        <v>100000.0</v>
      </c>
    </row>
    <row r="716">
      <c r="B716" s="94">
        <v>46108.0</v>
      </c>
      <c r="C716" s="4" t="s">
        <v>113</v>
      </c>
      <c r="D716" s="4" t="s">
        <v>80</v>
      </c>
      <c r="E716" s="4" t="s">
        <v>62</v>
      </c>
      <c r="F716" s="13" t="s">
        <v>10</v>
      </c>
      <c r="H716" s="4">
        <v>2.0</v>
      </c>
      <c r="K716" s="13">
        <v>2.0</v>
      </c>
      <c r="L716" s="13">
        <v>40000.0</v>
      </c>
    </row>
    <row r="717">
      <c r="B717" s="94">
        <v>46108.0</v>
      </c>
      <c r="C717" s="4" t="s">
        <v>113</v>
      </c>
      <c r="D717" s="4" t="s">
        <v>80</v>
      </c>
      <c r="E717" s="4" t="s">
        <v>62</v>
      </c>
      <c r="F717" s="13" t="s">
        <v>11</v>
      </c>
      <c r="H717" s="4">
        <v>1.0</v>
      </c>
      <c r="K717" s="13">
        <v>1.0</v>
      </c>
      <c r="L717" s="13">
        <v>20000.0</v>
      </c>
    </row>
    <row r="718">
      <c r="B718" s="94">
        <v>46108.0</v>
      </c>
      <c r="C718" s="4" t="s">
        <v>113</v>
      </c>
      <c r="D718" s="4" t="s">
        <v>80</v>
      </c>
      <c r="E718" s="4" t="s">
        <v>62</v>
      </c>
      <c r="F718" s="13" t="s">
        <v>12</v>
      </c>
      <c r="H718" s="4">
        <v>2.0</v>
      </c>
      <c r="K718" s="13">
        <v>2.0</v>
      </c>
      <c r="L718" s="13">
        <v>40000.0</v>
      </c>
    </row>
    <row r="719">
      <c r="B719" s="94">
        <v>46108.0</v>
      </c>
      <c r="C719" s="4" t="s">
        <v>113</v>
      </c>
      <c r="D719" s="4" t="s">
        <v>80</v>
      </c>
      <c r="E719" s="4" t="s">
        <v>62</v>
      </c>
      <c r="F719" s="13" t="s">
        <v>13</v>
      </c>
      <c r="H719" s="4">
        <v>4.0</v>
      </c>
      <c r="K719" s="13">
        <v>4.0</v>
      </c>
      <c r="L719" s="13">
        <v>80000.0</v>
      </c>
    </row>
    <row r="720">
      <c r="B720" s="94">
        <v>46108.0</v>
      </c>
      <c r="C720" s="4" t="s">
        <v>113</v>
      </c>
      <c r="D720" s="4" t="s">
        <v>80</v>
      </c>
      <c r="E720" s="4" t="s">
        <v>62</v>
      </c>
      <c r="F720" s="13" t="s">
        <v>14</v>
      </c>
      <c r="H720" s="4">
        <v>3.0</v>
      </c>
      <c r="K720" s="13">
        <v>3.0</v>
      </c>
      <c r="L720" s="13">
        <v>66000.0</v>
      </c>
    </row>
    <row r="721">
      <c r="B721" s="94">
        <v>46108.0</v>
      </c>
      <c r="C721" s="4" t="s">
        <v>113</v>
      </c>
      <c r="D721" s="4" t="s">
        <v>80</v>
      </c>
      <c r="E721" s="4" t="s">
        <v>62</v>
      </c>
      <c r="F721" s="13" t="s">
        <v>15</v>
      </c>
      <c r="H721" s="4">
        <v>30.0</v>
      </c>
      <c r="K721" s="13">
        <v>30.0</v>
      </c>
      <c r="L721" s="13">
        <v>600000.0</v>
      </c>
    </row>
    <row r="722">
      <c r="B722" s="94">
        <v>46108.0</v>
      </c>
      <c r="C722" s="4" t="s">
        <v>114</v>
      </c>
      <c r="D722" s="4" t="s">
        <v>80</v>
      </c>
      <c r="E722" s="4" t="s">
        <v>71</v>
      </c>
      <c r="F722" s="13" t="s">
        <v>4</v>
      </c>
      <c r="G722" s="13">
        <f t="shared" ref="G722:G733" si="15">I734-G698</f>
        <v>0</v>
      </c>
      <c r="H722" s="4">
        <v>4.0</v>
      </c>
      <c r="K722" s="13">
        <v>4.0</v>
      </c>
      <c r="L722" s="13">
        <v>80000.0</v>
      </c>
      <c r="M722" s="13">
        <f>sum(L722:L733)+500000+ 500000</f>
        <v>1726000</v>
      </c>
    </row>
    <row r="723">
      <c r="B723" s="94">
        <v>46108.0</v>
      </c>
      <c r="C723" s="4" t="s">
        <v>114</v>
      </c>
      <c r="D723" s="4" t="s">
        <v>80</v>
      </c>
      <c r="E723" s="4" t="s">
        <v>71</v>
      </c>
      <c r="F723" s="13" t="s">
        <v>5</v>
      </c>
      <c r="G723" s="13">
        <f t="shared" si="15"/>
        <v>0</v>
      </c>
      <c r="H723" s="4">
        <v>1.0</v>
      </c>
      <c r="K723" s="13">
        <v>1.0</v>
      </c>
      <c r="L723" s="13">
        <v>20000.0</v>
      </c>
    </row>
    <row r="724">
      <c r="B724" s="94">
        <v>46108.0</v>
      </c>
      <c r="C724" s="4" t="s">
        <v>114</v>
      </c>
      <c r="D724" s="4" t="s">
        <v>80</v>
      </c>
      <c r="E724" s="4" t="s">
        <v>71</v>
      </c>
      <c r="F724" s="13" t="s">
        <v>6</v>
      </c>
      <c r="G724" s="13">
        <f t="shared" si="15"/>
        <v>0</v>
      </c>
      <c r="H724" s="4">
        <v>2.0</v>
      </c>
      <c r="K724" s="13">
        <v>2.0</v>
      </c>
      <c r="L724" s="13">
        <v>40000.0</v>
      </c>
    </row>
    <row r="725">
      <c r="B725" s="94">
        <v>46108.0</v>
      </c>
      <c r="C725" s="4" t="s">
        <v>114</v>
      </c>
      <c r="D725" s="4" t="s">
        <v>80</v>
      </c>
      <c r="E725" s="4" t="s">
        <v>71</v>
      </c>
      <c r="F725" s="13" t="s">
        <v>7</v>
      </c>
      <c r="G725" s="13">
        <f t="shared" si="15"/>
        <v>0</v>
      </c>
      <c r="H725" s="4">
        <v>2.0</v>
      </c>
      <c r="K725" s="13">
        <v>2.0</v>
      </c>
      <c r="L725" s="13">
        <v>40000.0</v>
      </c>
    </row>
    <row r="726">
      <c r="B726" s="94">
        <v>46108.0</v>
      </c>
      <c r="C726" s="4" t="s">
        <v>114</v>
      </c>
      <c r="D726" s="4" t="s">
        <v>80</v>
      </c>
      <c r="E726" s="4" t="s">
        <v>71</v>
      </c>
      <c r="F726" s="13" t="s">
        <v>8</v>
      </c>
      <c r="G726" s="13">
        <f t="shared" si="15"/>
        <v>0</v>
      </c>
      <c r="K726" s="13">
        <v>0.0</v>
      </c>
      <c r="L726" s="13">
        <v>0.0</v>
      </c>
    </row>
    <row r="727">
      <c r="B727" s="94">
        <v>46108.0</v>
      </c>
      <c r="C727" s="4" t="s">
        <v>114</v>
      </c>
      <c r="D727" s="4" t="s">
        <v>80</v>
      </c>
      <c r="E727" s="4" t="s">
        <v>71</v>
      </c>
      <c r="F727" s="13" t="s">
        <v>9</v>
      </c>
      <c r="G727" s="13">
        <f t="shared" si="15"/>
        <v>0</v>
      </c>
      <c r="H727" s="4">
        <v>2.0</v>
      </c>
      <c r="K727" s="13">
        <v>2.0</v>
      </c>
      <c r="L727" s="13">
        <v>40000.0</v>
      </c>
    </row>
    <row r="728">
      <c r="B728" s="94">
        <v>46108.0</v>
      </c>
      <c r="C728" s="4" t="s">
        <v>114</v>
      </c>
      <c r="D728" s="4" t="s">
        <v>80</v>
      </c>
      <c r="E728" s="4" t="s">
        <v>71</v>
      </c>
      <c r="F728" s="13" t="s">
        <v>10</v>
      </c>
      <c r="G728" s="13">
        <f t="shared" si="15"/>
        <v>0</v>
      </c>
      <c r="K728" s="13">
        <v>0.0</v>
      </c>
      <c r="L728" s="13">
        <v>0.0</v>
      </c>
    </row>
    <row r="729">
      <c r="B729" s="94">
        <v>46108.0</v>
      </c>
      <c r="C729" s="4" t="s">
        <v>114</v>
      </c>
      <c r="D729" s="4" t="s">
        <v>80</v>
      </c>
      <c r="E729" s="4" t="s">
        <v>71</v>
      </c>
      <c r="F729" s="13" t="s">
        <v>11</v>
      </c>
      <c r="G729" s="13">
        <f t="shared" si="15"/>
        <v>0</v>
      </c>
      <c r="K729" s="13">
        <v>0.0</v>
      </c>
      <c r="L729" s="13">
        <v>0.0</v>
      </c>
    </row>
    <row r="730">
      <c r="B730" s="94">
        <v>46108.0</v>
      </c>
      <c r="C730" s="4" t="s">
        <v>114</v>
      </c>
      <c r="D730" s="4" t="s">
        <v>80</v>
      </c>
      <c r="E730" s="4" t="s">
        <v>71</v>
      </c>
      <c r="F730" s="13" t="s">
        <v>12</v>
      </c>
      <c r="G730" s="13">
        <f t="shared" si="15"/>
        <v>0</v>
      </c>
      <c r="K730" s="13">
        <v>0.0</v>
      </c>
      <c r="L730" s="13">
        <v>0.0</v>
      </c>
    </row>
    <row r="731">
      <c r="B731" s="94">
        <v>46108.0</v>
      </c>
      <c r="C731" s="4" t="s">
        <v>114</v>
      </c>
      <c r="D731" s="4" t="s">
        <v>80</v>
      </c>
      <c r="E731" s="4" t="s">
        <v>71</v>
      </c>
      <c r="F731" s="13" t="s">
        <v>13</v>
      </c>
      <c r="G731" s="13">
        <f t="shared" si="15"/>
        <v>0</v>
      </c>
      <c r="H731" s="4">
        <v>1.0</v>
      </c>
      <c r="K731" s="13">
        <v>1.0</v>
      </c>
      <c r="L731" s="13">
        <v>20000.0</v>
      </c>
    </row>
    <row r="732">
      <c r="B732" s="94">
        <v>46108.0</v>
      </c>
      <c r="C732" s="4" t="s">
        <v>114</v>
      </c>
      <c r="D732" s="4" t="s">
        <v>80</v>
      </c>
      <c r="E732" s="4" t="s">
        <v>71</v>
      </c>
      <c r="F732" s="13" t="s">
        <v>14</v>
      </c>
      <c r="G732" s="13">
        <f t="shared" si="15"/>
        <v>0</v>
      </c>
      <c r="H732" s="4">
        <v>3.0</v>
      </c>
      <c r="K732" s="13">
        <v>3.0</v>
      </c>
      <c r="L732" s="13">
        <v>66000.0</v>
      </c>
    </row>
    <row r="733">
      <c r="B733" s="94">
        <v>46108.0</v>
      </c>
      <c r="C733" s="4" t="s">
        <v>114</v>
      </c>
      <c r="D733" s="4" t="s">
        <v>80</v>
      </c>
      <c r="E733" s="4" t="s">
        <v>71</v>
      </c>
      <c r="F733" s="13" t="s">
        <v>15</v>
      </c>
      <c r="G733" s="13">
        <f t="shared" si="15"/>
        <v>8</v>
      </c>
      <c r="H733" s="4">
        <v>13.0</v>
      </c>
      <c r="K733" s="13">
        <v>21.0</v>
      </c>
      <c r="L733" s="13">
        <v>420000.0</v>
      </c>
    </row>
    <row r="734">
      <c r="B734" s="94">
        <v>46108.0</v>
      </c>
      <c r="C734" s="4" t="s">
        <v>113</v>
      </c>
      <c r="D734" s="4" t="s">
        <v>304</v>
      </c>
      <c r="E734" s="4" t="s">
        <v>57</v>
      </c>
      <c r="F734" s="13" t="s">
        <v>4</v>
      </c>
      <c r="H734" s="13">
        <f>sum(H722:H733)</f>
        <v>28</v>
      </c>
      <c r="I734" s="4">
        <v>3.0</v>
      </c>
      <c r="K734" s="13">
        <v>25.0</v>
      </c>
      <c r="L734" s="13">
        <v>500000.0</v>
      </c>
      <c r="M734" s="13">
        <f>sum(L734:L745)+500000+ 500000</f>
        <v>2002000</v>
      </c>
    </row>
    <row r="735">
      <c r="B735" s="94">
        <v>46108.0</v>
      </c>
      <c r="C735" s="4" t="s">
        <v>113</v>
      </c>
      <c r="D735" s="4" t="s">
        <v>304</v>
      </c>
      <c r="E735" s="4" t="s">
        <v>57</v>
      </c>
      <c r="F735" s="13" t="s">
        <v>5</v>
      </c>
      <c r="H735" s="4">
        <v>3.0</v>
      </c>
      <c r="K735" s="13">
        <v>3.0</v>
      </c>
      <c r="L735" s="13">
        <v>60000.0</v>
      </c>
    </row>
    <row r="736">
      <c r="B736" s="94">
        <v>46108.0</v>
      </c>
      <c r="C736" s="4" t="s">
        <v>113</v>
      </c>
      <c r="D736" s="4" t="s">
        <v>304</v>
      </c>
      <c r="E736" s="4" t="s">
        <v>57</v>
      </c>
      <c r="F736" s="13" t="s">
        <v>6</v>
      </c>
      <c r="H736" s="4">
        <v>3.0</v>
      </c>
      <c r="I736" s="4">
        <v>2.0</v>
      </c>
      <c r="K736" s="13">
        <v>1.0</v>
      </c>
      <c r="L736" s="13">
        <v>20000.0</v>
      </c>
    </row>
    <row r="737">
      <c r="B737" s="94">
        <v>46108.0</v>
      </c>
      <c r="C737" s="4" t="s">
        <v>113</v>
      </c>
      <c r="D737" s="4" t="s">
        <v>304</v>
      </c>
      <c r="E737" s="4" t="s">
        <v>57</v>
      </c>
      <c r="F737" s="13" t="s">
        <v>7</v>
      </c>
      <c r="H737" s="4">
        <v>3.0</v>
      </c>
      <c r="I737" s="4">
        <v>3.0</v>
      </c>
      <c r="K737" s="13">
        <v>0.0</v>
      </c>
      <c r="L737" s="13">
        <v>0.0</v>
      </c>
    </row>
    <row r="738">
      <c r="B738" s="94">
        <v>46108.0</v>
      </c>
      <c r="C738" s="4" t="s">
        <v>113</v>
      </c>
      <c r="D738" s="4" t="s">
        <v>304</v>
      </c>
      <c r="E738" s="4" t="s">
        <v>57</v>
      </c>
      <c r="F738" s="13" t="s">
        <v>8</v>
      </c>
      <c r="H738" s="4">
        <v>5.0</v>
      </c>
      <c r="I738" s="4">
        <v>2.0</v>
      </c>
      <c r="K738" s="13">
        <v>3.0</v>
      </c>
      <c r="L738" s="13">
        <v>60000.0</v>
      </c>
    </row>
    <row r="739">
      <c r="B739" s="94">
        <v>46108.0</v>
      </c>
      <c r="C739" s="4" t="s">
        <v>113</v>
      </c>
      <c r="D739" s="4" t="s">
        <v>304</v>
      </c>
      <c r="E739" s="4" t="s">
        <v>57</v>
      </c>
      <c r="F739" s="13" t="s">
        <v>9</v>
      </c>
      <c r="H739" s="4">
        <v>6.0</v>
      </c>
      <c r="I739" s="4">
        <v>3.0</v>
      </c>
      <c r="K739" s="13">
        <v>3.0</v>
      </c>
      <c r="L739" s="13">
        <v>60000.0</v>
      </c>
    </row>
    <row r="740">
      <c r="B740" s="94">
        <v>46108.0</v>
      </c>
      <c r="C740" s="4" t="s">
        <v>113</v>
      </c>
      <c r="D740" s="4" t="s">
        <v>304</v>
      </c>
      <c r="E740" s="4" t="s">
        <v>57</v>
      </c>
      <c r="F740" s="13" t="s">
        <v>10</v>
      </c>
      <c r="H740" s="4">
        <v>2.0</v>
      </c>
      <c r="K740" s="13">
        <v>2.0</v>
      </c>
      <c r="L740" s="13">
        <v>40000.0</v>
      </c>
    </row>
    <row r="741">
      <c r="B741" s="94">
        <v>46108.0</v>
      </c>
      <c r="C741" s="4" t="s">
        <v>113</v>
      </c>
      <c r="D741" s="4" t="s">
        <v>304</v>
      </c>
      <c r="E741" s="4" t="s">
        <v>57</v>
      </c>
      <c r="F741" s="13" t="s">
        <v>11</v>
      </c>
      <c r="H741" s="4">
        <v>2.0</v>
      </c>
      <c r="I741" s="4">
        <v>1.0</v>
      </c>
      <c r="K741" s="13">
        <v>1.0</v>
      </c>
      <c r="L741" s="13">
        <v>20000.0</v>
      </c>
    </row>
    <row r="742">
      <c r="B742" s="94">
        <v>46108.0</v>
      </c>
      <c r="C742" s="4" t="s">
        <v>113</v>
      </c>
      <c r="D742" s="4" t="s">
        <v>304</v>
      </c>
      <c r="E742" s="4" t="s">
        <v>57</v>
      </c>
      <c r="F742" s="13" t="s">
        <v>12</v>
      </c>
      <c r="H742" s="4">
        <v>2.0</v>
      </c>
      <c r="K742" s="13">
        <v>2.0</v>
      </c>
      <c r="L742" s="13">
        <v>40000.0</v>
      </c>
    </row>
    <row r="743">
      <c r="B743" s="94">
        <v>46108.0</v>
      </c>
      <c r="C743" s="4" t="s">
        <v>113</v>
      </c>
      <c r="D743" s="4" t="s">
        <v>304</v>
      </c>
      <c r="E743" s="4" t="s">
        <v>57</v>
      </c>
      <c r="F743" s="13" t="s">
        <v>13</v>
      </c>
      <c r="H743" s="4">
        <v>2.0</v>
      </c>
      <c r="K743" s="13">
        <v>2.0</v>
      </c>
      <c r="L743" s="13">
        <v>40000.0</v>
      </c>
    </row>
    <row r="744">
      <c r="B744" s="94">
        <v>46108.0</v>
      </c>
      <c r="C744" s="4" t="s">
        <v>113</v>
      </c>
      <c r="D744" s="4" t="s">
        <v>304</v>
      </c>
      <c r="E744" s="4" t="s">
        <v>57</v>
      </c>
      <c r="F744" s="13" t="s">
        <v>14</v>
      </c>
      <c r="H744" s="4">
        <v>3.0</v>
      </c>
      <c r="I744" s="4">
        <v>2.0</v>
      </c>
      <c r="K744" s="13">
        <v>1.0</v>
      </c>
      <c r="L744" s="13">
        <v>22000.0</v>
      </c>
    </row>
    <row r="745">
      <c r="B745" s="94">
        <v>46108.0</v>
      </c>
      <c r="C745" s="4" t="s">
        <v>113</v>
      </c>
      <c r="D745" s="4" t="s">
        <v>304</v>
      </c>
      <c r="E745" s="4" t="s">
        <v>57</v>
      </c>
      <c r="F745" s="13" t="s">
        <v>15</v>
      </c>
      <c r="H745" s="4">
        <v>30.0</v>
      </c>
      <c r="I745" s="4">
        <v>23.0</v>
      </c>
      <c r="K745" s="13">
        <v>7.0</v>
      </c>
      <c r="L745" s="13">
        <v>140000.0</v>
      </c>
    </row>
    <row r="746">
      <c r="A746" s="13"/>
      <c r="B746" s="94">
        <v>46108.0</v>
      </c>
      <c r="C746" s="4" t="s">
        <v>114</v>
      </c>
      <c r="D746" s="4" t="s">
        <v>304</v>
      </c>
      <c r="E746" s="4" t="s">
        <v>299</v>
      </c>
      <c r="F746" s="13" t="s">
        <v>4</v>
      </c>
      <c r="G746" s="13"/>
      <c r="H746" s="13"/>
      <c r="I746" s="13"/>
      <c r="J746" s="13"/>
      <c r="K746" s="13">
        <v>0.0</v>
      </c>
      <c r="L746" s="13">
        <v>0.0</v>
      </c>
      <c r="M746" s="13"/>
      <c r="N746" s="13"/>
      <c r="O746" s="13"/>
      <c r="P746" s="13"/>
      <c r="Q746" s="13"/>
      <c r="R746" s="13"/>
      <c r="S746" s="13"/>
      <c r="T746" s="13"/>
      <c r="U746" s="13"/>
      <c r="V746" s="13"/>
      <c r="W746" s="13"/>
      <c r="X746" s="13"/>
      <c r="Y746" s="13"/>
      <c r="Z746" s="13"/>
      <c r="AA746" s="13"/>
      <c r="AB746" s="13"/>
      <c r="AC746" s="13"/>
    </row>
    <row r="747">
      <c r="A747" s="13"/>
      <c r="B747" s="94">
        <v>46108.0</v>
      </c>
      <c r="C747" s="4" t="s">
        <v>114</v>
      </c>
      <c r="D747" s="4" t="s">
        <v>304</v>
      </c>
      <c r="E747" s="4" t="s">
        <v>299</v>
      </c>
      <c r="F747" s="13" t="s">
        <v>5</v>
      </c>
      <c r="G747" s="13"/>
      <c r="H747" s="13"/>
      <c r="I747" s="13"/>
      <c r="J747" s="13"/>
      <c r="K747" s="13">
        <v>0.0</v>
      </c>
      <c r="L747" s="13">
        <v>0.0</v>
      </c>
      <c r="M747" s="13"/>
      <c r="N747" s="13"/>
      <c r="O747" s="13"/>
      <c r="P747" s="13"/>
      <c r="Q747" s="13"/>
      <c r="R747" s="13"/>
      <c r="S747" s="13"/>
      <c r="T747" s="13"/>
      <c r="U747" s="13"/>
      <c r="V747" s="13"/>
      <c r="W747" s="13"/>
      <c r="X747" s="13"/>
      <c r="Y747" s="13"/>
      <c r="Z747" s="13"/>
      <c r="AA747" s="13"/>
      <c r="AB747" s="13"/>
      <c r="AC747" s="13"/>
    </row>
    <row r="748">
      <c r="A748" s="13"/>
      <c r="B748" s="94">
        <v>46108.0</v>
      </c>
      <c r="C748" s="4" t="s">
        <v>114</v>
      </c>
      <c r="D748" s="4" t="s">
        <v>304</v>
      </c>
      <c r="E748" s="4" t="s">
        <v>299</v>
      </c>
      <c r="F748" s="13" t="s">
        <v>6</v>
      </c>
      <c r="G748" s="13"/>
      <c r="H748" s="13"/>
      <c r="I748" s="13"/>
      <c r="J748" s="13"/>
      <c r="K748" s="13">
        <v>0.0</v>
      </c>
      <c r="L748" s="13">
        <v>0.0</v>
      </c>
      <c r="M748" s="13"/>
      <c r="N748" s="13"/>
      <c r="O748" s="13"/>
      <c r="P748" s="13"/>
      <c r="Q748" s="13"/>
      <c r="R748" s="13"/>
      <c r="S748" s="13"/>
      <c r="T748" s="13"/>
      <c r="U748" s="13"/>
      <c r="V748" s="13"/>
      <c r="W748" s="13"/>
      <c r="X748" s="13"/>
      <c r="Y748" s="13"/>
      <c r="Z748" s="13"/>
      <c r="AA748" s="13"/>
      <c r="AB748" s="13"/>
      <c r="AC748" s="13"/>
    </row>
    <row r="749">
      <c r="A749" s="13"/>
      <c r="B749" s="94">
        <v>46108.0</v>
      </c>
      <c r="C749" s="4" t="s">
        <v>114</v>
      </c>
      <c r="D749" s="4" t="s">
        <v>304</v>
      </c>
      <c r="E749" s="4" t="s">
        <v>299</v>
      </c>
      <c r="F749" s="13" t="s">
        <v>7</v>
      </c>
      <c r="G749" s="13"/>
      <c r="H749" s="13"/>
      <c r="I749" s="13"/>
      <c r="J749" s="13"/>
      <c r="K749" s="13">
        <v>0.0</v>
      </c>
      <c r="L749" s="13">
        <v>0.0</v>
      </c>
      <c r="M749" s="13"/>
      <c r="N749" s="13"/>
      <c r="O749" s="13"/>
      <c r="P749" s="13"/>
      <c r="Q749" s="13"/>
      <c r="R749" s="13"/>
      <c r="S749" s="13"/>
      <c r="T749" s="13"/>
      <c r="U749" s="13"/>
      <c r="V749" s="13"/>
      <c r="W749" s="13"/>
      <c r="X749" s="13"/>
      <c r="Y749" s="13"/>
      <c r="Z749" s="13"/>
      <c r="AA749" s="13"/>
      <c r="AB749" s="13"/>
      <c r="AC749" s="13"/>
    </row>
    <row r="750">
      <c r="A750" s="13"/>
      <c r="B750" s="94">
        <v>46108.0</v>
      </c>
      <c r="C750" s="4" t="s">
        <v>114</v>
      </c>
      <c r="D750" s="4" t="s">
        <v>304</v>
      </c>
      <c r="E750" s="4" t="s">
        <v>299</v>
      </c>
      <c r="F750" s="13" t="s">
        <v>8</v>
      </c>
      <c r="G750" s="13"/>
      <c r="H750" s="13"/>
      <c r="I750" s="13"/>
      <c r="J750" s="13"/>
      <c r="K750" s="13">
        <v>0.0</v>
      </c>
      <c r="L750" s="13">
        <v>0.0</v>
      </c>
      <c r="M750" s="13"/>
      <c r="N750" s="13"/>
      <c r="O750" s="13"/>
      <c r="P750" s="13"/>
      <c r="Q750" s="13"/>
      <c r="R750" s="13"/>
      <c r="S750" s="13"/>
      <c r="T750" s="13"/>
      <c r="U750" s="13"/>
      <c r="V750" s="13"/>
      <c r="W750" s="13"/>
      <c r="X750" s="13"/>
      <c r="Y750" s="13"/>
      <c r="Z750" s="13"/>
      <c r="AA750" s="13"/>
      <c r="AB750" s="13"/>
      <c r="AC750" s="13"/>
    </row>
    <row r="751">
      <c r="A751" s="13"/>
      <c r="B751" s="94">
        <v>46108.0</v>
      </c>
      <c r="C751" s="4" t="s">
        <v>114</v>
      </c>
      <c r="D751" s="4" t="s">
        <v>304</v>
      </c>
      <c r="E751" s="4" t="s">
        <v>299</v>
      </c>
      <c r="F751" s="13" t="s">
        <v>9</v>
      </c>
      <c r="G751" s="13"/>
      <c r="H751" s="13"/>
      <c r="I751" s="13"/>
      <c r="J751" s="13"/>
      <c r="K751" s="13">
        <v>0.0</v>
      </c>
      <c r="L751" s="13">
        <v>0.0</v>
      </c>
      <c r="M751" s="13"/>
      <c r="N751" s="13"/>
      <c r="O751" s="13"/>
      <c r="P751" s="13"/>
      <c r="Q751" s="13"/>
      <c r="R751" s="13"/>
      <c r="S751" s="13"/>
      <c r="T751" s="13"/>
      <c r="U751" s="13"/>
      <c r="V751" s="13"/>
      <c r="W751" s="13"/>
      <c r="X751" s="13"/>
      <c r="Y751" s="13"/>
      <c r="Z751" s="13"/>
      <c r="AA751" s="13"/>
      <c r="AB751" s="13"/>
      <c r="AC751" s="13"/>
    </row>
    <row r="752">
      <c r="A752" s="13"/>
      <c r="B752" s="94">
        <v>46108.0</v>
      </c>
      <c r="C752" s="4" t="s">
        <v>114</v>
      </c>
      <c r="D752" s="4" t="s">
        <v>304</v>
      </c>
      <c r="E752" s="4" t="s">
        <v>299</v>
      </c>
      <c r="F752" s="13" t="s">
        <v>10</v>
      </c>
      <c r="G752" s="13"/>
      <c r="H752" s="13"/>
      <c r="I752" s="13"/>
      <c r="J752" s="13"/>
      <c r="K752" s="13">
        <v>0.0</v>
      </c>
      <c r="L752" s="13">
        <v>0.0</v>
      </c>
      <c r="M752" s="13"/>
      <c r="N752" s="13"/>
      <c r="O752" s="13"/>
      <c r="P752" s="13"/>
      <c r="Q752" s="13"/>
      <c r="R752" s="13"/>
      <c r="S752" s="13"/>
      <c r="T752" s="13"/>
      <c r="U752" s="13"/>
      <c r="V752" s="13"/>
      <c r="W752" s="13"/>
      <c r="X752" s="13"/>
      <c r="Y752" s="13"/>
      <c r="Z752" s="13"/>
      <c r="AA752" s="13"/>
      <c r="AB752" s="13"/>
      <c r="AC752" s="13"/>
    </row>
    <row r="753">
      <c r="A753" s="13"/>
      <c r="B753" s="94">
        <v>46108.0</v>
      </c>
      <c r="C753" s="4" t="s">
        <v>114</v>
      </c>
      <c r="D753" s="4" t="s">
        <v>304</v>
      </c>
      <c r="E753" s="4" t="s">
        <v>299</v>
      </c>
      <c r="F753" s="13" t="s">
        <v>11</v>
      </c>
      <c r="G753" s="13"/>
      <c r="H753" s="13"/>
      <c r="I753" s="13"/>
      <c r="J753" s="13"/>
      <c r="K753" s="13">
        <v>0.0</v>
      </c>
      <c r="L753" s="13">
        <v>0.0</v>
      </c>
      <c r="M753" s="13"/>
      <c r="N753" s="13"/>
      <c r="O753" s="13"/>
      <c r="P753" s="13"/>
      <c r="Q753" s="13"/>
      <c r="R753" s="13"/>
      <c r="S753" s="13"/>
      <c r="T753" s="13"/>
      <c r="U753" s="13"/>
      <c r="V753" s="13"/>
      <c r="W753" s="13"/>
      <c r="X753" s="13"/>
      <c r="Y753" s="13"/>
      <c r="Z753" s="13"/>
      <c r="AA753" s="13"/>
      <c r="AB753" s="13"/>
      <c r="AC753" s="13"/>
    </row>
    <row r="754">
      <c r="A754" s="13"/>
      <c r="B754" s="94">
        <v>46108.0</v>
      </c>
      <c r="C754" s="4" t="s">
        <v>114</v>
      </c>
      <c r="D754" s="4" t="s">
        <v>304</v>
      </c>
      <c r="E754" s="4" t="s">
        <v>299</v>
      </c>
      <c r="F754" s="13" t="s">
        <v>12</v>
      </c>
      <c r="G754" s="13"/>
      <c r="H754" s="13"/>
      <c r="I754" s="13"/>
      <c r="J754" s="13"/>
      <c r="K754" s="13">
        <v>0.0</v>
      </c>
      <c r="L754" s="13">
        <v>0.0</v>
      </c>
      <c r="M754" s="13"/>
      <c r="N754" s="13"/>
      <c r="O754" s="13"/>
      <c r="P754" s="13"/>
      <c r="Q754" s="13"/>
      <c r="R754" s="13"/>
      <c r="S754" s="13"/>
      <c r="T754" s="13"/>
      <c r="U754" s="13"/>
      <c r="V754" s="13"/>
      <c r="W754" s="13"/>
      <c r="X754" s="13"/>
      <c r="Y754" s="13"/>
      <c r="Z754" s="13"/>
      <c r="AA754" s="13"/>
      <c r="AB754" s="13"/>
      <c r="AC754" s="13"/>
    </row>
    <row r="755">
      <c r="A755" s="13"/>
      <c r="B755" s="94">
        <v>46108.0</v>
      </c>
      <c r="C755" s="4" t="s">
        <v>114</v>
      </c>
      <c r="D755" s="4" t="s">
        <v>304</v>
      </c>
      <c r="E755" s="4" t="s">
        <v>299</v>
      </c>
      <c r="F755" s="13" t="s">
        <v>13</v>
      </c>
      <c r="G755" s="13"/>
      <c r="H755" s="13"/>
      <c r="I755" s="13"/>
      <c r="J755" s="13"/>
      <c r="K755" s="13">
        <v>0.0</v>
      </c>
      <c r="L755" s="13">
        <v>0.0</v>
      </c>
      <c r="M755" s="13"/>
      <c r="N755" s="13"/>
      <c r="O755" s="13"/>
      <c r="P755" s="13"/>
      <c r="Q755" s="13"/>
      <c r="R755" s="13"/>
      <c r="S755" s="13"/>
      <c r="T755" s="13"/>
      <c r="U755" s="13"/>
      <c r="V755" s="13"/>
      <c r="W755" s="13"/>
      <c r="X755" s="13"/>
      <c r="Y755" s="13"/>
      <c r="Z755" s="13"/>
      <c r="AA755" s="13"/>
      <c r="AB755" s="13"/>
      <c r="AC755" s="13"/>
    </row>
    <row r="756">
      <c r="A756" s="13"/>
      <c r="B756" s="94">
        <v>46108.0</v>
      </c>
      <c r="C756" s="4" t="s">
        <v>114</v>
      </c>
      <c r="D756" s="4" t="s">
        <v>304</v>
      </c>
      <c r="E756" s="4" t="s">
        <v>299</v>
      </c>
      <c r="F756" s="13" t="s">
        <v>14</v>
      </c>
      <c r="G756" s="13"/>
      <c r="H756" s="13"/>
      <c r="I756" s="13"/>
      <c r="J756" s="13"/>
      <c r="K756" s="13">
        <v>0.0</v>
      </c>
      <c r="L756" s="13">
        <v>0.0</v>
      </c>
      <c r="M756" s="13"/>
      <c r="N756" s="13"/>
      <c r="O756" s="13"/>
      <c r="P756" s="13"/>
      <c r="Q756" s="13"/>
      <c r="R756" s="13"/>
      <c r="S756" s="13"/>
      <c r="T756" s="13"/>
      <c r="U756" s="13"/>
      <c r="V756" s="13"/>
      <c r="W756" s="13"/>
      <c r="X756" s="13"/>
      <c r="Y756" s="13"/>
      <c r="Z756" s="13"/>
      <c r="AA756" s="13"/>
      <c r="AB756" s="13"/>
      <c r="AC756" s="13"/>
    </row>
    <row r="757">
      <c r="A757" s="13"/>
      <c r="B757" s="94">
        <v>46108.0</v>
      </c>
      <c r="C757" s="4" t="s">
        <v>114</v>
      </c>
      <c r="D757" s="4" t="s">
        <v>304</v>
      </c>
      <c r="E757" s="4" t="s">
        <v>299</v>
      </c>
      <c r="F757" s="13" t="s">
        <v>15</v>
      </c>
      <c r="G757" s="13"/>
      <c r="H757" s="13"/>
      <c r="I757" s="13"/>
      <c r="J757" s="13"/>
      <c r="K757" s="13">
        <v>0.0</v>
      </c>
      <c r="L757" s="13">
        <v>0.0</v>
      </c>
      <c r="M757" s="13"/>
      <c r="N757" s="13"/>
      <c r="O757" s="13"/>
      <c r="P757" s="13"/>
      <c r="Q757" s="13"/>
      <c r="R757" s="13"/>
      <c r="S757" s="13"/>
      <c r="T757" s="13"/>
      <c r="U757" s="13"/>
      <c r="V757" s="13"/>
      <c r="W757" s="13"/>
      <c r="X757" s="13"/>
      <c r="Y757" s="13"/>
      <c r="Z757" s="13"/>
      <c r="AA757" s="13"/>
      <c r="AB757" s="13"/>
      <c r="AC757" s="13"/>
    </row>
    <row r="758">
      <c r="B758" s="94">
        <v>46108.0</v>
      </c>
      <c r="C758" s="4" t="s">
        <v>113</v>
      </c>
      <c r="D758" s="4" t="s">
        <v>93</v>
      </c>
      <c r="E758" s="4" t="s">
        <v>53</v>
      </c>
      <c r="F758" s="13" t="s">
        <v>4</v>
      </c>
      <c r="H758" s="4">
        <v>5.0</v>
      </c>
      <c r="K758" s="13">
        <v>5.0</v>
      </c>
      <c r="L758" s="13">
        <v>100000.0</v>
      </c>
      <c r="M758" s="13">
        <f>sum(L758:L769)+500000</f>
        <v>1786000</v>
      </c>
    </row>
    <row r="759">
      <c r="B759" s="94">
        <v>46108.0</v>
      </c>
      <c r="C759" s="4" t="s">
        <v>113</v>
      </c>
      <c r="D759" s="4" t="s">
        <v>93</v>
      </c>
      <c r="E759" s="4" t="s">
        <v>53</v>
      </c>
      <c r="F759" s="13" t="s">
        <v>5</v>
      </c>
      <c r="H759" s="4">
        <v>5.0</v>
      </c>
      <c r="K759" s="13">
        <v>5.0</v>
      </c>
      <c r="L759" s="13">
        <v>100000.0</v>
      </c>
    </row>
    <row r="760">
      <c r="B760" s="94">
        <v>46108.0</v>
      </c>
      <c r="C760" s="4" t="s">
        <v>113</v>
      </c>
      <c r="D760" s="4" t="s">
        <v>93</v>
      </c>
      <c r="E760" s="4" t="s">
        <v>53</v>
      </c>
      <c r="F760" s="13" t="s">
        <v>6</v>
      </c>
      <c r="H760" s="4">
        <v>3.0</v>
      </c>
      <c r="I760" s="4">
        <v>1.0</v>
      </c>
      <c r="K760" s="13">
        <v>2.0</v>
      </c>
      <c r="L760" s="13">
        <v>40000.0</v>
      </c>
    </row>
    <row r="761">
      <c r="B761" s="94">
        <v>46108.0</v>
      </c>
      <c r="C761" s="4" t="s">
        <v>113</v>
      </c>
      <c r="D761" s="4" t="s">
        <v>93</v>
      </c>
      <c r="E761" s="4" t="s">
        <v>53</v>
      </c>
      <c r="F761" s="13" t="s">
        <v>7</v>
      </c>
      <c r="H761" s="4">
        <v>2.0</v>
      </c>
      <c r="K761" s="13">
        <v>2.0</v>
      </c>
      <c r="L761" s="13">
        <v>40000.0</v>
      </c>
    </row>
    <row r="762">
      <c r="B762" s="94">
        <v>46108.0</v>
      </c>
      <c r="C762" s="4" t="s">
        <v>113</v>
      </c>
      <c r="D762" s="4" t="s">
        <v>93</v>
      </c>
      <c r="E762" s="4" t="s">
        <v>53</v>
      </c>
      <c r="F762" s="13" t="s">
        <v>8</v>
      </c>
      <c r="H762" s="4">
        <v>5.0</v>
      </c>
      <c r="K762" s="13">
        <v>5.0</v>
      </c>
      <c r="L762" s="13">
        <v>100000.0</v>
      </c>
    </row>
    <row r="763">
      <c r="B763" s="94">
        <v>46108.0</v>
      </c>
      <c r="C763" s="4" t="s">
        <v>113</v>
      </c>
      <c r="D763" s="4" t="s">
        <v>93</v>
      </c>
      <c r="E763" s="4" t="s">
        <v>53</v>
      </c>
      <c r="F763" s="13" t="s">
        <v>9</v>
      </c>
      <c r="H763" s="4">
        <v>5.0</v>
      </c>
      <c r="K763" s="13">
        <v>5.0</v>
      </c>
      <c r="L763" s="13">
        <v>100000.0</v>
      </c>
    </row>
    <row r="764">
      <c r="B764" s="94">
        <v>46108.0</v>
      </c>
      <c r="C764" s="4" t="s">
        <v>113</v>
      </c>
      <c r="D764" s="4" t="s">
        <v>93</v>
      </c>
      <c r="E764" s="4" t="s">
        <v>53</v>
      </c>
      <c r="F764" s="13" t="s">
        <v>10</v>
      </c>
      <c r="H764" s="4">
        <v>2.0</v>
      </c>
      <c r="K764" s="13">
        <v>2.0</v>
      </c>
      <c r="L764" s="13">
        <v>40000.0</v>
      </c>
    </row>
    <row r="765">
      <c r="B765" s="94">
        <v>46108.0</v>
      </c>
      <c r="C765" s="4" t="s">
        <v>113</v>
      </c>
      <c r="D765" s="4" t="s">
        <v>93</v>
      </c>
      <c r="E765" s="4" t="s">
        <v>53</v>
      </c>
      <c r="F765" s="13" t="s">
        <v>11</v>
      </c>
      <c r="H765" s="4">
        <v>2.0</v>
      </c>
      <c r="K765" s="13">
        <v>2.0</v>
      </c>
      <c r="L765" s="13">
        <v>40000.0</v>
      </c>
    </row>
    <row r="766">
      <c r="B766" s="94">
        <v>46108.0</v>
      </c>
      <c r="C766" s="4" t="s">
        <v>113</v>
      </c>
      <c r="D766" s="4" t="s">
        <v>93</v>
      </c>
      <c r="E766" s="4" t="s">
        <v>53</v>
      </c>
      <c r="F766" s="13" t="s">
        <v>12</v>
      </c>
      <c r="H766" s="4">
        <v>2.0</v>
      </c>
      <c r="K766" s="13">
        <v>2.0</v>
      </c>
      <c r="L766" s="13">
        <v>40000.0</v>
      </c>
    </row>
    <row r="767">
      <c r="B767" s="94">
        <v>46108.0</v>
      </c>
      <c r="C767" s="4" t="s">
        <v>113</v>
      </c>
      <c r="D767" s="4" t="s">
        <v>93</v>
      </c>
      <c r="E767" s="4" t="s">
        <v>53</v>
      </c>
      <c r="F767" s="13" t="s">
        <v>13</v>
      </c>
      <c r="H767" s="4">
        <v>4.0</v>
      </c>
      <c r="I767" s="4">
        <v>1.0</v>
      </c>
      <c r="K767" s="13">
        <v>3.0</v>
      </c>
      <c r="L767" s="13">
        <v>60000.0</v>
      </c>
    </row>
    <row r="768">
      <c r="B768" s="94">
        <v>46108.0</v>
      </c>
      <c r="C768" s="4" t="s">
        <v>113</v>
      </c>
      <c r="D768" s="4" t="s">
        <v>93</v>
      </c>
      <c r="E768" s="4" t="s">
        <v>53</v>
      </c>
      <c r="F768" s="13" t="s">
        <v>14</v>
      </c>
      <c r="H768" s="4">
        <v>3.0</v>
      </c>
      <c r="K768" s="13">
        <v>3.0</v>
      </c>
      <c r="L768" s="13">
        <v>66000.0</v>
      </c>
    </row>
    <row r="769">
      <c r="B769" s="94">
        <v>46108.0</v>
      </c>
      <c r="C769" s="4" t="s">
        <v>113</v>
      </c>
      <c r="D769" s="4" t="s">
        <v>93</v>
      </c>
      <c r="E769" s="4" t="s">
        <v>53</v>
      </c>
      <c r="F769" s="13" t="s">
        <v>15</v>
      </c>
      <c r="H769" s="4">
        <v>30.0</v>
      </c>
      <c r="I769" s="4">
        <v>2.0</v>
      </c>
      <c r="K769" s="13">
        <v>28.0</v>
      </c>
      <c r="L769" s="13">
        <v>560000.0</v>
      </c>
    </row>
    <row r="770">
      <c r="A770" s="13"/>
      <c r="B770" s="94">
        <v>46108.0</v>
      </c>
      <c r="C770" s="4" t="s">
        <v>114</v>
      </c>
      <c r="D770" s="4" t="s">
        <v>93</v>
      </c>
      <c r="E770" s="4" t="s">
        <v>299</v>
      </c>
      <c r="F770" s="13" t="s">
        <v>4</v>
      </c>
      <c r="G770" s="13"/>
      <c r="H770" s="13"/>
      <c r="I770" s="13"/>
      <c r="J770" s="13"/>
      <c r="K770" s="13">
        <v>0.0</v>
      </c>
      <c r="L770" s="13">
        <v>0.0</v>
      </c>
      <c r="M770" s="13"/>
      <c r="N770" s="13"/>
      <c r="O770" s="13"/>
      <c r="P770" s="13"/>
      <c r="Q770" s="13"/>
      <c r="R770" s="13"/>
      <c r="S770" s="13"/>
      <c r="T770" s="13"/>
      <c r="U770" s="13"/>
      <c r="V770" s="13"/>
      <c r="W770" s="13"/>
      <c r="X770" s="13"/>
      <c r="Y770" s="13"/>
      <c r="Z770" s="13"/>
      <c r="AA770" s="13"/>
      <c r="AB770" s="13"/>
      <c r="AC770" s="13"/>
    </row>
    <row r="771">
      <c r="A771" s="13"/>
      <c r="B771" s="94">
        <v>46108.0</v>
      </c>
      <c r="C771" s="4" t="s">
        <v>114</v>
      </c>
      <c r="D771" s="4" t="s">
        <v>93</v>
      </c>
      <c r="E771" s="4" t="s">
        <v>299</v>
      </c>
      <c r="F771" s="13" t="s">
        <v>5</v>
      </c>
      <c r="G771" s="13"/>
      <c r="H771" s="13"/>
      <c r="I771" s="13"/>
      <c r="J771" s="13"/>
      <c r="K771" s="13">
        <v>0.0</v>
      </c>
      <c r="L771" s="13">
        <v>0.0</v>
      </c>
      <c r="M771" s="13"/>
      <c r="N771" s="13"/>
      <c r="O771" s="13"/>
      <c r="P771" s="13"/>
      <c r="Q771" s="13"/>
      <c r="R771" s="13"/>
      <c r="S771" s="13"/>
      <c r="T771" s="13"/>
      <c r="U771" s="13"/>
      <c r="V771" s="13"/>
      <c r="W771" s="13"/>
      <c r="X771" s="13"/>
      <c r="Y771" s="13"/>
      <c r="Z771" s="13"/>
      <c r="AA771" s="13"/>
      <c r="AB771" s="13"/>
      <c r="AC771" s="13"/>
    </row>
    <row r="772">
      <c r="A772" s="13"/>
      <c r="B772" s="94">
        <v>46108.0</v>
      </c>
      <c r="C772" s="4" t="s">
        <v>114</v>
      </c>
      <c r="D772" s="4" t="s">
        <v>93</v>
      </c>
      <c r="E772" s="4" t="s">
        <v>299</v>
      </c>
      <c r="F772" s="13" t="s">
        <v>6</v>
      </c>
      <c r="G772" s="13"/>
      <c r="H772" s="13"/>
      <c r="I772" s="13"/>
      <c r="J772" s="13"/>
      <c r="K772" s="13">
        <v>0.0</v>
      </c>
      <c r="L772" s="13">
        <v>0.0</v>
      </c>
      <c r="M772" s="13"/>
      <c r="N772" s="13"/>
      <c r="O772" s="13"/>
      <c r="P772" s="13"/>
      <c r="Q772" s="13"/>
      <c r="R772" s="13"/>
      <c r="S772" s="13"/>
      <c r="T772" s="13"/>
      <c r="U772" s="13"/>
      <c r="V772" s="13"/>
      <c r="W772" s="13"/>
      <c r="X772" s="13"/>
      <c r="Y772" s="13"/>
      <c r="Z772" s="13"/>
      <c r="AA772" s="13"/>
      <c r="AB772" s="13"/>
      <c r="AC772" s="13"/>
    </row>
    <row r="773">
      <c r="A773" s="13"/>
      <c r="B773" s="94">
        <v>46108.0</v>
      </c>
      <c r="C773" s="4" t="s">
        <v>114</v>
      </c>
      <c r="D773" s="4" t="s">
        <v>93</v>
      </c>
      <c r="E773" s="4" t="s">
        <v>299</v>
      </c>
      <c r="F773" s="13" t="s">
        <v>7</v>
      </c>
      <c r="G773" s="13"/>
      <c r="H773" s="13"/>
      <c r="I773" s="13"/>
      <c r="J773" s="13"/>
      <c r="K773" s="13">
        <v>0.0</v>
      </c>
      <c r="L773" s="13">
        <v>0.0</v>
      </c>
      <c r="M773" s="13"/>
      <c r="N773" s="13"/>
      <c r="O773" s="13"/>
      <c r="P773" s="13"/>
      <c r="Q773" s="13"/>
      <c r="R773" s="13"/>
      <c r="S773" s="13"/>
      <c r="T773" s="13"/>
      <c r="U773" s="13"/>
      <c r="V773" s="13"/>
      <c r="W773" s="13"/>
      <c r="X773" s="13"/>
      <c r="Y773" s="13"/>
      <c r="Z773" s="13"/>
      <c r="AA773" s="13"/>
      <c r="AB773" s="13"/>
      <c r="AC773" s="13"/>
    </row>
    <row r="774">
      <c r="A774" s="13"/>
      <c r="B774" s="94">
        <v>46108.0</v>
      </c>
      <c r="C774" s="4" t="s">
        <v>114</v>
      </c>
      <c r="D774" s="4" t="s">
        <v>93</v>
      </c>
      <c r="E774" s="4" t="s">
        <v>299</v>
      </c>
      <c r="F774" s="13" t="s">
        <v>8</v>
      </c>
      <c r="G774" s="13"/>
      <c r="H774" s="13"/>
      <c r="I774" s="13"/>
      <c r="J774" s="13"/>
      <c r="K774" s="13">
        <v>0.0</v>
      </c>
      <c r="L774" s="13">
        <v>0.0</v>
      </c>
      <c r="M774" s="13"/>
      <c r="N774" s="13"/>
      <c r="O774" s="13"/>
      <c r="P774" s="13"/>
      <c r="Q774" s="13"/>
      <c r="R774" s="13"/>
      <c r="S774" s="13"/>
      <c r="T774" s="13"/>
      <c r="U774" s="13"/>
      <c r="V774" s="13"/>
      <c r="W774" s="13"/>
      <c r="X774" s="13"/>
      <c r="Y774" s="13"/>
      <c r="Z774" s="13"/>
      <c r="AA774" s="13"/>
      <c r="AB774" s="13"/>
      <c r="AC774" s="13"/>
    </row>
    <row r="775">
      <c r="A775" s="13"/>
      <c r="B775" s="94">
        <v>46108.0</v>
      </c>
      <c r="C775" s="4" t="s">
        <v>114</v>
      </c>
      <c r="D775" s="4" t="s">
        <v>93</v>
      </c>
      <c r="E775" s="4" t="s">
        <v>299</v>
      </c>
      <c r="F775" s="13" t="s">
        <v>9</v>
      </c>
      <c r="G775" s="13"/>
      <c r="H775" s="13"/>
      <c r="I775" s="13"/>
      <c r="J775" s="13"/>
      <c r="K775" s="13">
        <v>0.0</v>
      </c>
      <c r="L775" s="13">
        <v>0.0</v>
      </c>
      <c r="M775" s="13"/>
      <c r="N775" s="13"/>
      <c r="O775" s="13"/>
      <c r="P775" s="13"/>
      <c r="Q775" s="13"/>
      <c r="R775" s="13"/>
      <c r="S775" s="13"/>
      <c r="T775" s="13"/>
      <c r="U775" s="13"/>
      <c r="V775" s="13"/>
      <c r="W775" s="13"/>
      <c r="X775" s="13"/>
      <c r="Y775" s="13"/>
      <c r="Z775" s="13"/>
      <c r="AA775" s="13"/>
      <c r="AB775" s="13"/>
      <c r="AC775" s="13"/>
    </row>
    <row r="776">
      <c r="A776" s="13"/>
      <c r="B776" s="94">
        <v>46108.0</v>
      </c>
      <c r="C776" s="4" t="s">
        <v>114</v>
      </c>
      <c r="D776" s="4" t="s">
        <v>93</v>
      </c>
      <c r="E776" s="4" t="s">
        <v>299</v>
      </c>
      <c r="F776" s="13" t="s">
        <v>10</v>
      </c>
      <c r="G776" s="13"/>
      <c r="H776" s="13"/>
      <c r="I776" s="13"/>
      <c r="J776" s="13"/>
      <c r="K776" s="13">
        <v>0.0</v>
      </c>
      <c r="L776" s="13">
        <v>0.0</v>
      </c>
      <c r="M776" s="13"/>
      <c r="N776" s="13"/>
      <c r="O776" s="13"/>
      <c r="P776" s="13"/>
      <c r="Q776" s="13"/>
      <c r="R776" s="13"/>
      <c r="S776" s="13"/>
      <c r="T776" s="13"/>
      <c r="U776" s="13"/>
      <c r="V776" s="13"/>
      <c r="W776" s="13"/>
      <c r="X776" s="13"/>
      <c r="Y776" s="13"/>
      <c r="Z776" s="13"/>
      <c r="AA776" s="13"/>
      <c r="AB776" s="13"/>
      <c r="AC776" s="13"/>
    </row>
    <row r="777">
      <c r="A777" s="13"/>
      <c r="B777" s="94">
        <v>46108.0</v>
      </c>
      <c r="C777" s="4" t="s">
        <v>114</v>
      </c>
      <c r="D777" s="4" t="s">
        <v>93</v>
      </c>
      <c r="E777" s="4" t="s">
        <v>299</v>
      </c>
      <c r="F777" s="13" t="s">
        <v>11</v>
      </c>
      <c r="G777" s="13"/>
      <c r="H777" s="13"/>
      <c r="I777" s="13"/>
      <c r="J777" s="13"/>
      <c r="K777" s="13">
        <v>0.0</v>
      </c>
      <c r="L777" s="13">
        <v>0.0</v>
      </c>
      <c r="M777" s="13"/>
      <c r="N777" s="13"/>
      <c r="O777" s="13"/>
      <c r="P777" s="13"/>
      <c r="Q777" s="13"/>
      <c r="R777" s="13"/>
      <c r="S777" s="13"/>
      <c r="T777" s="13"/>
      <c r="U777" s="13"/>
      <c r="V777" s="13"/>
      <c r="W777" s="13"/>
      <c r="X777" s="13"/>
      <c r="Y777" s="13"/>
      <c r="Z777" s="13"/>
      <c r="AA777" s="13"/>
      <c r="AB777" s="13"/>
      <c r="AC777" s="13"/>
    </row>
    <row r="778">
      <c r="A778" s="13"/>
      <c r="B778" s="94">
        <v>46108.0</v>
      </c>
      <c r="C778" s="4" t="s">
        <v>114</v>
      </c>
      <c r="D778" s="4" t="s">
        <v>93</v>
      </c>
      <c r="E778" s="4" t="s">
        <v>299</v>
      </c>
      <c r="F778" s="13" t="s">
        <v>12</v>
      </c>
      <c r="G778" s="13"/>
      <c r="H778" s="13"/>
      <c r="I778" s="13"/>
      <c r="J778" s="13"/>
      <c r="K778" s="13">
        <v>0.0</v>
      </c>
      <c r="L778" s="13">
        <v>0.0</v>
      </c>
      <c r="M778" s="13"/>
      <c r="N778" s="13"/>
      <c r="O778" s="13"/>
      <c r="P778" s="13"/>
      <c r="Q778" s="13"/>
      <c r="R778" s="13"/>
      <c r="S778" s="13"/>
      <c r="T778" s="13"/>
      <c r="U778" s="13"/>
      <c r="V778" s="13"/>
      <c r="W778" s="13"/>
      <c r="X778" s="13"/>
      <c r="Y778" s="13"/>
      <c r="Z778" s="13"/>
      <c r="AA778" s="13"/>
      <c r="AB778" s="13"/>
      <c r="AC778" s="13"/>
    </row>
    <row r="779">
      <c r="A779" s="13"/>
      <c r="B779" s="94">
        <v>46108.0</v>
      </c>
      <c r="C779" s="4" t="s">
        <v>114</v>
      </c>
      <c r="D779" s="4" t="s">
        <v>93</v>
      </c>
      <c r="E779" s="4" t="s">
        <v>299</v>
      </c>
      <c r="F779" s="13" t="s">
        <v>13</v>
      </c>
      <c r="G779" s="13"/>
      <c r="H779" s="13"/>
      <c r="I779" s="13"/>
      <c r="J779" s="13"/>
      <c r="K779" s="13">
        <v>0.0</v>
      </c>
      <c r="L779" s="13">
        <v>0.0</v>
      </c>
      <c r="M779" s="13"/>
      <c r="N779" s="13"/>
      <c r="O779" s="13"/>
      <c r="P779" s="13"/>
      <c r="Q779" s="13"/>
      <c r="R779" s="13"/>
      <c r="S779" s="13"/>
      <c r="T779" s="13"/>
      <c r="U779" s="13"/>
      <c r="V779" s="13"/>
      <c r="W779" s="13"/>
      <c r="X779" s="13"/>
      <c r="Y779" s="13"/>
      <c r="Z779" s="13"/>
      <c r="AA779" s="13"/>
      <c r="AB779" s="13"/>
      <c r="AC779" s="13"/>
    </row>
    <row r="780">
      <c r="A780" s="13"/>
      <c r="B780" s="94">
        <v>46108.0</v>
      </c>
      <c r="C780" s="4" t="s">
        <v>114</v>
      </c>
      <c r="D780" s="4" t="s">
        <v>93</v>
      </c>
      <c r="E780" s="4" t="s">
        <v>299</v>
      </c>
      <c r="F780" s="13" t="s">
        <v>14</v>
      </c>
      <c r="G780" s="13"/>
      <c r="H780" s="13"/>
      <c r="I780" s="13"/>
      <c r="J780" s="13"/>
      <c r="K780" s="13">
        <v>0.0</v>
      </c>
      <c r="L780" s="13">
        <v>0.0</v>
      </c>
      <c r="M780" s="13"/>
      <c r="N780" s="13"/>
      <c r="O780" s="13"/>
      <c r="P780" s="13"/>
      <c r="Q780" s="13"/>
      <c r="R780" s="13"/>
      <c r="S780" s="13"/>
      <c r="T780" s="13"/>
      <c r="U780" s="13"/>
      <c r="V780" s="13"/>
      <c r="W780" s="13"/>
      <c r="X780" s="13"/>
      <c r="Y780" s="13"/>
      <c r="Z780" s="13"/>
      <c r="AA780" s="13"/>
      <c r="AB780" s="13"/>
      <c r="AC780" s="13"/>
    </row>
    <row r="781">
      <c r="A781" s="13"/>
      <c r="B781" s="94">
        <v>46108.0</v>
      </c>
      <c r="C781" s="4" t="s">
        <v>114</v>
      </c>
      <c r="D781" s="4" t="s">
        <v>93</v>
      </c>
      <c r="E781" s="4" t="s">
        <v>299</v>
      </c>
      <c r="F781" s="13" t="s">
        <v>15</v>
      </c>
      <c r="G781" s="13"/>
      <c r="H781" s="13"/>
      <c r="I781" s="13"/>
      <c r="J781" s="13"/>
      <c r="K781" s="13">
        <v>0.0</v>
      </c>
      <c r="L781" s="13">
        <v>0.0</v>
      </c>
      <c r="M781" s="13"/>
      <c r="N781" s="13"/>
      <c r="O781" s="13"/>
      <c r="P781" s="13"/>
      <c r="Q781" s="13"/>
      <c r="R781" s="13"/>
      <c r="S781" s="13"/>
      <c r="T781" s="13"/>
      <c r="U781" s="13"/>
      <c r="V781" s="13"/>
      <c r="W781" s="13"/>
      <c r="X781" s="13"/>
      <c r="Y781" s="13"/>
      <c r="Z781" s="13"/>
      <c r="AA781" s="13"/>
      <c r="AB781" s="13"/>
      <c r="AC781" s="13"/>
    </row>
    <row r="782">
      <c r="A782" s="13"/>
      <c r="B782" s="11">
        <v>46111.0</v>
      </c>
      <c r="C782" s="4" t="s">
        <v>113</v>
      </c>
      <c r="D782" s="4" t="s">
        <v>89</v>
      </c>
      <c r="E782" s="4" t="s">
        <v>299</v>
      </c>
      <c r="F782" s="13" t="s">
        <v>4</v>
      </c>
      <c r="G782" s="13"/>
      <c r="I782" s="13"/>
      <c r="J782" s="13"/>
      <c r="K782" s="13">
        <v>0.0</v>
      </c>
      <c r="L782" s="13">
        <v>0.0</v>
      </c>
      <c r="M782" s="13">
        <f>sum(L782:L793)+500000</f>
        <v>500000</v>
      </c>
      <c r="N782" s="13"/>
      <c r="O782" s="13"/>
      <c r="P782" s="13"/>
      <c r="Q782" s="13"/>
      <c r="R782" s="13"/>
      <c r="S782" s="13"/>
      <c r="T782" s="13"/>
      <c r="U782" s="13"/>
      <c r="V782" s="13"/>
      <c r="W782" s="13"/>
      <c r="X782" s="13"/>
      <c r="Y782" s="13"/>
      <c r="Z782" s="13"/>
      <c r="AA782" s="13"/>
      <c r="AB782" s="13"/>
      <c r="AC782" s="13"/>
    </row>
    <row r="783">
      <c r="A783" s="13"/>
      <c r="B783" s="11">
        <v>46111.0</v>
      </c>
      <c r="C783" s="4" t="s">
        <v>113</v>
      </c>
      <c r="D783" s="4" t="s">
        <v>89</v>
      </c>
      <c r="E783" s="4" t="s">
        <v>299</v>
      </c>
      <c r="F783" s="13" t="s">
        <v>5</v>
      </c>
      <c r="G783" s="13"/>
      <c r="I783" s="13"/>
      <c r="J783" s="13"/>
      <c r="K783" s="13">
        <v>0.0</v>
      </c>
      <c r="L783" s="13">
        <v>0.0</v>
      </c>
      <c r="M783" s="13"/>
      <c r="N783" s="13"/>
      <c r="O783" s="13"/>
      <c r="P783" s="13"/>
      <c r="Q783" s="13"/>
      <c r="R783" s="13"/>
      <c r="S783" s="13"/>
      <c r="T783" s="13"/>
      <c r="U783" s="13"/>
      <c r="V783" s="13"/>
      <c r="W783" s="13"/>
      <c r="X783" s="13"/>
      <c r="Y783" s="13"/>
      <c r="Z783" s="13"/>
      <c r="AA783" s="13"/>
      <c r="AB783" s="13"/>
      <c r="AC783" s="13"/>
    </row>
    <row r="784">
      <c r="A784" s="13"/>
      <c r="B784" s="11">
        <v>46111.0</v>
      </c>
      <c r="C784" s="4" t="s">
        <v>113</v>
      </c>
      <c r="D784" s="4" t="s">
        <v>89</v>
      </c>
      <c r="E784" s="4" t="s">
        <v>299</v>
      </c>
      <c r="F784" s="13" t="s">
        <v>6</v>
      </c>
      <c r="G784" s="13"/>
      <c r="I784" s="13"/>
      <c r="J784" s="13"/>
      <c r="K784" s="13">
        <v>0.0</v>
      </c>
      <c r="L784" s="13">
        <v>0.0</v>
      </c>
      <c r="M784" s="13"/>
      <c r="N784" s="13"/>
      <c r="O784" s="13"/>
      <c r="P784" s="13"/>
      <c r="Q784" s="13"/>
      <c r="R784" s="13"/>
      <c r="S784" s="13"/>
      <c r="T784" s="13"/>
      <c r="U784" s="13"/>
      <c r="V784" s="13"/>
      <c r="W784" s="13"/>
      <c r="X784" s="13"/>
      <c r="Y784" s="13"/>
      <c r="Z784" s="13"/>
      <c r="AA784" s="13"/>
      <c r="AB784" s="13"/>
      <c r="AC784" s="13"/>
    </row>
    <row r="785">
      <c r="A785" s="13"/>
      <c r="B785" s="11">
        <v>46111.0</v>
      </c>
      <c r="C785" s="4" t="s">
        <v>113</v>
      </c>
      <c r="D785" s="4" t="s">
        <v>89</v>
      </c>
      <c r="E785" s="4" t="s">
        <v>299</v>
      </c>
      <c r="F785" s="13" t="s">
        <v>7</v>
      </c>
      <c r="G785" s="13"/>
      <c r="I785" s="13"/>
      <c r="J785" s="13"/>
      <c r="K785" s="13">
        <v>0.0</v>
      </c>
      <c r="L785" s="13">
        <v>0.0</v>
      </c>
      <c r="M785" s="13"/>
      <c r="N785" s="13"/>
      <c r="O785" s="13"/>
      <c r="P785" s="13"/>
      <c r="Q785" s="13"/>
      <c r="R785" s="13"/>
      <c r="S785" s="13"/>
      <c r="T785" s="13"/>
      <c r="U785" s="13"/>
      <c r="V785" s="13"/>
      <c r="W785" s="13"/>
      <c r="X785" s="13"/>
      <c r="Y785" s="13"/>
      <c r="Z785" s="13"/>
      <c r="AA785" s="13"/>
      <c r="AB785" s="13"/>
      <c r="AC785" s="13"/>
    </row>
    <row r="786">
      <c r="A786" s="13"/>
      <c r="B786" s="11">
        <v>46111.0</v>
      </c>
      <c r="C786" s="4" t="s">
        <v>113</v>
      </c>
      <c r="D786" s="4" t="s">
        <v>89</v>
      </c>
      <c r="E786" s="4" t="s">
        <v>299</v>
      </c>
      <c r="F786" s="13" t="s">
        <v>8</v>
      </c>
      <c r="G786" s="13"/>
      <c r="I786" s="13"/>
      <c r="J786" s="13"/>
      <c r="K786" s="13">
        <v>0.0</v>
      </c>
      <c r="L786" s="13">
        <v>0.0</v>
      </c>
      <c r="M786" s="13"/>
      <c r="N786" s="13"/>
      <c r="O786" s="13"/>
      <c r="P786" s="13"/>
      <c r="Q786" s="13"/>
      <c r="R786" s="13"/>
      <c r="S786" s="13"/>
      <c r="T786" s="13"/>
      <c r="U786" s="13"/>
      <c r="V786" s="13"/>
      <c r="W786" s="13"/>
      <c r="X786" s="13"/>
      <c r="Y786" s="13"/>
      <c r="Z786" s="13"/>
      <c r="AA786" s="13"/>
      <c r="AB786" s="13"/>
      <c r="AC786" s="13"/>
    </row>
    <row r="787">
      <c r="A787" s="13"/>
      <c r="B787" s="11">
        <v>46111.0</v>
      </c>
      <c r="C787" s="4" t="s">
        <v>113</v>
      </c>
      <c r="D787" s="4" t="s">
        <v>89</v>
      </c>
      <c r="E787" s="4" t="s">
        <v>299</v>
      </c>
      <c r="F787" s="13" t="s">
        <v>9</v>
      </c>
      <c r="G787" s="13"/>
      <c r="I787" s="13"/>
      <c r="J787" s="13"/>
      <c r="K787" s="13">
        <v>0.0</v>
      </c>
      <c r="L787" s="13">
        <v>0.0</v>
      </c>
      <c r="M787" s="13"/>
      <c r="N787" s="13"/>
      <c r="O787" s="13"/>
      <c r="P787" s="13"/>
      <c r="Q787" s="13"/>
      <c r="R787" s="13"/>
      <c r="S787" s="13"/>
      <c r="T787" s="13"/>
      <c r="U787" s="13"/>
      <c r="V787" s="13"/>
      <c r="W787" s="13"/>
      <c r="X787" s="13"/>
      <c r="Y787" s="13"/>
      <c r="Z787" s="13"/>
      <c r="AA787" s="13"/>
      <c r="AB787" s="13"/>
      <c r="AC787" s="13"/>
    </row>
    <row r="788">
      <c r="A788" s="13"/>
      <c r="B788" s="11">
        <v>46111.0</v>
      </c>
      <c r="C788" s="4" t="s">
        <v>113</v>
      </c>
      <c r="D788" s="4" t="s">
        <v>89</v>
      </c>
      <c r="E788" s="4" t="s">
        <v>299</v>
      </c>
      <c r="F788" s="13" t="s">
        <v>10</v>
      </c>
      <c r="G788" s="13"/>
      <c r="I788" s="13"/>
      <c r="J788" s="13"/>
      <c r="K788" s="13">
        <v>0.0</v>
      </c>
      <c r="L788" s="13">
        <v>0.0</v>
      </c>
      <c r="M788" s="13"/>
      <c r="N788" s="13"/>
      <c r="O788" s="13"/>
      <c r="P788" s="13"/>
      <c r="Q788" s="13"/>
      <c r="R788" s="13"/>
      <c r="S788" s="13"/>
      <c r="T788" s="13"/>
      <c r="U788" s="13"/>
      <c r="V788" s="13"/>
      <c r="W788" s="13"/>
      <c r="X788" s="13"/>
      <c r="Y788" s="13"/>
      <c r="Z788" s="13"/>
      <c r="AA788" s="13"/>
      <c r="AB788" s="13"/>
      <c r="AC788" s="13"/>
    </row>
    <row r="789">
      <c r="A789" s="13"/>
      <c r="B789" s="11">
        <v>46111.0</v>
      </c>
      <c r="C789" s="4" t="s">
        <v>113</v>
      </c>
      <c r="D789" s="4" t="s">
        <v>89</v>
      </c>
      <c r="E789" s="4" t="s">
        <v>299</v>
      </c>
      <c r="F789" s="13" t="s">
        <v>11</v>
      </c>
      <c r="G789" s="13"/>
      <c r="I789" s="13"/>
      <c r="J789" s="13"/>
      <c r="K789" s="13">
        <v>0.0</v>
      </c>
      <c r="L789" s="13">
        <v>0.0</v>
      </c>
      <c r="M789" s="13"/>
      <c r="N789" s="13"/>
      <c r="O789" s="13"/>
      <c r="P789" s="13"/>
      <c r="Q789" s="13"/>
      <c r="R789" s="13"/>
      <c r="S789" s="13"/>
      <c r="T789" s="13"/>
      <c r="U789" s="13"/>
      <c r="V789" s="13"/>
      <c r="W789" s="13"/>
      <c r="X789" s="13"/>
      <c r="Y789" s="13"/>
      <c r="Z789" s="13"/>
      <c r="AA789" s="13"/>
      <c r="AB789" s="13"/>
      <c r="AC789" s="13"/>
    </row>
    <row r="790">
      <c r="A790" s="13"/>
      <c r="B790" s="11">
        <v>46111.0</v>
      </c>
      <c r="C790" s="4" t="s">
        <v>113</v>
      </c>
      <c r="D790" s="4" t="s">
        <v>89</v>
      </c>
      <c r="E790" s="4" t="s">
        <v>299</v>
      </c>
      <c r="F790" s="13" t="s">
        <v>12</v>
      </c>
      <c r="G790" s="13"/>
      <c r="I790" s="13"/>
      <c r="J790" s="13"/>
      <c r="K790" s="13">
        <v>0.0</v>
      </c>
      <c r="L790" s="13">
        <v>0.0</v>
      </c>
      <c r="M790" s="13"/>
      <c r="N790" s="13"/>
      <c r="O790" s="13"/>
      <c r="P790" s="13"/>
      <c r="Q790" s="13"/>
      <c r="R790" s="13"/>
      <c r="S790" s="13"/>
      <c r="T790" s="13"/>
      <c r="U790" s="13"/>
      <c r="V790" s="13"/>
      <c r="W790" s="13"/>
      <c r="X790" s="13"/>
      <c r="Y790" s="13"/>
      <c r="Z790" s="13"/>
      <c r="AA790" s="13"/>
      <c r="AB790" s="13"/>
      <c r="AC790" s="13"/>
    </row>
    <row r="791">
      <c r="A791" s="13"/>
      <c r="B791" s="11">
        <v>46111.0</v>
      </c>
      <c r="C791" s="4" t="s">
        <v>113</v>
      </c>
      <c r="D791" s="4" t="s">
        <v>89</v>
      </c>
      <c r="E791" s="4" t="s">
        <v>299</v>
      </c>
      <c r="F791" s="13" t="s">
        <v>13</v>
      </c>
      <c r="G791" s="13"/>
      <c r="I791" s="13"/>
      <c r="J791" s="13"/>
      <c r="K791" s="13">
        <v>0.0</v>
      </c>
      <c r="L791" s="13">
        <v>0.0</v>
      </c>
      <c r="M791" s="13"/>
      <c r="N791" s="13"/>
      <c r="O791" s="13"/>
      <c r="P791" s="13"/>
      <c r="Q791" s="13"/>
      <c r="R791" s="13"/>
      <c r="S791" s="13"/>
      <c r="T791" s="13"/>
      <c r="U791" s="13"/>
      <c r="V791" s="13"/>
      <c r="W791" s="13"/>
      <c r="X791" s="13"/>
      <c r="Y791" s="13"/>
      <c r="Z791" s="13"/>
      <c r="AA791" s="13"/>
      <c r="AB791" s="13"/>
      <c r="AC791" s="13"/>
    </row>
    <row r="792">
      <c r="A792" s="13"/>
      <c r="B792" s="11">
        <v>46111.0</v>
      </c>
      <c r="C792" s="4" t="s">
        <v>113</v>
      </c>
      <c r="D792" s="4" t="s">
        <v>89</v>
      </c>
      <c r="E792" s="4" t="s">
        <v>299</v>
      </c>
      <c r="F792" s="13" t="s">
        <v>14</v>
      </c>
      <c r="G792" s="13"/>
      <c r="I792" s="13"/>
      <c r="J792" s="13"/>
      <c r="K792" s="13">
        <v>0.0</v>
      </c>
      <c r="L792" s="13">
        <v>0.0</v>
      </c>
      <c r="M792" s="13"/>
      <c r="N792" s="13"/>
      <c r="O792" s="13"/>
      <c r="P792" s="13"/>
      <c r="Q792" s="13"/>
      <c r="R792" s="13"/>
      <c r="S792" s="13"/>
      <c r="T792" s="13"/>
      <c r="U792" s="13"/>
      <c r="V792" s="13"/>
      <c r="W792" s="13"/>
      <c r="X792" s="13"/>
      <c r="Y792" s="13"/>
      <c r="Z792" s="13"/>
      <c r="AA792" s="13"/>
      <c r="AB792" s="13"/>
      <c r="AC792" s="13"/>
    </row>
    <row r="793">
      <c r="A793" s="13"/>
      <c r="B793" s="11">
        <v>46111.0</v>
      </c>
      <c r="C793" s="4" t="s">
        <v>113</v>
      </c>
      <c r="D793" s="4" t="s">
        <v>89</v>
      </c>
      <c r="E793" s="4" t="s">
        <v>299</v>
      </c>
      <c r="F793" s="13" t="s">
        <v>15</v>
      </c>
      <c r="G793" s="13"/>
      <c r="I793" s="13"/>
      <c r="J793" s="13"/>
      <c r="K793" s="13">
        <v>0.0</v>
      </c>
      <c r="L793" s="13">
        <v>0.0</v>
      </c>
      <c r="M793" s="13"/>
      <c r="N793" s="13"/>
      <c r="O793" s="13"/>
      <c r="P793" s="13"/>
      <c r="Q793" s="13"/>
      <c r="R793" s="13"/>
      <c r="S793" s="13"/>
      <c r="T793" s="13"/>
      <c r="U793" s="13"/>
      <c r="V793" s="13"/>
      <c r="W793" s="13"/>
      <c r="X793" s="13"/>
      <c r="Y793" s="13"/>
      <c r="Z793" s="13"/>
      <c r="AA793" s="13"/>
      <c r="AB793" s="13"/>
      <c r="AC793" s="13"/>
    </row>
    <row r="794">
      <c r="B794" s="11">
        <v>46111.0</v>
      </c>
      <c r="C794" s="4" t="s">
        <v>114</v>
      </c>
      <c r="D794" s="4" t="s">
        <v>89</v>
      </c>
      <c r="E794" s="4" t="s">
        <v>71</v>
      </c>
      <c r="F794" s="13" t="s">
        <v>4</v>
      </c>
      <c r="H794" s="4">
        <v>4.0</v>
      </c>
      <c r="K794" s="13">
        <v>4.0</v>
      </c>
      <c r="L794" s="13">
        <v>80000.0</v>
      </c>
    </row>
    <row r="795">
      <c r="B795" s="11">
        <v>46111.0</v>
      </c>
      <c r="C795" s="4" t="s">
        <v>114</v>
      </c>
      <c r="D795" s="4" t="s">
        <v>89</v>
      </c>
      <c r="E795" s="4" t="s">
        <v>71</v>
      </c>
      <c r="F795" s="13" t="s">
        <v>5</v>
      </c>
      <c r="H795" s="4">
        <v>2.0</v>
      </c>
      <c r="K795" s="13">
        <v>2.0</v>
      </c>
      <c r="L795" s="13">
        <v>40000.0</v>
      </c>
    </row>
    <row r="796">
      <c r="B796" s="11">
        <v>46111.0</v>
      </c>
      <c r="C796" s="4" t="s">
        <v>114</v>
      </c>
      <c r="D796" s="4" t="s">
        <v>89</v>
      </c>
      <c r="E796" s="4" t="s">
        <v>71</v>
      </c>
      <c r="F796" s="13" t="s">
        <v>6</v>
      </c>
      <c r="H796" s="4">
        <v>2.0</v>
      </c>
      <c r="K796" s="13">
        <v>2.0</v>
      </c>
      <c r="L796" s="13">
        <v>40000.0</v>
      </c>
    </row>
    <row r="797">
      <c r="B797" s="11">
        <v>46111.0</v>
      </c>
      <c r="C797" s="4" t="s">
        <v>114</v>
      </c>
      <c r="D797" s="4" t="s">
        <v>89</v>
      </c>
      <c r="E797" s="4" t="s">
        <v>71</v>
      </c>
      <c r="F797" s="13" t="s">
        <v>7</v>
      </c>
      <c r="H797" s="4">
        <v>2.0</v>
      </c>
      <c r="K797" s="13">
        <v>2.0</v>
      </c>
      <c r="L797" s="13">
        <v>40000.0</v>
      </c>
    </row>
    <row r="798">
      <c r="B798" s="11">
        <v>46111.0</v>
      </c>
      <c r="C798" s="4" t="s">
        <v>114</v>
      </c>
      <c r="D798" s="4" t="s">
        <v>89</v>
      </c>
      <c r="E798" s="4" t="s">
        <v>71</v>
      </c>
      <c r="F798" s="13" t="s">
        <v>8</v>
      </c>
      <c r="H798" s="59">
        <v>4.0</v>
      </c>
      <c r="K798" s="13">
        <v>4.0</v>
      </c>
      <c r="L798" s="13">
        <v>80000.0</v>
      </c>
    </row>
    <row r="799">
      <c r="B799" s="11">
        <v>46111.0</v>
      </c>
      <c r="C799" s="4" t="s">
        <v>114</v>
      </c>
      <c r="D799" s="4" t="s">
        <v>89</v>
      </c>
      <c r="E799" s="4" t="s">
        <v>71</v>
      </c>
      <c r="F799" s="13" t="s">
        <v>9</v>
      </c>
      <c r="H799" s="4">
        <v>4.0</v>
      </c>
      <c r="K799" s="13">
        <v>4.0</v>
      </c>
      <c r="L799" s="13">
        <v>80000.0</v>
      </c>
    </row>
    <row r="800">
      <c r="B800" s="11">
        <v>46111.0</v>
      </c>
      <c r="C800" s="4" t="s">
        <v>114</v>
      </c>
      <c r="D800" s="4" t="s">
        <v>89</v>
      </c>
      <c r="E800" s="4" t="s">
        <v>71</v>
      </c>
      <c r="F800" s="13" t="s">
        <v>10</v>
      </c>
      <c r="H800" s="4">
        <v>2.0</v>
      </c>
      <c r="K800" s="13">
        <v>2.0</v>
      </c>
      <c r="L800" s="13">
        <v>40000.0</v>
      </c>
    </row>
    <row r="801">
      <c r="B801" s="11">
        <v>46111.0</v>
      </c>
      <c r="C801" s="4" t="s">
        <v>114</v>
      </c>
      <c r="D801" s="4" t="s">
        <v>89</v>
      </c>
      <c r="E801" s="4" t="s">
        <v>71</v>
      </c>
      <c r="F801" s="13" t="s">
        <v>11</v>
      </c>
      <c r="K801" s="13">
        <v>0.0</v>
      </c>
      <c r="L801" s="13">
        <v>0.0</v>
      </c>
    </row>
    <row r="802">
      <c r="B802" s="11">
        <v>46111.0</v>
      </c>
      <c r="C802" s="4" t="s">
        <v>114</v>
      </c>
      <c r="D802" s="4" t="s">
        <v>89</v>
      </c>
      <c r="E802" s="4" t="s">
        <v>71</v>
      </c>
      <c r="F802" s="13" t="s">
        <v>12</v>
      </c>
      <c r="H802" s="4">
        <v>2.0</v>
      </c>
      <c r="K802" s="13">
        <v>2.0</v>
      </c>
      <c r="L802" s="13">
        <v>40000.0</v>
      </c>
    </row>
    <row r="803">
      <c r="B803" s="11">
        <v>46111.0</v>
      </c>
      <c r="C803" s="4" t="s">
        <v>114</v>
      </c>
      <c r="D803" s="4" t="s">
        <v>89</v>
      </c>
      <c r="E803" s="4" t="s">
        <v>71</v>
      </c>
      <c r="F803" s="13" t="s">
        <v>13</v>
      </c>
      <c r="H803" s="4">
        <v>3.0</v>
      </c>
      <c r="K803" s="13">
        <v>3.0</v>
      </c>
      <c r="L803" s="13">
        <v>60000.0</v>
      </c>
    </row>
    <row r="804">
      <c r="B804" s="11">
        <v>46111.0</v>
      </c>
      <c r="C804" s="4" t="s">
        <v>114</v>
      </c>
      <c r="D804" s="4" t="s">
        <v>89</v>
      </c>
      <c r="E804" s="4" t="s">
        <v>71</v>
      </c>
      <c r="F804" s="13" t="s">
        <v>14</v>
      </c>
      <c r="H804" s="4">
        <v>2.0</v>
      </c>
      <c r="K804" s="13">
        <v>2.0</v>
      </c>
      <c r="L804" s="13">
        <v>44000.0</v>
      </c>
    </row>
    <row r="805">
      <c r="B805" s="11">
        <v>46111.0</v>
      </c>
      <c r="C805" s="4" t="s">
        <v>114</v>
      </c>
      <c r="D805" s="4" t="s">
        <v>89</v>
      </c>
      <c r="E805" s="4" t="s">
        <v>71</v>
      </c>
      <c r="F805" s="13" t="s">
        <v>15</v>
      </c>
      <c r="H805" s="4">
        <v>20.0</v>
      </c>
      <c r="K805" s="13">
        <v>20.0</v>
      </c>
      <c r="L805" s="13">
        <v>400000.0</v>
      </c>
    </row>
    <row r="806">
      <c r="A806" s="13"/>
      <c r="B806" s="11">
        <v>46111.0</v>
      </c>
      <c r="C806" s="4" t="s">
        <v>113</v>
      </c>
      <c r="D806" s="4" t="s">
        <v>81</v>
      </c>
      <c r="E806" s="4" t="s">
        <v>299</v>
      </c>
      <c r="F806" s="13" t="s">
        <v>4</v>
      </c>
      <c r="G806" s="13"/>
      <c r="I806" s="13"/>
      <c r="J806" s="13"/>
      <c r="K806" s="13">
        <v>0.0</v>
      </c>
      <c r="L806" s="13">
        <v>0.0</v>
      </c>
      <c r="M806" s="13">
        <f>sum(L806:L817)+500000</f>
        <v>500000</v>
      </c>
      <c r="N806" s="13"/>
      <c r="O806" s="13"/>
      <c r="P806" s="13"/>
      <c r="Q806" s="13"/>
      <c r="R806" s="13"/>
      <c r="S806" s="13"/>
      <c r="T806" s="13"/>
      <c r="U806" s="13"/>
      <c r="V806" s="13"/>
      <c r="W806" s="13"/>
      <c r="X806" s="13"/>
      <c r="Y806" s="13"/>
      <c r="Z806" s="13"/>
      <c r="AA806" s="13"/>
      <c r="AB806" s="13"/>
      <c r="AC806" s="13"/>
    </row>
    <row r="807">
      <c r="A807" s="13"/>
      <c r="B807" s="11">
        <v>46111.0</v>
      </c>
      <c r="C807" s="4" t="s">
        <v>113</v>
      </c>
      <c r="D807" s="4" t="s">
        <v>81</v>
      </c>
      <c r="E807" s="4" t="s">
        <v>299</v>
      </c>
      <c r="F807" s="13" t="s">
        <v>5</v>
      </c>
      <c r="G807" s="13"/>
      <c r="I807" s="13"/>
      <c r="J807" s="13"/>
      <c r="K807" s="13">
        <v>0.0</v>
      </c>
      <c r="L807" s="13">
        <v>0.0</v>
      </c>
      <c r="M807" s="13"/>
      <c r="N807" s="13"/>
      <c r="O807" s="13"/>
      <c r="P807" s="13"/>
      <c r="Q807" s="13"/>
      <c r="R807" s="13"/>
      <c r="S807" s="13"/>
      <c r="T807" s="13"/>
      <c r="U807" s="13"/>
      <c r="V807" s="13"/>
      <c r="W807" s="13"/>
      <c r="X807" s="13"/>
      <c r="Y807" s="13"/>
      <c r="Z807" s="13"/>
      <c r="AA807" s="13"/>
      <c r="AB807" s="13"/>
      <c r="AC807" s="13"/>
    </row>
    <row r="808">
      <c r="A808" s="13"/>
      <c r="B808" s="11">
        <v>46111.0</v>
      </c>
      <c r="C808" s="4" t="s">
        <v>113</v>
      </c>
      <c r="D808" s="4" t="s">
        <v>81</v>
      </c>
      <c r="E808" s="4" t="s">
        <v>299</v>
      </c>
      <c r="F808" s="13" t="s">
        <v>6</v>
      </c>
      <c r="G808" s="13"/>
      <c r="I808" s="13"/>
      <c r="J808" s="13"/>
      <c r="K808" s="13">
        <v>0.0</v>
      </c>
      <c r="L808" s="13">
        <v>0.0</v>
      </c>
      <c r="M808" s="13"/>
      <c r="N808" s="13"/>
      <c r="O808" s="13"/>
      <c r="P808" s="13"/>
      <c r="Q808" s="13"/>
      <c r="R808" s="13"/>
      <c r="S808" s="13"/>
      <c r="T808" s="13"/>
      <c r="U808" s="13"/>
      <c r="V808" s="13"/>
      <c r="W808" s="13"/>
      <c r="X808" s="13"/>
      <c r="Y808" s="13"/>
      <c r="Z808" s="13"/>
      <c r="AA808" s="13"/>
      <c r="AB808" s="13"/>
      <c r="AC808" s="13"/>
    </row>
    <row r="809">
      <c r="A809" s="13"/>
      <c r="B809" s="11">
        <v>46111.0</v>
      </c>
      <c r="C809" s="4" t="s">
        <v>113</v>
      </c>
      <c r="D809" s="4" t="s">
        <v>81</v>
      </c>
      <c r="E809" s="4" t="s">
        <v>299</v>
      </c>
      <c r="F809" s="13" t="s">
        <v>7</v>
      </c>
      <c r="G809" s="13"/>
      <c r="I809" s="13"/>
      <c r="J809" s="13"/>
      <c r="K809" s="13">
        <v>0.0</v>
      </c>
      <c r="L809" s="13">
        <v>0.0</v>
      </c>
      <c r="M809" s="13"/>
      <c r="N809" s="13"/>
      <c r="O809" s="13"/>
      <c r="P809" s="13"/>
      <c r="Q809" s="13"/>
      <c r="R809" s="13"/>
      <c r="S809" s="13"/>
      <c r="T809" s="13"/>
      <c r="U809" s="13"/>
      <c r="V809" s="13"/>
      <c r="W809" s="13"/>
      <c r="X809" s="13"/>
      <c r="Y809" s="13"/>
      <c r="Z809" s="13"/>
      <c r="AA809" s="13"/>
      <c r="AB809" s="13"/>
      <c r="AC809" s="13"/>
    </row>
    <row r="810">
      <c r="A810" s="13"/>
      <c r="B810" s="11">
        <v>46111.0</v>
      </c>
      <c r="C810" s="4" t="s">
        <v>113</v>
      </c>
      <c r="D810" s="4" t="s">
        <v>81</v>
      </c>
      <c r="E810" s="4" t="s">
        <v>299</v>
      </c>
      <c r="F810" s="13" t="s">
        <v>8</v>
      </c>
      <c r="G810" s="13"/>
      <c r="I810" s="13"/>
      <c r="J810" s="13"/>
      <c r="K810" s="13">
        <v>0.0</v>
      </c>
      <c r="L810" s="13">
        <v>0.0</v>
      </c>
      <c r="M810" s="13"/>
      <c r="N810" s="13"/>
      <c r="O810" s="13"/>
      <c r="P810" s="13"/>
      <c r="Q810" s="13"/>
      <c r="R810" s="13"/>
      <c r="S810" s="13"/>
      <c r="T810" s="13"/>
      <c r="U810" s="13"/>
      <c r="V810" s="13"/>
      <c r="W810" s="13"/>
      <c r="X810" s="13"/>
      <c r="Y810" s="13"/>
      <c r="Z810" s="13"/>
      <c r="AA810" s="13"/>
      <c r="AB810" s="13"/>
      <c r="AC810" s="13"/>
    </row>
    <row r="811">
      <c r="A811" s="13"/>
      <c r="B811" s="11">
        <v>46111.0</v>
      </c>
      <c r="C811" s="4" t="s">
        <v>113</v>
      </c>
      <c r="D811" s="4" t="s">
        <v>81</v>
      </c>
      <c r="E811" s="4" t="s">
        <v>299</v>
      </c>
      <c r="F811" s="13" t="s">
        <v>9</v>
      </c>
      <c r="G811" s="13"/>
      <c r="I811" s="13"/>
      <c r="J811" s="13"/>
      <c r="K811" s="13">
        <v>0.0</v>
      </c>
      <c r="L811" s="13">
        <v>0.0</v>
      </c>
      <c r="M811" s="13"/>
      <c r="N811" s="13"/>
      <c r="O811" s="13"/>
      <c r="P811" s="13"/>
      <c r="Q811" s="13"/>
      <c r="R811" s="13"/>
      <c r="S811" s="13"/>
      <c r="T811" s="13"/>
      <c r="U811" s="13"/>
      <c r="V811" s="13"/>
      <c r="W811" s="13"/>
      <c r="X811" s="13"/>
      <c r="Y811" s="13"/>
      <c r="Z811" s="13"/>
      <c r="AA811" s="13"/>
      <c r="AB811" s="13"/>
      <c r="AC811" s="13"/>
    </row>
    <row r="812">
      <c r="A812" s="13"/>
      <c r="B812" s="11">
        <v>46111.0</v>
      </c>
      <c r="C812" s="4" t="s">
        <v>113</v>
      </c>
      <c r="D812" s="4" t="s">
        <v>81</v>
      </c>
      <c r="E812" s="4" t="s">
        <v>299</v>
      </c>
      <c r="F812" s="13" t="s">
        <v>10</v>
      </c>
      <c r="G812" s="13"/>
      <c r="I812" s="13"/>
      <c r="J812" s="13"/>
      <c r="K812" s="13">
        <v>0.0</v>
      </c>
      <c r="L812" s="13">
        <v>0.0</v>
      </c>
      <c r="M812" s="13"/>
      <c r="N812" s="13"/>
      <c r="O812" s="13"/>
      <c r="P812" s="13"/>
      <c r="Q812" s="13"/>
      <c r="R812" s="13"/>
      <c r="S812" s="13"/>
      <c r="T812" s="13"/>
      <c r="U812" s="13"/>
      <c r="V812" s="13"/>
      <c r="W812" s="13"/>
      <c r="X812" s="13"/>
      <c r="Y812" s="13"/>
      <c r="Z812" s="13"/>
      <c r="AA812" s="13"/>
      <c r="AB812" s="13"/>
      <c r="AC812" s="13"/>
    </row>
    <row r="813">
      <c r="A813" s="13"/>
      <c r="B813" s="11">
        <v>46111.0</v>
      </c>
      <c r="C813" s="4" t="s">
        <v>113</v>
      </c>
      <c r="D813" s="4" t="s">
        <v>81</v>
      </c>
      <c r="E813" s="4" t="s">
        <v>299</v>
      </c>
      <c r="F813" s="13" t="s">
        <v>11</v>
      </c>
      <c r="G813" s="13"/>
      <c r="I813" s="13"/>
      <c r="J813" s="13"/>
      <c r="K813" s="13">
        <v>0.0</v>
      </c>
      <c r="L813" s="13">
        <v>0.0</v>
      </c>
      <c r="M813" s="13"/>
      <c r="N813" s="13"/>
      <c r="O813" s="13"/>
      <c r="P813" s="13"/>
      <c r="Q813" s="13"/>
      <c r="R813" s="13"/>
      <c r="S813" s="13"/>
      <c r="T813" s="13"/>
      <c r="U813" s="13"/>
      <c r="V813" s="13"/>
      <c r="W813" s="13"/>
      <c r="X813" s="13"/>
      <c r="Y813" s="13"/>
      <c r="Z813" s="13"/>
      <c r="AA813" s="13"/>
      <c r="AB813" s="13"/>
      <c r="AC813" s="13"/>
    </row>
    <row r="814">
      <c r="A814" s="13"/>
      <c r="B814" s="11">
        <v>46111.0</v>
      </c>
      <c r="C814" s="4" t="s">
        <v>113</v>
      </c>
      <c r="D814" s="4" t="s">
        <v>81</v>
      </c>
      <c r="E814" s="4" t="s">
        <v>299</v>
      </c>
      <c r="F814" s="13" t="s">
        <v>12</v>
      </c>
      <c r="G814" s="13"/>
      <c r="I814" s="13"/>
      <c r="J814" s="13"/>
      <c r="K814" s="13">
        <v>0.0</v>
      </c>
      <c r="L814" s="13">
        <v>0.0</v>
      </c>
      <c r="M814" s="13"/>
      <c r="N814" s="13"/>
      <c r="O814" s="13"/>
      <c r="P814" s="13"/>
      <c r="Q814" s="13"/>
      <c r="R814" s="13"/>
      <c r="S814" s="13"/>
      <c r="T814" s="13"/>
      <c r="U814" s="13"/>
      <c r="V814" s="13"/>
      <c r="W814" s="13"/>
      <c r="X814" s="13"/>
      <c r="Y814" s="13"/>
      <c r="Z814" s="13"/>
      <c r="AA814" s="13"/>
      <c r="AB814" s="13"/>
      <c r="AC814" s="13"/>
    </row>
    <row r="815">
      <c r="A815" s="13"/>
      <c r="B815" s="11">
        <v>46111.0</v>
      </c>
      <c r="C815" s="4" t="s">
        <v>113</v>
      </c>
      <c r="D815" s="4" t="s">
        <v>81</v>
      </c>
      <c r="E815" s="4" t="s">
        <v>299</v>
      </c>
      <c r="F815" s="13" t="s">
        <v>13</v>
      </c>
      <c r="G815" s="13"/>
      <c r="I815" s="13"/>
      <c r="J815" s="13"/>
      <c r="K815" s="13">
        <v>0.0</v>
      </c>
      <c r="L815" s="13">
        <v>0.0</v>
      </c>
      <c r="M815" s="13"/>
      <c r="N815" s="13"/>
      <c r="O815" s="13"/>
      <c r="P815" s="13"/>
      <c r="Q815" s="13"/>
      <c r="R815" s="13"/>
      <c r="S815" s="13"/>
      <c r="T815" s="13"/>
      <c r="U815" s="13"/>
      <c r="V815" s="13"/>
      <c r="W815" s="13"/>
      <c r="X815" s="13"/>
      <c r="Y815" s="13"/>
      <c r="Z815" s="13"/>
      <c r="AA815" s="13"/>
      <c r="AB815" s="13"/>
      <c r="AC815" s="13"/>
    </row>
    <row r="816">
      <c r="A816" s="13"/>
      <c r="B816" s="11">
        <v>46111.0</v>
      </c>
      <c r="C816" s="4" t="s">
        <v>113</v>
      </c>
      <c r="D816" s="4" t="s">
        <v>81</v>
      </c>
      <c r="E816" s="4" t="s">
        <v>299</v>
      </c>
      <c r="F816" s="13" t="s">
        <v>14</v>
      </c>
      <c r="G816" s="13"/>
      <c r="I816" s="13"/>
      <c r="J816" s="13"/>
      <c r="K816" s="13">
        <v>0.0</v>
      </c>
      <c r="L816" s="13">
        <v>0.0</v>
      </c>
      <c r="M816" s="13"/>
      <c r="N816" s="13"/>
      <c r="O816" s="13"/>
      <c r="P816" s="13"/>
      <c r="Q816" s="13"/>
      <c r="R816" s="13"/>
      <c r="S816" s="13"/>
      <c r="T816" s="13"/>
      <c r="U816" s="13"/>
      <c r="V816" s="13"/>
      <c r="W816" s="13"/>
      <c r="X816" s="13"/>
      <c r="Y816" s="13"/>
      <c r="Z816" s="13"/>
      <c r="AA816" s="13"/>
      <c r="AB816" s="13"/>
      <c r="AC816" s="13"/>
    </row>
    <row r="817">
      <c r="A817" s="13"/>
      <c r="B817" s="11">
        <v>46111.0</v>
      </c>
      <c r="C817" s="4" t="s">
        <v>113</v>
      </c>
      <c r="D817" s="4" t="s">
        <v>81</v>
      </c>
      <c r="E817" s="4" t="s">
        <v>299</v>
      </c>
      <c r="F817" s="13" t="s">
        <v>15</v>
      </c>
      <c r="G817" s="13"/>
      <c r="I817" s="13"/>
      <c r="J817" s="13"/>
      <c r="K817" s="13">
        <v>0.0</v>
      </c>
      <c r="L817" s="13">
        <v>0.0</v>
      </c>
      <c r="M817" s="13"/>
      <c r="N817" s="13"/>
      <c r="O817" s="13"/>
      <c r="P817" s="13"/>
      <c r="Q817" s="13"/>
      <c r="R817" s="13"/>
      <c r="S817" s="13"/>
      <c r="T817" s="13"/>
      <c r="U817" s="13"/>
      <c r="V817" s="13"/>
      <c r="W817" s="13"/>
      <c r="X817" s="13"/>
      <c r="Y817" s="13"/>
      <c r="Z817" s="13"/>
      <c r="AA817" s="13"/>
      <c r="AB817" s="13"/>
      <c r="AC817" s="13"/>
    </row>
    <row r="818">
      <c r="A818" s="13"/>
      <c r="B818" s="11">
        <v>46111.0</v>
      </c>
      <c r="C818" s="4" t="s">
        <v>114</v>
      </c>
      <c r="D818" s="4" t="s">
        <v>81</v>
      </c>
      <c r="E818" s="4" t="s">
        <v>299</v>
      </c>
      <c r="F818" s="13" t="s">
        <v>4</v>
      </c>
      <c r="G818" s="13"/>
      <c r="H818" s="13"/>
      <c r="I818" s="13"/>
      <c r="J818" s="13"/>
      <c r="K818" s="13">
        <v>0.0</v>
      </c>
      <c r="L818" s="13">
        <v>0.0</v>
      </c>
      <c r="M818" s="13"/>
      <c r="N818" s="13"/>
      <c r="O818" s="13"/>
      <c r="P818" s="13"/>
      <c r="Q818" s="13"/>
      <c r="R818" s="13"/>
      <c r="S818" s="13"/>
      <c r="T818" s="13"/>
      <c r="U818" s="13"/>
      <c r="V818" s="13"/>
      <c r="W818" s="13"/>
      <c r="X818" s="13"/>
      <c r="Y818" s="13"/>
      <c r="Z818" s="13"/>
      <c r="AA818" s="13"/>
      <c r="AB818" s="13"/>
      <c r="AC818" s="13"/>
    </row>
    <row r="819">
      <c r="A819" s="13"/>
      <c r="B819" s="11">
        <v>46111.0</v>
      </c>
      <c r="C819" s="4" t="s">
        <v>114</v>
      </c>
      <c r="D819" s="4" t="s">
        <v>81</v>
      </c>
      <c r="E819" s="4" t="s">
        <v>299</v>
      </c>
      <c r="F819" s="13" t="s">
        <v>5</v>
      </c>
      <c r="G819" s="13"/>
      <c r="H819" s="13"/>
      <c r="I819" s="13"/>
      <c r="J819" s="13"/>
      <c r="K819" s="13">
        <v>0.0</v>
      </c>
      <c r="L819" s="13">
        <v>0.0</v>
      </c>
      <c r="M819" s="13"/>
      <c r="N819" s="13"/>
      <c r="O819" s="13"/>
      <c r="P819" s="13"/>
      <c r="Q819" s="13"/>
      <c r="R819" s="13"/>
      <c r="S819" s="13"/>
      <c r="T819" s="13"/>
      <c r="U819" s="13"/>
      <c r="V819" s="13"/>
      <c r="W819" s="13"/>
      <c r="X819" s="13"/>
      <c r="Y819" s="13"/>
      <c r="Z819" s="13"/>
      <c r="AA819" s="13"/>
      <c r="AB819" s="13"/>
      <c r="AC819" s="13"/>
    </row>
    <row r="820">
      <c r="A820" s="13"/>
      <c r="B820" s="11">
        <v>46111.0</v>
      </c>
      <c r="C820" s="4" t="s">
        <v>114</v>
      </c>
      <c r="D820" s="4" t="s">
        <v>81</v>
      </c>
      <c r="E820" s="4" t="s">
        <v>299</v>
      </c>
      <c r="F820" s="13" t="s">
        <v>6</v>
      </c>
      <c r="G820" s="13"/>
      <c r="H820" s="13"/>
      <c r="I820" s="13"/>
      <c r="J820" s="13"/>
      <c r="K820" s="13">
        <v>0.0</v>
      </c>
      <c r="L820" s="13">
        <v>0.0</v>
      </c>
      <c r="M820" s="13"/>
      <c r="N820" s="13"/>
      <c r="O820" s="13"/>
      <c r="P820" s="13"/>
      <c r="Q820" s="13"/>
      <c r="R820" s="13"/>
      <c r="S820" s="13"/>
      <c r="T820" s="13"/>
      <c r="U820" s="13"/>
      <c r="V820" s="13"/>
      <c r="W820" s="13"/>
      <c r="X820" s="13"/>
      <c r="Y820" s="13"/>
      <c r="Z820" s="13"/>
      <c r="AA820" s="13"/>
      <c r="AB820" s="13"/>
      <c r="AC820" s="13"/>
    </row>
    <row r="821">
      <c r="A821" s="13"/>
      <c r="B821" s="11">
        <v>46111.0</v>
      </c>
      <c r="C821" s="4" t="s">
        <v>114</v>
      </c>
      <c r="D821" s="4" t="s">
        <v>81</v>
      </c>
      <c r="E821" s="4" t="s">
        <v>299</v>
      </c>
      <c r="F821" s="13" t="s">
        <v>7</v>
      </c>
      <c r="G821" s="13"/>
      <c r="H821" s="13"/>
      <c r="I821" s="13"/>
      <c r="J821" s="13"/>
      <c r="K821" s="13">
        <v>0.0</v>
      </c>
      <c r="L821" s="13">
        <v>0.0</v>
      </c>
      <c r="M821" s="13"/>
      <c r="N821" s="13"/>
      <c r="O821" s="13"/>
      <c r="P821" s="13"/>
      <c r="Q821" s="13"/>
      <c r="R821" s="13"/>
      <c r="S821" s="13"/>
      <c r="T821" s="13"/>
      <c r="U821" s="13"/>
      <c r="V821" s="13"/>
      <c r="W821" s="13"/>
      <c r="X821" s="13"/>
      <c r="Y821" s="13"/>
      <c r="Z821" s="13"/>
      <c r="AA821" s="13"/>
      <c r="AB821" s="13"/>
      <c r="AC821" s="13"/>
    </row>
    <row r="822">
      <c r="A822" s="13"/>
      <c r="B822" s="11">
        <v>46111.0</v>
      </c>
      <c r="C822" s="4" t="s">
        <v>114</v>
      </c>
      <c r="D822" s="4" t="s">
        <v>81</v>
      </c>
      <c r="E822" s="4" t="s">
        <v>299</v>
      </c>
      <c r="F822" s="13" t="s">
        <v>8</v>
      </c>
      <c r="G822" s="13"/>
      <c r="H822" s="13"/>
      <c r="I822" s="13"/>
      <c r="J822" s="13"/>
      <c r="K822" s="13">
        <v>0.0</v>
      </c>
      <c r="L822" s="13">
        <v>0.0</v>
      </c>
      <c r="M822" s="13"/>
      <c r="N822" s="13"/>
      <c r="O822" s="13"/>
      <c r="P822" s="13"/>
      <c r="Q822" s="13"/>
      <c r="R822" s="13"/>
      <c r="S822" s="13"/>
      <c r="T822" s="13"/>
      <c r="U822" s="13"/>
      <c r="V822" s="13"/>
      <c r="W822" s="13"/>
      <c r="X822" s="13"/>
      <c r="Y822" s="13"/>
      <c r="Z822" s="13"/>
      <c r="AA822" s="13"/>
      <c r="AB822" s="13"/>
      <c r="AC822" s="13"/>
    </row>
    <row r="823">
      <c r="A823" s="13"/>
      <c r="B823" s="11">
        <v>46111.0</v>
      </c>
      <c r="C823" s="4" t="s">
        <v>114</v>
      </c>
      <c r="D823" s="4" t="s">
        <v>81</v>
      </c>
      <c r="E823" s="4" t="s">
        <v>299</v>
      </c>
      <c r="F823" s="13" t="s">
        <v>9</v>
      </c>
      <c r="G823" s="13"/>
      <c r="H823" s="13"/>
      <c r="I823" s="13"/>
      <c r="J823" s="13"/>
      <c r="K823" s="13">
        <v>0.0</v>
      </c>
      <c r="L823" s="13">
        <v>0.0</v>
      </c>
      <c r="M823" s="13"/>
      <c r="N823" s="13"/>
      <c r="O823" s="13"/>
      <c r="P823" s="13"/>
      <c r="Q823" s="13"/>
      <c r="R823" s="13"/>
      <c r="S823" s="13"/>
      <c r="T823" s="13"/>
      <c r="U823" s="13"/>
      <c r="V823" s="13"/>
      <c r="W823" s="13"/>
      <c r="X823" s="13"/>
      <c r="Y823" s="13"/>
      <c r="Z823" s="13"/>
      <c r="AA823" s="13"/>
      <c r="AB823" s="13"/>
      <c r="AC823" s="13"/>
    </row>
    <row r="824">
      <c r="A824" s="13"/>
      <c r="B824" s="11">
        <v>46111.0</v>
      </c>
      <c r="C824" s="4" t="s">
        <v>114</v>
      </c>
      <c r="D824" s="4" t="s">
        <v>81</v>
      </c>
      <c r="E824" s="4" t="s">
        <v>299</v>
      </c>
      <c r="F824" s="13" t="s">
        <v>10</v>
      </c>
      <c r="G824" s="13"/>
      <c r="H824" s="13"/>
      <c r="I824" s="13"/>
      <c r="J824" s="13"/>
      <c r="K824" s="13">
        <v>0.0</v>
      </c>
      <c r="L824" s="13">
        <v>0.0</v>
      </c>
      <c r="M824" s="13"/>
      <c r="N824" s="13"/>
      <c r="O824" s="13"/>
      <c r="P824" s="13"/>
      <c r="Q824" s="13"/>
      <c r="R824" s="13"/>
      <c r="S824" s="13"/>
      <c r="T824" s="13"/>
      <c r="U824" s="13"/>
      <c r="V824" s="13"/>
      <c r="W824" s="13"/>
      <c r="X824" s="13"/>
      <c r="Y824" s="13"/>
      <c r="Z824" s="13"/>
      <c r="AA824" s="13"/>
      <c r="AB824" s="13"/>
      <c r="AC824" s="13"/>
    </row>
    <row r="825">
      <c r="A825" s="13"/>
      <c r="B825" s="11">
        <v>46111.0</v>
      </c>
      <c r="C825" s="4" t="s">
        <v>114</v>
      </c>
      <c r="D825" s="4" t="s">
        <v>81</v>
      </c>
      <c r="E825" s="4" t="s">
        <v>299</v>
      </c>
      <c r="F825" s="13" t="s">
        <v>11</v>
      </c>
      <c r="G825" s="13"/>
      <c r="H825" s="13"/>
      <c r="I825" s="13"/>
      <c r="J825" s="13"/>
      <c r="K825" s="13">
        <v>0.0</v>
      </c>
      <c r="L825" s="13">
        <v>0.0</v>
      </c>
      <c r="M825" s="13"/>
      <c r="N825" s="13"/>
      <c r="O825" s="13"/>
      <c r="P825" s="13"/>
      <c r="Q825" s="13"/>
      <c r="R825" s="13"/>
      <c r="S825" s="13"/>
      <c r="T825" s="13"/>
      <c r="U825" s="13"/>
      <c r="V825" s="13"/>
      <c r="W825" s="13"/>
      <c r="X825" s="13"/>
      <c r="Y825" s="13"/>
      <c r="Z825" s="13"/>
      <c r="AA825" s="13"/>
      <c r="AB825" s="13"/>
      <c r="AC825" s="13"/>
    </row>
    <row r="826">
      <c r="A826" s="13"/>
      <c r="B826" s="11">
        <v>46111.0</v>
      </c>
      <c r="C826" s="4" t="s">
        <v>114</v>
      </c>
      <c r="D826" s="4" t="s">
        <v>81</v>
      </c>
      <c r="E826" s="4" t="s">
        <v>299</v>
      </c>
      <c r="F826" s="13" t="s">
        <v>12</v>
      </c>
      <c r="G826" s="13"/>
      <c r="H826" s="13"/>
      <c r="I826" s="13"/>
      <c r="J826" s="13"/>
      <c r="K826" s="13">
        <v>0.0</v>
      </c>
      <c r="L826" s="13">
        <v>0.0</v>
      </c>
      <c r="M826" s="13"/>
      <c r="N826" s="13"/>
      <c r="O826" s="13"/>
      <c r="P826" s="13"/>
      <c r="Q826" s="13"/>
      <c r="R826" s="13"/>
      <c r="S826" s="13"/>
      <c r="T826" s="13"/>
      <c r="U826" s="13"/>
      <c r="V826" s="13"/>
      <c r="W826" s="13"/>
      <c r="X826" s="13"/>
      <c r="Y826" s="13"/>
      <c r="Z826" s="13"/>
      <c r="AA826" s="13"/>
      <c r="AB826" s="13"/>
      <c r="AC826" s="13"/>
    </row>
    <row r="827">
      <c r="A827" s="13"/>
      <c r="B827" s="11">
        <v>46111.0</v>
      </c>
      <c r="C827" s="4" t="s">
        <v>114</v>
      </c>
      <c r="D827" s="4" t="s">
        <v>81</v>
      </c>
      <c r="E827" s="4" t="s">
        <v>299</v>
      </c>
      <c r="F827" s="13" t="s">
        <v>13</v>
      </c>
      <c r="G827" s="13"/>
      <c r="H827" s="13"/>
      <c r="I827" s="13"/>
      <c r="J827" s="13"/>
      <c r="K827" s="13">
        <v>0.0</v>
      </c>
      <c r="L827" s="13">
        <v>0.0</v>
      </c>
      <c r="M827" s="13"/>
      <c r="N827" s="13"/>
      <c r="O827" s="13"/>
      <c r="P827" s="13"/>
      <c r="Q827" s="13"/>
      <c r="R827" s="13"/>
      <c r="S827" s="13"/>
      <c r="T827" s="13"/>
      <c r="U827" s="13"/>
      <c r="V827" s="13"/>
      <c r="W827" s="13"/>
      <c r="X827" s="13"/>
      <c r="Y827" s="13"/>
      <c r="Z827" s="13"/>
      <c r="AA827" s="13"/>
      <c r="AB827" s="13"/>
      <c r="AC827" s="13"/>
    </row>
    <row r="828">
      <c r="A828" s="13"/>
      <c r="B828" s="11">
        <v>46111.0</v>
      </c>
      <c r="C828" s="4" t="s">
        <v>114</v>
      </c>
      <c r="D828" s="4" t="s">
        <v>81</v>
      </c>
      <c r="E828" s="4" t="s">
        <v>299</v>
      </c>
      <c r="F828" s="13" t="s">
        <v>14</v>
      </c>
      <c r="G828" s="13"/>
      <c r="H828" s="13"/>
      <c r="I828" s="13"/>
      <c r="J828" s="13"/>
      <c r="K828" s="13">
        <v>0.0</v>
      </c>
      <c r="L828" s="13">
        <v>0.0</v>
      </c>
      <c r="M828" s="13"/>
      <c r="N828" s="13"/>
      <c r="O828" s="13"/>
      <c r="P828" s="13"/>
      <c r="Q828" s="13"/>
      <c r="R828" s="13"/>
      <c r="S828" s="13"/>
      <c r="T828" s="13"/>
      <c r="U828" s="13"/>
      <c r="V828" s="13"/>
      <c r="W828" s="13"/>
      <c r="X828" s="13"/>
      <c r="Y828" s="13"/>
      <c r="Z828" s="13"/>
      <c r="AA828" s="13"/>
      <c r="AB828" s="13"/>
      <c r="AC828" s="13"/>
    </row>
    <row r="829">
      <c r="A829" s="13"/>
      <c r="B829" s="11">
        <v>46111.0</v>
      </c>
      <c r="C829" s="4" t="s">
        <v>114</v>
      </c>
      <c r="D829" s="4" t="s">
        <v>81</v>
      </c>
      <c r="E829" s="4" t="s">
        <v>299</v>
      </c>
      <c r="F829" s="13" t="s">
        <v>15</v>
      </c>
      <c r="G829" s="13"/>
      <c r="H829" s="13"/>
      <c r="I829" s="13"/>
      <c r="J829" s="13"/>
      <c r="K829" s="13">
        <v>0.0</v>
      </c>
      <c r="L829" s="13">
        <v>0.0</v>
      </c>
      <c r="M829" s="13"/>
      <c r="N829" s="13"/>
      <c r="O829" s="13"/>
      <c r="P829" s="13"/>
      <c r="Q829" s="13"/>
      <c r="R829" s="13"/>
      <c r="S829" s="13"/>
      <c r="T829" s="13"/>
      <c r="U829" s="13"/>
      <c r="V829" s="13"/>
      <c r="W829" s="13"/>
      <c r="X829" s="13"/>
      <c r="Y829" s="13"/>
      <c r="Z829" s="13"/>
      <c r="AA829" s="13"/>
      <c r="AB829" s="13"/>
      <c r="AC829" s="13"/>
    </row>
    <row r="830">
      <c r="A830" s="13"/>
      <c r="B830" s="11">
        <v>46111.0</v>
      </c>
      <c r="C830" s="4" t="s">
        <v>113</v>
      </c>
      <c r="D830" s="4" t="s">
        <v>304</v>
      </c>
      <c r="E830" s="4" t="s">
        <v>299</v>
      </c>
      <c r="F830" s="13" t="s">
        <v>4</v>
      </c>
      <c r="G830" s="13"/>
      <c r="H830" s="13"/>
      <c r="I830" s="13"/>
      <c r="J830" s="13"/>
      <c r="K830" s="13">
        <v>0.0</v>
      </c>
      <c r="L830" s="13">
        <v>0.0</v>
      </c>
      <c r="M830" s="13"/>
      <c r="N830" s="13"/>
      <c r="O830" s="13"/>
      <c r="P830" s="13"/>
      <c r="Q830" s="13"/>
      <c r="R830" s="13"/>
      <c r="S830" s="13"/>
      <c r="T830" s="13"/>
      <c r="U830" s="13"/>
      <c r="V830" s="13"/>
      <c r="W830" s="13"/>
      <c r="X830" s="13"/>
      <c r="Y830" s="13"/>
      <c r="Z830" s="13"/>
      <c r="AA830" s="13"/>
      <c r="AB830" s="13"/>
      <c r="AC830" s="13"/>
    </row>
    <row r="831">
      <c r="A831" s="13"/>
      <c r="B831" s="11">
        <v>46111.0</v>
      </c>
      <c r="C831" s="4" t="s">
        <v>113</v>
      </c>
      <c r="D831" s="4" t="s">
        <v>304</v>
      </c>
      <c r="E831" s="4" t="s">
        <v>299</v>
      </c>
      <c r="F831" s="13" t="s">
        <v>5</v>
      </c>
      <c r="G831" s="13"/>
      <c r="H831" s="13"/>
      <c r="I831" s="13"/>
      <c r="J831" s="13"/>
      <c r="K831" s="13">
        <v>0.0</v>
      </c>
      <c r="L831" s="13">
        <v>0.0</v>
      </c>
      <c r="M831" s="13"/>
      <c r="N831" s="13"/>
      <c r="O831" s="13"/>
      <c r="P831" s="13"/>
      <c r="Q831" s="13"/>
      <c r="R831" s="13"/>
      <c r="S831" s="13"/>
      <c r="T831" s="13"/>
      <c r="U831" s="13"/>
      <c r="V831" s="13"/>
      <c r="W831" s="13"/>
      <c r="X831" s="13"/>
      <c r="Y831" s="13"/>
      <c r="Z831" s="13"/>
      <c r="AA831" s="13"/>
      <c r="AB831" s="13"/>
      <c r="AC831" s="13"/>
    </row>
    <row r="832">
      <c r="A832" s="13"/>
      <c r="B832" s="11">
        <v>46111.0</v>
      </c>
      <c r="C832" s="4" t="s">
        <v>113</v>
      </c>
      <c r="D832" s="4" t="s">
        <v>304</v>
      </c>
      <c r="E832" s="4" t="s">
        <v>299</v>
      </c>
      <c r="F832" s="13" t="s">
        <v>6</v>
      </c>
      <c r="G832" s="13"/>
      <c r="H832" s="13"/>
      <c r="I832" s="13"/>
      <c r="J832" s="13"/>
      <c r="K832" s="13">
        <v>0.0</v>
      </c>
      <c r="L832" s="13">
        <v>0.0</v>
      </c>
      <c r="M832" s="13"/>
      <c r="N832" s="13"/>
      <c r="O832" s="13"/>
      <c r="P832" s="13"/>
      <c r="Q832" s="13"/>
      <c r="R832" s="13"/>
      <c r="S832" s="13"/>
      <c r="T832" s="13"/>
      <c r="U832" s="13"/>
      <c r="V832" s="13"/>
      <c r="W832" s="13"/>
      <c r="X832" s="13"/>
      <c r="Y832" s="13"/>
      <c r="Z832" s="13"/>
      <c r="AA832" s="13"/>
      <c r="AB832" s="13"/>
      <c r="AC832" s="13"/>
    </row>
    <row r="833">
      <c r="A833" s="13"/>
      <c r="B833" s="11">
        <v>46111.0</v>
      </c>
      <c r="C833" s="4" t="s">
        <v>113</v>
      </c>
      <c r="D833" s="4" t="s">
        <v>304</v>
      </c>
      <c r="E833" s="4" t="s">
        <v>299</v>
      </c>
      <c r="F833" s="13" t="s">
        <v>7</v>
      </c>
      <c r="G833" s="13"/>
      <c r="H833" s="13"/>
      <c r="I833" s="13"/>
      <c r="J833" s="13"/>
      <c r="K833" s="13">
        <v>0.0</v>
      </c>
      <c r="L833" s="13">
        <v>0.0</v>
      </c>
      <c r="M833" s="13"/>
      <c r="N833" s="13"/>
      <c r="O833" s="13"/>
      <c r="P833" s="13"/>
      <c r="Q833" s="13"/>
      <c r="R833" s="13"/>
      <c r="S833" s="13"/>
      <c r="T833" s="13"/>
      <c r="U833" s="13"/>
      <c r="V833" s="13"/>
      <c r="W833" s="13"/>
      <c r="X833" s="13"/>
      <c r="Y833" s="13"/>
      <c r="Z833" s="13"/>
      <c r="AA833" s="13"/>
      <c r="AB833" s="13"/>
      <c r="AC833" s="13"/>
    </row>
    <row r="834">
      <c r="A834" s="13"/>
      <c r="B834" s="11">
        <v>46111.0</v>
      </c>
      <c r="C834" s="4" t="s">
        <v>113</v>
      </c>
      <c r="D834" s="4" t="s">
        <v>304</v>
      </c>
      <c r="E834" s="4" t="s">
        <v>299</v>
      </c>
      <c r="F834" s="13" t="s">
        <v>8</v>
      </c>
      <c r="G834" s="13"/>
      <c r="H834" s="13"/>
      <c r="I834" s="13"/>
      <c r="J834" s="13"/>
      <c r="K834" s="13">
        <v>0.0</v>
      </c>
      <c r="L834" s="13">
        <v>0.0</v>
      </c>
      <c r="M834" s="13"/>
      <c r="N834" s="13"/>
      <c r="O834" s="13"/>
      <c r="P834" s="13"/>
      <c r="Q834" s="13"/>
      <c r="R834" s="13"/>
      <c r="S834" s="13"/>
      <c r="T834" s="13"/>
      <c r="U834" s="13"/>
      <c r="V834" s="13"/>
      <c r="W834" s="13"/>
      <c r="X834" s="13"/>
      <c r="Y834" s="13"/>
      <c r="Z834" s="13"/>
      <c r="AA834" s="13"/>
      <c r="AB834" s="13"/>
      <c r="AC834" s="13"/>
    </row>
    <row r="835">
      <c r="A835" s="13"/>
      <c r="B835" s="11">
        <v>46111.0</v>
      </c>
      <c r="C835" s="4" t="s">
        <v>113</v>
      </c>
      <c r="D835" s="4" t="s">
        <v>304</v>
      </c>
      <c r="E835" s="4" t="s">
        <v>299</v>
      </c>
      <c r="F835" s="13" t="s">
        <v>9</v>
      </c>
      <c r="G835" s="13"/>
      <c r="H835" s="13"/>
      <c r="I835" s="13"/>
      <c r="J835" s="13"/>
      <c r="K835" s="13">
        <v>0.0</v>
      </c>
      <c r="L835" s="13">
        <v>0.0</v>
      </c>
      <c r="M835" s="13"/>
      <c r="N835" s="13"/>
      <c r="O835" s="13"/>
      <c r="P835" s="13"/>
      <c r="Q835" s="13"/>
      <c r="R835" s="13"/>
      <c r="S835" s="13"/>
      <c r="T835" s="13"/>
      <c r="U835" s="13"/>
      <c r="V835" s="13"/>
      <c r="W835" s="13"/>
      <c r="X835" s="13"/>
      <c r="Y835" s="13"/>
      <c r="Z835" s="13"/>
      <c r="AA835" s="13"/>
      <c r="AB835" s="13"/>
      <c r="AC835" s="13"/>
    </row>
    <row r="836">
      <c r="A836" s="13"/>
      <c r="B836" s="11">
        <v>46111.0</v>
      </c>
      <c r="C836" s="4" t="s">
        <v>113</v>
      </c>
      <c r="D836" s="4" t="s">
        <v>304</v>
      </c>
      <c r="E836" s="4" t="s">
        <v>299</v>
      </c>
      <c r="F836" s="13" t="s">
        <v>10</v>
      </c>
      <c r="G836" s="13"/>
      <c r="H836" s="13"/>
      <c r="I836" s="13"/>
      <c r="J836" s="13"/>
      <c r="K836" s="13">
        <v>0.0</v>
      </c>
      <c r="L836" s="13">
        <v>0.0</v>
      </c>
      <c r="M836" s="13"/>
      <c r="N836" s="13"/>
      <c r="O836" s="13"/>
      <c r="P836" s="13"/>
      <c r="Q836" s="13"/>
      <c r="R836" s="13"/>
      <c r="S836" s="13"/>
      <c r="T836" s="13"/>
      <c r="U836" s="13"/>
      <c r="V836" s="13"/>
      <c r="W836" s="13"/>
      <c r="X836" s="13"/>
      <c r="Y836" s="13"/>
      <c r="Z836" s="13"/>
      <c r="AA836" s="13"/>
      <c r="AB836" s="13"/>
      <c r="AC836" s="13"/>
    </row>
    <row r="837">
      <c r="A837" s="13"/>
      <c r="B837" s="11">
        <v>46111.0</v>
      </c>
      <c r="C837" s="4" t="s">
        <v>113</v>
      </c>
      <c r="D837" s="4" t="s">
        <v>304</v>
      </c>
      <c r="E837" s="4" t="s">
        <v>299</v>
      </c>
      <c r="F837" s="13" t="s">
        <v>11</v>
      </c>
      <c r="G837" s="13"/>
      <c r="H837" s="13"/>
      <c r="I837" s="13"/>
      <c r="J837" s="13"/>
      <c r="K837" s="13">
        <v>0.0</v>
      </c>
      <c r="L837" s="13">
        <v>0.0</v>
      </c>
      <c r="M837" s="13"/>
      <c r="N837" s="13"/>
      <c r="O837" s="13"/>
      <c r="P837" s="13"/>
      <c r="Q837" s="13"/>
      <c r="R837" s="13"/>
      <c r="S837" s="13"/>
      <c r="T837" s="13"/>
      <c r="U837" s="13"/>
      <c r="V837" s="13"/>
      <c r="W837" s="13"/>
      <c r="X837" s="13"/>
      <c r="Y837" s="13"/>
      <c r="Z837" s="13"/>
      <c r="AA837" s="13"/>
      <c r="AB837" s="13"/>
      <c r="AC837" s="13"/>
    </row>
    <row r="838">
      <c r="A838" s="13"/>
      <c r="B838" s="11">
        <v>46111.0</v>
      </c>
      <c r="C838" s="4" t="s">
        <v>113</v>
      </c>
      <c r="D838" s="4" t="s">
        <v>304</v>
      </c>
      <c r="E838" s="4" t="s">
        <v>299</v>
      </c>
      <c r="F838" s="13" t="s">
        <v>12</v>
      </c>
      <c r="G838" s="13"/>
      <c r="H838" s="13"/>
      <c r="I838" s="13"/>
      <c r="J838" s="13"/>
      <c r="K838" s="13">
        <v>0.0</v>
      </c>
      <c r="L838" s="13">
        <v>0.0</v>
      </c>
      <c r="M838" s="13"/>
      <c r="N838" s="13"/>
      <c r="O838" s="13"/>
      <c r="P838" s="13"/>
      <c r="Q838" s="13"/>
      <c r="R838" s="13"/>
      <c r="S838" s="13"/>
      <c r="T838" s="13"/>
      <c r="U838" s="13"/>
      <c r="V838" s="13"/>
      <c r="W838" s="13"/>
      <c r="X838" s="13"/>
      <c r="Y838" s="13"/>
      <c r="Z838" s="13"/>
      <c r="AA838" s="13"/>
      <c r="AB838" s="13"/>
      <c r="AC838" s="13"/>
    </row>
    <row r="839">
      <c r="A839" s="13"/>
      <c r="B839" s="11">
        <v>46111.0</v>
      </c>
      <c r="C839" s="4" t="s">
        <v>113</v>
      </c>
      <c r="D839" s="4" t="s">
        <v>304</v>
      </c>
      <c r="E839" s="4" t="s">
        <v>299</v>
      </c>
      <c r="F839" s="13" t="s">
        <v>13</v>
      </c>
      <c r="G839" s="13"/>
      <c r="H839" s="13"/>
      <c r="I839" s="13"/>
      <c r="J839" s="13"/>
      <c r="K839" s="13">
        <v>0.0</v>
      </c>
      <c r="L839" s="13">
        <v>0.0</v>
      </c>
      <c r="M839" s="13"/>
      <c r="N839" s="13"/>
      <c r="O839" s="13"/>
      <c r="P839" s="13"/>
      <c r="Q839" s="13"/>
      <c r="R839" s="13"/>
      <c r="S839" s="13"/>
      <c r="T839" s="13"/>
      <c r="U839" s="13"/>
      <c r="V839" s="13"/>
      <c r="W839" s="13"/>
      <c r="X839" s="13"/>
      <c r="Y839" s="13"/>
      <c r="Z839" s="13"/>
      <c r="AA839" s="13"/>
      <c r="AB839" s="13"/>
      <c r="AC839" s="13"/>
    </row>
    <row r="840">
      <c r="A840" s="13"/>
      <c r="B840" s="11">
        <v>46111.0</v>
      </c>
      <c r="C840" s="4" t="s">
        <v>113</v>
      </c>
      <c r="D840" s="4" t="s">
        <v>304</v>
      </c>
      <c r="E840" s="4" t="s">
        <v>299</v>
      </c>
      <c r="F840" s="13" t="s">
        <v>14</v>
      </c>
      <c r="G840" s="13"/>
      <c r="H840" s="13"/>
      <c r="I840" s="13"/>
      <c r="J840" s="13"/>
      <c r="K840" s="13">
        <v>0.0</v>
      </c>
      <c r="L840" s="13">
        <v>0.0</v>
      </c>
      <c r="M840" s="13"/>
      <c r="N840" s="13"/>
      <c r="O840" s="13"/>
      <c r="P840" s="13"/>
      <c r="Q840" s="13"/>
      <c r="R840" s="13"/>
      <c r="S840" s="13"/>
      <c r="T840" s="13"/>
      <c r="U840" s="13"/>
      <c r="V840" s="13"/>
      <c r="W840" s="13"/>
      <c r="X840" s="13"/>
      <c r="Y840" s="13"/>
      <c r="Z840" s="13"/>
      <c r="AA840" s="13"/>
      <c r="AB840" s="13"/>
      <c r="AC840" s="13"/>
    </row>
    <row r="841">
      <c r="A841" s="13"/>
      <c r="B841" s="11">
        <v>46111.0</v>
      </c>
      <c r="C841" s="4" t="s">
        <v>113</v>
      </c>
      <c r="D841" s="4" t="s">
        <v>304</v>
      </c>
      <c r="E841" s="4" t="s">
        <v>299</v>
      </c>
      <c r="F841" s="13" t="s">
        <v>15</v>
      </c>
      <c r="G841" s="13"/>
      <c r="H841" s="13"/>
      <c r="I841" s="13"/>
      <c r="J841" s="13"/>
      <c r="K841" s="13">
        <v>0.0</v>
      </c>
      <c r="L841" s="13">
        <v>0.0</v>
      </c>
      <c r="M841" s="13"/>
      <c r="N841" s="13"/>
      <c r="O841" s="13"/>
      <c r="P841" s="13"/>
      <c r="Q841" s="13"/>
      <c r="R841" s="13"/>
      <c r="S841" s="13"/>
      <c r="T841" s="13"/>
      <c r="U841" s="13"/>
      <c r="V841" s="13"/>
      <c r="W841" s="13"/>
      <c r="X841" s="13"/>
      <c r="Y841" s="13"/>
      <c r="Z841" s="13"/>
      <c r="AA841" s="13"/>
      <c r="AB841" s="13"/>
      <c r="AC841" s="13"/>
    </row>
    <row r="842">
      <c r="B842" s="11">
        <v>46111.0</v>
      </c>
      <c r="C842" s="4" t="s">
        <v>114</v>
      </c>
      <c r="D842" s="4" t="s">
        <v>304</v>
      </c>
      <c r="E842" s="4" t="s">
        <v>86</v>
      </c>
      <c r="F842" s="13" t="s">
        <v>4</v>
      </c>
      <c r="H842" s="4">
        <v>4.0</v>
      </c>
      <c r="I842" s="4">
        <v>2.0</v>
      </c>
      <c r="K842" s="13">
        <v>2.0</v>
      </c>
      <c r="L842" s="13">
        <v>40000.0</v>
      </c>
    </row>
    <row r="843">
      <c r="B843" s="11">
        <v>46111.0</v>
      </c>
      <c r="C843" s="4" t="s">
        <v>114</v>
      </c>
      <c r="D843" s="4" t="s">
        <v>304</v>
      </c>
      <c r="E843" s="4" t="s">
        <v>86</v>
      </c>
      <c r="F843" s="13" t="s">
        <v>5</v>
      </c>
      <c r="K843" s="13">
        <v>0.0</v>
      </c>
      <c r="L843" s="13">
        <v>0.0</v>
      </c>
    </row>
    <row r="844">
      <c r="B844" s="11">
        <v>46111.0</v>
      </c>
      <c r="C844" s="4" t="s">
        <v>114</v>
      </c>
      <c r="D844" s="4" t="s">
        <v>304</v>
      </c>
      <c r="E844" s="4" t="s">
        <v>86</v>
      </c>
      <c r="F844" s="13" t="s">
        <v>6</v>
      </c>
      <c r="H844" s="4">
        <v>1.0</v>
      </c>
      <c r="K844" s="13">
        <v>1.0</v>
      </c>
      <c r="L844" s="13">
        <v>20000.0</v>
      </c>
    </row>
    <row r="845">
      <c r="B845" s="11">
        <v>46111.0</v>
      </c>
      <c r="C845" s="4" t="s">
        <v>114</v>
      </c>
      <c r="D845" s="4" t="s">
        <v>304</v>
      </c>
      <c r="E845" s="4" t="s">
        <v>86</v>
      </c>
      <c r="F845" s="13" t="s">
        <v>7</v>
      </c>
      <c r="H845" s="4">
        <v>2.0</v>
      </c>
      <c r="I845" s="4">
        <v>1.0</v>
      </c>
      <c r="K845" s="13">
        <v>1.0</v>
      </c>
      <c r="L845" s="13">
        <v>20000.0</v>
      </c>
    </row>
    <row r="846">
      <c r="B846" s="11">
        <v>46111.0</v>
      </c>
      <c r="C846" s="4" t="s">
        <v>114</v>
      </c>
      <c r="D846" s="4" t="s">
        <v>304</v>
      </c>
      <c r="E846" s="4" t="s">
        <v>86</v>
      </c>
      <c r="F846" s="13" t="s">
        <v>8</v>
      </c>
      <c r="H846" s="4">
        <v>3.0</v>
      </c>
      <c r="K846" s="13">
        <v>3.0</v>
      </c>
      <c r="L846" s="13">
        <v>60000.0</v>
      </c>
    </row>
    <row r="847">
      <c r="B847" s="11">
        <v>46111.0</v>
      </c>
      <c r="C847" s="4" t="s">
        <v>114</v>
      </c>
      <c r="D847" s="4" t="s">
        <v>304</v>
      </c>
      <c r="E847" s="4" t="s">
        <v>86</v>
      </c>
      <c r="F847" s="13" t="s">
        <v>9</v>
      </c>
      <c r="H847" s="4">
        <v>3.0</v>
      </c>
      <c r="I847" s="4">
        <v>2.0</v>
      </c>
      <c r="K847" s="13">
        <v>1.0</v>
      </c>
      <c r="L847" s="13">
        <v>20000.0</v>
      </c>
    </row>
    <row r="848">
      <c r="B848" s="11">
        <v>46111.0</v>
      </c>
      <c r="C848" s="4" t="s">
        <v>114</v>
      </c>
      <c r="D848" s="4" t="s">
        <v>304</v>
      </c>
      <c r="E848" s="4" t="s">
        <v>86</v>
      </c>
      <c r="F848" s="13" t="s">
        <v>10</v>
      </c>
      <c r="H848" s="4">
        <v>2.0</v>
      </c>
      <c r="K848" s="13">
        <v>2.0</v>
      </c>
      <c r="L848" s="13">
        <v>40000.0</v>
      </c>
    </row>
    <row r="849">
      <c r="B849" s="11">
        <v>46111.0</v>
      </c>
      <c r="C849" s="4" t="s">
        <v>114</v>
      </c>
      <c r="D849" s="4" t="s">
        <v>304</v>
      </c>
      <c r="E849" s="4" t="s">
        <v>86</v>
      </c>
      <c r="F849" s="13" t="s">
        <v>11</v>
      </c>
      <c r="K849" s="13">
        <v>0.0</v>
      </c>
      <c r="L849" s="13">
        <v>0.0</v>
      </c>
    </row>
    <row r="850">
      <c r="B850" s="11">
        <v>46111.0</v>
      </c>
      <c r="C850" s="4" t="s">
        <v>114</v>
      </c>
      <c r="D850" s="4" t="s">
        <v>304</v>
      </c>
      <c r="E850" s="4" t="s">
        <v>86</v>
      </c>
      <c r="F850" s="13" t="s">
        <v>12</v>
      </c>
      <c r="H850" s="4">
        <v>2.0</v>
      </c>
      <c r="I850" s="4">
        <v>2.0</v>
      </c>
      <c r="K850" s="13">
        <v>0.0</v>
      </c>
      <c r="L850" s="13">
        <v>0.0</v>
      </c>
    </row>
    <row r="851">
      <c r="B851" s="11">
        <v>46111.0</v>
      </c>
      <c r="C851" s="4" t="s">
        <v>114</v>
      </c>
      <c r="D851" s="4" t="s">
        <v>304</v>
      </c>
      <c r="E851" s="4" t="s">
        <v>86</v>
      </c>
      <c r="F851" s="13" t="s">
        <v>13</v>
      </c>
      <c r="H851" s="4">
        <v>3.0</v>
      </c>
      <c r="I851" s="4">
        <v>2.0</v>
      </c>
      <c r="K851" s="13">
        <v>1.0</v>
      </c>
      <c r="L851" s="13">
        <v>20000.0</v>
      </c>
    </row>
    <row r="852">
      <c r="B852" s="11">
        <v>46111.0</v>
      </c>
      <c r="C852" s="4" t="s">
        <v>114</v>
      </c>
      <c r="D852" s="4" t="s">
        <v>304</v>
      </c>
      <c r="E852" s="4" t="s">
        <v>86</v>
      </c>
      <c r="F852" s="13" t="s">
        <v>14</v>
      </c>
      <c r="K852" s="13">
        <v>0.0</v>
      </c>
      <c r="L852" s="13">
        <v>0.0</v>
      </c>
    </row>
    <row r="853">
      <c r="B853" s="11">
        <v>46111.0</v>
      </c>
      <c r="C853" s="4" t="s">
        <v>114</v>
      </c>
      <c r="D853" s="4" t="s">
        <v>304</v>
      </c>
      <c r="E853" s="4" t="s">
        <v>86</v>
      </c>
      <c r="F853" s="13" t="s">
        <v>15</v>
      </c>
      <c r="H853" s="4">
        <v>20.0</v>
      </c>
      <c r="I853" s="4">
        <v>7.0</v>
      </c>
      <c r="K853" s="13">
        <v>13.0</v>
      </c>
      <c r="L853" s="13">
        <v>260000.0</v>
      </c>
    </row>
    <row r="854">
      <c r="B854" s="94">
        <f>B853+1</f>
        <v>46112</v>
      </c>
      <c r="C854" s="4" t="s">
        <v>113</v>
      </c>
      <c r="D854" s="4" t="s">
        <v>304</v>
      </c>
      <c r="E854" s="4" t="s">
        <v>71</v>
      </c>
      <c r="F854" s="13" t="s">
        <v>4</v>
      </c>
      <c r="G854" s="13">
        <f t="shared" ref="G854:G865" si="16">I842</f>
        <v>2</v>
      </c>
      <c r="H854" s="4">
        <v>3.0</v>
      </c>
      <c r="K854" s="13">
        <v>5.0</v>
      </c>
      <c r="L854" s="13">
        <v>100000.0</v>
      </c>
      <c r="N854" s="13">
        <f>sum(G854:G865)+sum(H854:H865)</f>
        <v>62</v>
      </c>
      <c r="O854" s="13">
        <f t="shared" ref="O854:O865" si="17">G854+H854</f>
        <v>5</v>
      </c>
    </row>
    <row r="855">
      <c r="B855" s="94">
        <v>46112.0</v>
      </c>
      <c r="C855" s="4" t="s">
        <v>113</v>
      </c>
      <c r="D855" s="4" t="s">
        <v>304</v>
      </c>
      <c r="E855" s="4" t="s">
        <v>71</v>
      </c>
      <c r="F855" s="13" t="s">
        <v>5</v>
      </c>
      <c r="G855" s="13" t="str">
        <f t="shared" si="16"/>
        <v/>
      </c>
      <c r="H855" s="4">
        <v>4.0</v>
      </c>
      <c r="K855" s="13">
        <v>4.0</v>
      </c>
      <c r="L855" s="13">
        <v>80000.0</v>
      </c>
      <c r="O855" s="13">
        <f t="shared" si="17"/>
        <v>4</v>
      </c>
    </row>
    <row r="856">
      <c r="B856" s="94">
        <v>46112.0</v>
      </c>
      <c r="C856" s="4" t="s">
        <v>113</v>
      </c>
      <c r="D856" s="4" t="s">
        <v>304</v>
      </c>
      <c r="E856" s="4" t="s">
        <v>71</v>
      </c>
      <c r="F856" s="13" t="s">
        <v>6</v>
      </c>
      <c r="G856" s="13" t="str">
        <f t="shared" si="16"/>
        <v/>
      </c>
      <c r="H856" s="4">
        <v>2.0</v>
      </c>
      <c r="K856" s="13">
        <v>2.0</v>
      </c>
      <c r="L856" s="13">
        <v>40000.0</v>
      </c>
      <c r="O856" s="13">
        <f t="shared" si="17"/>
        <v>2</v>
      </c>
    </row>
    <row r="857">
      <c r="B857" s="94">
        <v>46112.0</v>
      </c>
      <c r="C857" s="4" t="s">
        <v>113</v>
      </c>
      <c r="D857" s="4" t="s">
        <v>304</v>
      </c>
      <c r="E857" s="4" t="s">
        <v>71</v>
      </c>
      <c r="F857" s="13" t="s">
        <v>7</v>
      </c>
      <c r="G857" s="13">
        <f t="shared" si="16"/>
        <v>1</v>
      </c>
      <c r="K857" s="13">
        <v>1.0</v>
      </c>
      <c r="L857" s="13">
        <v>20000.0</v>
      </c>
      <c r="O857" s="13">
        <f t="shared" si="17"/>
        <v>1</v>
      </c>
    </row>
    <row r="858">
      <c r="B858" s="94">
        <v>46112.0</v>
      </c>
      <c r="C858" s="4" t="s">
        <v>113</v>
      </c>
      <c r="D858" s="4" t="s">
        <v>304</v>
      </c>
      <c r="E858" s="4" t="s">
        <v>71</v>
      </c>
      <c r="F858" s="13" t="s">
        <v>8</v>
      </c>
      <c r="G858" s="13" t="str">
        <f t="shared" si="16"/>
        <v/>
      </c>
      <c r="H858" s="4">
        <v>4.0</v>
      </c>
      <c r="K858" s="13">
        <v>4.0</v>
      </c>
      <c r="L858" s="13">
        <v>80000.0</v>
      </c>
      <c r="O858" s="13">
        <f t="shared" si="17"/>
        <v>4</v>
      </c>
    </row>
    <row r="859">
      <c r="B859" s="94">
        <v>46112.0</v>
      </c>
      <c r="C859" s="4" t="s">
        <v>113</v>
      </c>
      <c r="D859" s="4" t="s">
        <v>304</v>
      </c>
      <c r="E859" s="4" t="s">
        <v>71</v>
      </c>
      <c r="F859" s="13" t="s">
        <v>9</v>
      </c>
      <c r="G859" s="13">
        <f t="shared" si="16"/>
        <v>2</v>
      </c>
      <c r="H859" s="4">
        <v>2.0</v>
      </c>
      <c r="K859" s="13">
        <v>4.0</v>
      </c>
      <c r="L859" s="13">
        <v>80000.0</v>
      </c>
      <c r="O859" s="13">
        <f t="shared" si="17"/>
        <v>4</v>
      </c>
    </row>
    <row r="860">
      <c r="B860" s="94">
        <v>46112.0</v>
      </c>
      <c r="C860" s="4" t="s">
        <v>113</v>
      </c>
      <c r="D860" s="4" t="s">
        <v>304</v>
      </c>
      <c r="E860" s="4" t="s">
        <v>71</v>
      </c>
      <c r="F860" s="13" t="s">
        <v>10</v>
      </c>
      <c r="G860" s="13" t="str">
        <f t="shared" si="16"/>
        <v/>
      </c>
      <c r="H860" s="4">
        <v>2.0</v>
      </c>
      <c r="K860" s="13">
        <v>2.0</v>
      </c>
      <c r="L860" s="13">
        <v>40000.0</v>
      </c>
      <c r="O860" s="13">
        <f t="shared" si="17"/>
        <v>2</v>
      </c>
    </row>
    <row r="861">
      <c r="B861" s="94">
        <v>46112.0</v>
      </c>
      <c r="C861" s="4" t="s">
        <v>113</v>
      </c>
      <c r="D861" s="4" t="s">
        <v>304</v>
      </c>
      <c r="E861" s="4" t="s">
        <v>71</v>
      </c>
      <c r="F861" s="13" t="s">
        <v>11</v>
      </c>
      <c r="G861" s="13" t="str">
        <f t="shared" si="16"/>
        <v/>
      </c>
      <c r="K861" s="13">
        <v>0.0</v>
      </c>
      <c r="L861" s="13">
        <v>0.0</v>
      </c>
      <c r="O861" s="13">
        <f t="shared" si="17"/>
        <v>0</v>
      </c>
    </row>
    <row r="862">
      <c r="B862" s="94">
        <v>46112.0</v>
      </c>
      <c r="C862" s="4" t="s">
        <v>113</v>
      </c>
      <c r="D862" s="4" t="s">
        <v>304</v>
      </c>
      <c r="E862" s="4" t="s">
        <v>71</v>
      </c>
      <c r="F862" s="13" t="s">
        <v>12</v>
      </c>
      <c r="G862" s="13">
        <f t="shared" si="16"/>
        <v>2</v>
      </c>
      <c r="H862" s="4">
        <v>2.0</v>
      </c>
      <c r="K862" s="13">
        <v>4.0</v>
      </c>
      <c r="L862" s="13">
        <v>80000.0</v>
      </c>
      <c r="O862" s="13">
        <f t="shared" si="17"/>
        <v>4</v>
      </c>
    </row>
    <row r="863">
      <c r="B863" s="94">
        <v>46112.0</v>
      </c>
      <c r="C863" s="4" t="s">
        <v>113</v>
      </c>
      <c r="D863" s="4" t="s">
        <v>304</v>
      </c>
      <c r="E863" s="4" t="s">
        <v>71</v>
      </c>
      <c r="F863" s="13" t="s">
        <v>13</v>
      </c>
      <c r="G863" s="13">
        <f t="shared" si="16"/>
        <v>2</v>
      </c>
      <c r="H863" s="4">
        <v>2.0</v>
      </c>
      <c r="K863" s="13">
        <v>4.0</v>
      </c>
      <c r="L863" s="13">
        <v>80000.0</v>
      </c>
      <c r="O863" s="13">
        <f t="shared" si="17"/>
        <v>4</v>
      </c>
    </row>
    <row r="864">
      <c r="B864" s="94">
        <v>46112.0</v>
      </c>
      <c r="C864" s="4" t="s">
        <v>113</v>
      </c>
      <c r="D864" s="4" t="s">
        <v>304</v>
      </c>
      <c r="E864" s="4" t="s">
        <v>71</v>
      </c>
      <c r="F864" s="13" t="s">
        <v>14</v>
      </c>
      <c r="G864" s="13" t="str">
        <f t="shared" si="16"/>
        <v/>
      </c>
      <c r="H864" s="4">
        <v>2.0</v>
      </c>
      <c r="K864" s="13">
        <v>2.0</v>
      </c>
      <c r="L864" s="13">
        <v>44000.0</v>
      </c>
      <c r="O864" s="13">
        <f t="shared" si="17"/>
        <v>2</v>
      </c>
    </row>
    <row r="865">
      <c r="B865" s="94">
        <v>46112.0</v>
      </c>
      <c r="C865" s="4" t="s">
        <v>113</v>
      </c>
      <c r="D865" s="4" t="s">
        <v>304</v>
      </c>
      <c r="E865" s="4" t="s">
        <v>71</v>
      </c>
      <c r="F865" s="13" t="s">
        <v>15</v>
      </c>
      <c r="G865" s="13">
        <f t="shared" si="16"/>
        <v>7</v>
      </c>
      <c r="H865" s="4">
        <v>23.0</v>
      </c>
      <c r="K865" s="13">
        <v>30.0</v>
      </c>
      <c r="L865" s="13">
        <v>600000.0</v>
      </c>
      <c r="O865" s="13">
        <f t="shared" si="17"/>
        <v>30</v>
      </c>
    </row>
    <row r="866">
      <c r="B866" s="94">
        <v>46112.0</v>
      </c>
      <c r="C866" s="4" t="s">
        <v>114</v>
      </c>
      <c r="D866" s="4" t="s">
        <v>304</v>
      </c>
      <c r="E866" s="4" t="s">
        <v>303</v>
      </c>
      <c r="F866" s="13" t="s">
        <v>4</v>
      </c>
      <c r="K866" s="13">
        <v>0.0</v>
      </c>
      <c r="L866" s="13">
        <v>0.0</v>
      </c>
    </row>
    <row r="867">
      <c r="B867" s="94">
        <v>46112.0</v>
      </c>
      <c r="C867" s="4" t="s">
        <v>114</v>
      </c>
      <c r="D867" s="4" t="s">
        <v>304</v>
      </c>
      <c r="E867" s="4" t="s">
        <v>303</v>
      </c>
      <c r="F867" s="13" t="s">
        <v>5</v>
      </c>
      <c r="K867" s="13">
        <v>0.0</v>
      </c>
      <c r="L867" s="13">
        <v>0.0</v>
      </c>
    </row>
    <row r="868">
      <c r="B868" s="94">
        <v>46112.0</v>
      </c>
      <c r="C868" s="4" t="s">
        <v>114</v>
      </c>
      <c r="D868" s="4" t="s">
        <v>304</v>
      </c>
      <c r="E868" s="4" t="s">
        <v>303</v>
      </c>
      <c r="F868" s="13" t="s">
        <v>6</v>
      </c>
      <c r="K868" s="13">
        <v>0.0</v>
      </c>
      <c r="L868" s="13">
        <v>0.0</v>
      </c>
    </row>
    <row r="869">
      <c r="B869" s="94">
        <v>46112.0</v>
      </c>
      <c r="C869" s="4" t="s">
        <v>114</v>
      </c>
      <c r="D869" s="4" t="s">
        <v>304</v>
      </c>
      <c r="E869" s="4" t="s">
        <v>303</v>
      </c>
      <c r="F869" s="13" t="s">
        <v>7</v>
      </c>
      <c r="K869" s="13">
        <v>0.0</v>
      </c>
      <c r="L869" s="13">
        <v>0.0</v>
      </c>
    </row>
    <row r="870">
      <c r="B870" s="94">
        <v>46112.0</v>
      </c>
      <c r="C870" s="4" t="s">
        <v>114</v>
      </c>
      <c r="D870" s="4" t="s">
        <v>304</v>
      </c>
      <c r="E870" s="4" t="s">
        <v>303</v>
      </c>
      <c r="F870" s="13" t="s">
        <v>8</v>
      </c>
      <c r="K870" s="13">
        <v>0.0</v>
      </c>
      <c r="L870" s="13">
        <v>0.0</v>
      </c>
    </row>
    <row r="871">
      <c r="B871" s="94">
        <v>46112.0</v>
      </c>
      <c r="C871" s="4" t="s">
        <v>114</v>
      </c>
      <c r="D871" s="4" t="s">
        <v>304</v>
      </c>
      <c r="E871" s="4" t="s">
        <v>303</v>
      </c>
      <c r="F871" s="13" t="s">
        <v>9</v>
      </c>
      <c r="K871" s="13">
        <v>0.0</v>
      </c>
      <c r="L871" s="13">
        <v>0.0</v>
      </c>
    </row>
    <row r="872">
      <c r="B872" s="94">
        <v>46112.0</v>
      </c>
      <c r="C872" s="4" t="s">
        <v>114</v>
      </c>
      <c r="D872" s="4" t="s">
        <v>304</v>
      </c>
      <c r="E872" s="4" t="s">
        <v>303</v>
      </c>
      <c r="F872" s="13" t="s">
        <v>10</v>
      </c>
      <c r="K872" s="13">
        <v>0.0</v>
      </c>
      <c r="L872" s="13">
        <v>0.0</v>
      </c>
    </row>
    <row r="873">
      <c r="B873" s="94">
        <v>46112.0</v>
      </c>
      <c r="C873" s="4" t="s">
        <v>114</v>
      </c>
      <c r="D873" s="4" t="s">
        <v>304</v>
      </c>
      <c r="E873" s="4" t="s">
        <v>303</v>
      </c>
      <c r="F873" s="13" t="s">
        <v>11</v>
      </c>
      <c r="K873" s="13">
        <v>0.0</v>
      </c>
      <c r="L873" s="13">
        <v>0.0</v>
      </c>
    </row>
    <row r="874">
      <c r="B874" s="94">
        <v>46112.0</v>
      </c>
      <c r="C874" s="4" t="s">
        <v>114</v>
      </c>
      <c r="D874" s="4" t="s">
        <v>304</v>
      </c>
      <c r="E874" s="4" t="s">
        <v>303</v>
      </c>
      <c r="F874" s="13" t="s">
        <v>12</v>
      </c>
      <c r="K874" s="13">
        <v>0.0</v>
      </c>
      <c r="L874" s="13">
        <v>0.0</v>
      </c>
    </row>
    <row r="875">
      <c r="B875" s="94">
        <v>46112.0</v>
      </c>
      <c r="C875" s="4" t="s">
        <v>114</v>
      </c>
      <c r="D875" s="4" t="s">
        <v>304</v>
      </c>
      <c r="E875" s="4" t="s">
        <v>303</v>
      </c>
      <c r="F875" s="13" t="s">
        <v>13</v>
      </c>
      <c r="K875" s="13">
        <v>0.0</v>
      </c>
      <c r="L875" s="13">
        <v>0.0</v>
      </c>
    </row>
    <row r="876">
      <c r="B876" s="94">
        <v>46112.0</v>
      </c>
      <c r="C876" s="4" t="s">
        <v>114</v>
      </c>
      <c r="D876" s="4" t="s">
        <v>304</v>
      </c>
      <c r="E876" s="4" t="s">
        <v>303</v>
      </c>
      <c r="F876" s="13" t="s">
        <v>14</v>
      </c>
      <c r="K876" s="13">
        <v>0.0</v>
      </c>
      <c r="L876" s="13">
        <v>0.0</v>
      </c>
    </row>
    <row r="877">
      <c r="B877" s="94">
        <v>46112.0</v>
      </c>
      <c r="C877" s="4" t="s">
        <v>114</v>
      </c>
      <c r="D877" s="4" t="s">
        <v>304</v>
      </c>
      <c r="E877" s="4" t="s">
        <v>303</v>
      </c>
      <c r="F877" s="13" t="s">
        <v>15</v>
      </c>
      <c r="K877" s="13">
        <v>0.0</v>
      </c>
      <c r="L877" s="13">
        <v>0.0</v>
      </c>
    </row>
    <row r="878">
      <c r="B878" s="94">
        <f>B877+1</f>
        <v>46113</v>
      </c>
      <c r="C878" s="4" t="s">
        <v>113</v>
      </c>
      <c r="D878" s="4" t="s">
        <v>89</v>
      </c>
      <c r="E878" s="4" t="s">
        <v>86</v>
      </c>
      <c r="F878" s="13" t="s">
        <v>4</v>
      </c>
      <c r="H878" s="4">
        <v>12.0</v>
      </c>
      <c r="K878" s="13">
        <v>12.0</v>
      </c>
      <c r="L878" s="13">
        <v>240000.0</v>
      </c>
      <c r="M878" s="13">
        <f>sum(L878:L889)+500000+ 500000</f>
        <v>2850000</v>
      </c>
    </row>
    <row r="879">
      <c r="B879" s="94">
        <v>46113.0</v>
      </c>
      <c r="C879" s="4" t="s">
        <v>113</v>
      </c>
      <c r="D879" s="4" t="s">
        <v>89</v>
      </c>
      <c r="E879" s="4" t="s">
        <v>82</v>
      </c>
      <c r="F879" s="13" t="s">
        <v>5</v>
      </c>
      <c r="H879" s="4">
        <v>5.0</v>
      </c>
      <c r="I879" s="4">
        <v>4.0</v>
      </c>
      <c r="K879" s="13">
        <v>1.0</v>
      </c>
      <c r="L879" s="13">
        <v>20000.0</v>
      </c>
    </row>
    <row r="880">
      <c r="B880" s="94">
        <v>46113.0</v>
      </c>
      <c r="C880" s="4" t="s">
        <v>113</v>
      </c>
      <c r="D880" s="4" t="s">
        <v>89</v>
      </c>
      <c r="E880" s="4" t="s">
        <v>86</v>
      </c>
      <c r="F880" s="13" t="s">
        <v>6</v>
      </c>
      <c r="H880" s="4">
        <v>5.0</v>
      </c>
      <c r="I880" s="4">
        <v>4.0</v>
      </c>
      <c r="K880" s="13">
        <v>1.0</v>
      </c>
      <c r="L880" s="13">
        <v>20000.0</v>
      </c>
    </row>
    <row r="881">
      <c r="B881" s="94">
        <v>46113.0</v>
      </c>
      <c r="C881" s="4" t="s">
        <v>113</v>
      </c>
      <c r="D881" s="4" t="s">
        <v>89</v>
      </c>
      <c r="E881" s="4" t="s">
        <v>82</v>
      </c>
      <c r="F881" s="13" t="s">
        <v>7</v>
      </c>
      <c r="H881" s="4">
        <v>5.0</v>
      </c>
      <c r="I881" s="4">
        <v>1.0</v>
      </c>
      <c r="K881" s="13">
        <v>4.0</v>
      </c>
      <c r="L881" s="13">
        <v>80000.0</v>
      </c>
    </row>
    <row r="882">
      <c r="B882" s="94">
        <v>46113.0</v>
      </c>
      <c r="C882" s="4" t="s">
        <v>113</v>
      </c>
      <c r="D882" s="4" t="s">
        <v>89</v>
      </c>
      <c r="E882" s="4" t="s">
        <v>86</v>
      </c>
      <c r="F882" s="13" t="s">
        <v>8</v>
      </c>
      <c r="H882" s="4">
        <v>12.0</v>
      </c>
      <c r="I882" s="4">
        <v>5.0</v>
      </c>
      <c r="K882" s="13">
        <v>7.0</v>
      </c>
      <c r="L882" s="13">
        <v>140000.0</v>
      </c>
    </row>
    <row r="883">
      <c r="B883" s="94">
        <v>46113.0</v>
      </c>
      <c r="C883" s="4" t="s">
        <v>113</v>
      </c>
      <c r="D883" s="4" t="s">
        <v>89</v>
      </c>
      <c r="E883" s="4" t="s">
        <v>82</v>
      </c>
      <c r="F883" s="13" t="s">
        <v>9</v>
      </c>
      <c r="H883" s="4">
        <v>12.0</v>
      </c>
      <c r="K883" s="13">
        <v>12.0</v>
      </c>
      <c r="L883" s="13">
        <v>240000.0</v>
      </c>
    </row>
    <row r="884">
      <c r="B884" s="94">
        <v>46113.0</v>
      </c>
      <c r="C884" s="4" t="s">
        <v>113</v>
      </c>
      <c r="D884" s="4" t="s">
        <v>89</v>
      </c>
      <c r="E884" s="4" t="s">
        <v>86</v>
      </c>
      <c r="F884" s="13" t="s">
        <v>10</v>
      </c>
      <c r="H884" s="4">
        <v>5.0</v>
      </c>
      <c r="K884" s="13">
        <v>5.0</v>
      </c>
      <c r="L884" s="13">
        <v>100000.0</v>
      </c>
    </row>
    <row r="885">
      <c r="B885" s="94">
        <v>46113.0</v>
      </c>
      <c r="C885" s="4" t="s">
        <v>113</v>
      </c>
      <c r="D885" s="4" t="s">
        <v>89</v>
      </c>
      <c r="E885" s="4" t="s">
        <v>82</v>
      </c>
      <c r="F885" s="13" t="s">
        <v>11</v>
      </c>
      <c r="H885" s="4">
        <v>5.0</v>
      </c>
      <c r="I885" s="4">
        <v>2.0</v>
      </c>
      <c r="K885" s="13">
        <v>3.0</v>
      </c>
      <c r="L885" s="13">
        <v>60000.0</v>
      </c>
    </row>
    <row r="886">
      <c r="B886" s="94">
        <v>46113.0</v>
      </c>
      <c r="C886" s="4" t="s">
        <v>113</v>
      </c>
      <c r="D886" s="4" t="s">
        <v>89</v>
      </c>
      <c r="E886" s="4" t="s">
        <v>86</v>
      </c>
      <c r="F886" s="13" t="s">
        <v>12</v>
      </c>
      <c r="H886" s="4">
        <v>5.0</v>
      </c>
      <c r="I886" s="4">
        <v>1.0</v>
      </c>
      <c r="K886" s="13">
        <v>4.0</v>
      </c>
      <c r="L886" s="13">
        <v>80000.0</v>
      </c>
    </row>
    <row r="887">
      <c r="B887" s="94">
        <v>46113.0</v>
      </c>
      <c r="C887" s="4" t="s">
        <v>113</v>
      </c>
      <c r="D887" s="4" t="s">
        <v>89</v>
      </c>
      <c r="E887" s="4" t="s">
        <v>82</v>
      </c>
      <c r="F887" s="13" t="s">
        <v>13</v>
      </c>
      <c r="H887" s="4">
        <v>5.0</v>
      </c>
      <c r="K887" s="13">
        <v>5.0</v>
      </c>
      <c r="L887" s="13">
        <v>100000.0</v>
      </c>
    </row>
    <row r="888">
      <c r="B888" s="94">
        <v>46113.0</v>
      </c>
      <c r="C888" s="4" t="s">
        <v>113</v>
      </c>
      <c r="D888" s="4" t="s">
        <v>89</v>
      </c>
      <c r="E888" s="4" t="s">
        <v>86</v>
      </c>
      <c r="F888" s="13" t="s">
        <v>14</v>
      </c>
      <c r="H888" s="4">
        <v>5.0</v>
      </c>
      <c r="K888" s="13">
        <v>5.0</v>
      </c>
      <c r="L888" s="13">
        <v>110000.0</v>
      </c>
    </row>
    <row r="889">
      <c r="B889" s="94">
        <v>46113.0</v>
      </c>
      <c r="C889" s="4" t="s">
        <v>113</v>
      </c>
      <c r="D889" s="4" t="s">
        <v>89</v>
      </c>
      <c r="E889" s="4" t="s">
        <v>82</v>
      </c>
      <c r="F889" s="13" t="s">
        <v>15</v>
      </c>
      <c r="H889" s="4">
        <v>45.0</v>
      </c>
      <c r="I889" s="4">
        <v>12.0</v>
      </c>
      <c r="K889" s="13">
        <v>33.0</v>
      </c>
      <c r="L889" s="13">
        <v>660000.0</v>
      </c>
    </row>
    <row r="890">
      <c r="B890" s="94">
        <v>46113.0</v>
      </c>
      <c r="C890" s="4" t="s">
        <v>114</v>
      </c>
      <c r="D890" s="4" t="s">
        <v>89</v>
      </c>
      <c r="E890" s="13"/>
      <c r="F890" s="13" t="s">
        <v>4</v>
      </c>
      <c r="G890" s="13" t="str">
        <f t="shared" ref="G890:G901" si="18">I878</f>
        <v/>
      </c>
      <c r="K890" s="13">
        <v>0.0</v>
      </c>
      <c r="L890" s="13">
        <v>0.0</v>
      </c>
    </row>
    <row r="891">
      <c r="B891" s="94">
        <v>46113.0</v>
      </c>
      <c r="C891" s="4" t="s">
        <v>114</v>
      </c>
      <c r="D891" s="4" t="s">
        <v>89</v>
      </c>
      <c r="E891" s="13"/>
      <c r="F891" s="13" t="s">
        <v>5</v>
      </c>
      <c r="G891" s="13">
        <f t="shared" si="18"/>
        <v>4</v>
      </c>
      <c r="K891" s="13">
        <v>4.0</v>
      </c>
      <c r="L891" s="13">
        <v>80000.0</v>
      </c>
    </row>
    <row r="892">
      <c r="B892" s="94">
        <v>46113.0</v>
      </c>
      <c r="C892" s="4" t="s">
        <v>114</v>
      </c>
      <c r="D892" s="4" t="s">
        <v>89</v>
      </c>
      <c r="E892" s="13"/>
      <c r="F892" s="13" t="s">
        <v>6</v>
      </c>
      <c r="G892" s="13">
        <f t="shared" si="18"/>
        <v>4</v>
      </c>
      <c r="K892" s="13">
        <v>4.0</v>
      </c>
      <c r="L892" s="13">
        <v>80000.0</v>
      </c>
    </row>
    <row r="893">
      <c r="B893" s="94">
        <v>46113.0</v>
      </c>
      <c r="C893" s="4" t="s">
        <v>114</v>
      </c>
      <c r="D893" s="4" t="s">
        <v>89</v>
      </c>
      <c r="E893" s="13"/>
      <c r="F893" s="13" t="s">
        <v>7</v>
      </c>
      <c r="G893" s="13">
        <f t="shared" si="18"/>
        <v>1</v>
      </c>
      <c r="K893" s="13">
        <v>1.0</v>
      </c>
      <c r="L893" s="13">
        <v>20000.0</v>
      </c>
    </row>
    <row r="894">
      <c r="B894" s="94">
        <v>46113.0</v>
      </c>
      <c r="C894" s="4" t="s">
        <v>114</v>
      </c>
      <c r="D894" s="4" t="s">
        <v>89</v>
      </c>
      <c r="E894" s="13"/>
      <c r="F894" s="13" t="s">
        <v>8</v>
      </c>
      <c r="G894" s="13">
        <f t="shared" si="18"/>
        <v>5</v>
      </c>
      <c r="K894" s="13">
        <v>5.0</v>
      </c>
      <c r="L894" s="13">
        <v>100000.0</v>
      </c>
    </row>
    <row r="895">
      <c r="B895" s="94">
        <v>46113.0</v>
      </c>
      <c r="C895" s="4" t="s">
        <v>114</v>
      </c>
      <c r="D895" s="4" t="s">
        <v>89</v>
      </c>
      <c r="E895" s="13"/>
      <c r="F895" s="13" t="s">
        <v>9</v>
      </c>
      <c r="G895" s="13" t="str">
        <f t="shared" si="18"/>
        <v/>
      </c>
      <c r="K895" s="13">
        <v>0.0</v>
      </c>
      <c r="L895" s="13">
        <v>0.0</v>
      </c>
    </row>
    <row r="896">
      <c r="B896" s="94">
        <v>46113.0</v>
      </c>
      <c r="C896" s="4" t="s">
        <v>114</v>
      </c>
      <c r="D896" s="4" t="s">
        <v>89</v>
      </c>
      <c r="E896" s="13"/>
      <c r="F896" s="13" t="s">
        <v>10</v>
      </c>
      <c r="G896" s="13" t="str">
        <f t="shared" si="18"/>
        <v/>
      </c>
      <c r="K896" s="13">
        <v>0.0</v>
      </c>
      <c r="L896" s="13">
        <v>0.0</v>
      </c>
    </row>
    <row r="897">
      <c r="B897" s="94">
        <v>46113.0</v>
      </c>
      <c r="C897" s="4" t="s">
        <v>114</v>
      </c>
      <c r="D897" s="4" t="s">
        <v>89</v>
      </c>
      <c r="E897" s="13"/>
      <c r="F897" s="13" t="s">
        <v>11</v>
      </c>
      <c r="G897" s="13">
        <f t="shared" si="18"/>
        <v>2</v>
      </c>
      <c r="K897" s="13">
        <v>2.0</v>
      </c>
      <c r="L897" s="13">
        <v>40000.0</v>
      </c>
    </row>
    <row r="898">
      <c r="B898" s="94">
        <v>46113.0</v>
      </c>
      <c r="C898" s="4" t="s">
        <v>114</v>
      </c>
      <c r="D898" s="4" t="s">
        <v>89</v>
      </c>
      <c r="E898" s="13"/>
      <c r="F898" s="13" t="s">
        <v>12</v>
      </c>
      <c r="G898" s="13">
        <f t="shared" si="18"/>
        <v>1</v>
      </c>
      <c r="K898" s="13">
        <v>1.0</v>
      </c>
      <c r="L898" s="13">
        <v>20000.0</v>
      </c>
    </row>
    <row r="899">
      <c r="B899" s="94">
        <v>46113.0</v>
      </c>
      <c r="C899" s="4" t="s">
        <v>114</v>
      </c>
      <c r="D899" s="4" t="s">
        <v>89</v>
      </c>
      <c r="E899" s="13"/>
      <c r="F899" s="13" t="s">
        <v>13</v>
      </c>
      <c r="G899" s="13" t="str">
        <f t="shared" si="18"/>
        <v/>
      </c>
      <c r="K899" s="13">
        <v>0.0</v>
      </c>
      <c r="L899" s="13">
        <v>0.0</v>
      </c>
    </row>
    <row r="900">
      <c r="B900" s="94">
        <v>46113.0</v>
      </c>
      <c r="C900" s="4" t="s">
        <v>114</v>
      </c>
      <c r="D900" s="4" t="s">
        <v>89</v>
      </c>
      <c r="E900" s="13"/>
      <c r="F900" s="13" t="s">
        <v>14</v>
      </c>
      <c r="G900" s="13" t="str">
        <f t="shared" si="18"/>
        <v/>
      </c>
      <c r="K900" s="13">
        <v>0.0</v>
      </c>
      <c r="L900" s="13">
        <v>0.0</v>
      </c>
    </row>
    <row r="901">
      <c r="B901" s="94">
        <v>46113.0</v>
      </c>
      <c r="C901" s="4" t="s">
        <v>114</v>
      </c>
      <c r="D901" s="4" t="s">
        <v>89</v>
      </c>
      <c r="E901" s="13"/>
      <c r="F901" s="13" t="s">
        <v>15</v>
      </c>
      <c r="G901" s="13">
        <f t="shared" si="18"/>
        <v>12</v>
      </c>
      <c r="K901" s="13">
        <v>12.0</v>
      </c>
      <c r="L901" s="13">
        <v>240000.0</v>
      </c>
    </row>
    <row r="902">
      <c r="C902" s="4" t="s">
        <v>113</v>
      </c>
      <c r="D902" s="4" t="s">
        <v>304</v>
      </c>
      <c r="E902" s="4" t="s">
        <v>57</v>
      </c>
      <c r="F902" s="13" t="s">
        <v>4</v>
      </c>
      <c r="H902" s="4">
        <v>7.0</v>
      </c>
      <c r="I902" s="4">
        <v>1.0</v>
      </c>
      <c r="K902" s="13">
        <v>6.0</v>
      </c>
      <c r="L902" s="13">
        <v>120000.0</v>
      </c>
      <c r="M902" s="13">
        <f>sum(L902:L913)+500000</f>
        <v>1342000</v>
      </c>
    </row>
    <row r="903">
      <c r="C903" s="4" t="s">
        <v>113</v>
      </c>
      <c r="D903" s="4" t="s">
        <v>304</v>
      </c>
      <c r="E903" s="4" t="s">
        <v>57</v>
      </c>
      <c r="F903" s="13" t="s">
        <v>5</v>
      </c>
      <c r="H903" s="13">
        <v>4.0</v>
      </c>
      <c r="K903" s="13">
        <v>4.0</v>
      </c>
      <c r="L903" s="13">
        <v>80000.0</v>
      </c>
    </row>
    <row r="904">
      <c r="C904" s="4" t="s">
        <v>113</v>
      </c>
      <c r="D904" s="4" t="s">
        <v>304</v>
      </c>
      <c r="E904" s="4" t="s">
        <v>57</v>
      </c>
      <c r="F904" s="13" t="s">
        <v>6</v>
      </c>
      <c r="H904" s="4">
        <v>3.0</v>
      </c>
      <c r="I904" s="4">
        <v>2.0</v>
      </c>
      <c r="K904" s="13">
        <v>1.0</v>
      </c>
      <c r="L904" s="13">
        <v>20000.0</v>
      </c>
    </row>
    <row r="905">
      <c r="C905" s="4" t="s">
        <v>113</v>
      </c>
      <c r="D905" s="4" t="s">
        <v>304</v>
      </c>
      <c r="E905" s="4" t="s">
        <v>57</v>
      </c>
      <c r="F905" s="13" t="s">
        <v>7</v>
      </c>
      <c r="H905" s="4">
        <v>2.0</v>
      </c>
      <c r="I905" s="4">
        <v>1.0</v>
      </c>
      <c r="K905" s="13">
        <v>1.0</v>
      </c>
      <c r="L905" s="13">
        <v>20000.0</v>
      </c>
    </row>
    <row r="906">
      <c r="C906" s="4" t="s">
        <v>113</v>
      </c>
      <c r="D906" s="4" t="s">
        <v>304</v>
      </c>
      <c r="E906" s="4" t="s">
        <v>57</v>
      </c>
      <c r="F906" s="13" t="s">
        <v>8</v>
      </c>
      <c r="H906" s="4">
        <v>5.0</v>
      </c>
      <c r="I906" s="4">
        <v>2.0</v>
      </c>
      <c r="K906" s="13">
        <v>3.0</v>
      </c>
      <c r="L906" s="13">
        <v>60000.0</v>
      </c>
    </row>
    <row r="907">
      <c r="C907" s="4" t="s">
        <v>113</v>
      </c>
      <c r="D907" s="4" t="s">
        <v>304</v>
      </c>
      <c r="E907" s="4" t="s">
        <v>57</v>
      </c>
      <c r="F907" s="13" t="s">
        <v>9</v>
      </c>
      <c r="H907" s="4">
        <v>7.0</v>
      </c>
      <c r="I907" s="4">
        <v>2.0</v>
      </c>
      <c r="K907" s="13">
        <v>5.0</v>
      </c>
      <c r="L907" s="13">
        <v>100000.0</v>
      </c>
    </row>
    <row r="908">
      <c r="C908" s="4" t="s">
        <v>113</v>
      </c>
      <c r="D908" s="4" t="s">
        <v>304</v>
      </c>
      <c r="E908" s="4" t="s">
        <v>57</v>
      </c>
      <c r="F908" s="13" t="s">
        <v>10</v>
      </c>
      <c r="H908" s="13">
        <v>2.0</v>
      </c>
      <c r="K908" s="13">
        <v>2.0</v>
      </c>
      <c r="L908" s="13">
        <v>40000.0</v>
      </c>
    </row>
    <row r="909">
      <c r="C909" s="4" t="s">
        <v>113</v>
      </c>
      <c r="D909" s="4" t="s">
        <v>304</v>
      </c>
      <c r="E909" s="4" t="s">
        <v>57</v>
      </c>
      <c r="F909" s="13" t="s">
        <v>11</v>
      </c>
      <c r="H909" s="13">
        <v>0.0</v>
      </c>
      <c r="K909" s="13">
        <v>0.0</v>
      </c>
      <c r="L909" s="13">
        <v>0.0</v>
      </c>
    </row>
    <row r="910">
      <c r="C910" s="4" t="s">
        <v>113</v>
      </c>
      <c r="D910" s="4" t="s">
        <v>304</v>
      </c>
      <c r="E910" s="4" t="s">
        <v>57</v>
      </c>
      <c r="F910" s="13" t="s">
        <v>12</v>
      </c>
      <c r="H910" s="4">
        <v>2.0</v>
      </c>
      <c r="K910" s="13">
        <v>2.0</v>
      </c>
      <c r="L910" s="13">
        <v>40000.0</v>
      </c>
    </row>
    <row r="911">
      <c r="C911" s="4" t="s">
        <v>113</v>
      </c>
      <c r="D911" s="4" t="s">
        <v>304</v>
      </c>
      <c r="E911" s="4" t="s">
        <v>57</v>
      </c>
      <c r="F911" s="13" t="s">
        <v>13</v>
      </c>
      <c r="H911" s="13">
        <v>4.0</v>
      </c>
      <c r="I911" s="4">
        <v>1.0</v>
      </c>
      <c r="K911" s="13">
        <v>3.0</v>
      </c>
      <c r="L911" s="13">
        <v>60000.0</v>
      </c>
    </row>
    <row r="912">
      <c r="C912" s="4" t="s">
        <v>113</v>
      </c>
      <c r="D912" s="4" t="s">
        <v>304</v>
      </c>
      <c r="E912" s="4" t="s">
        <v>57</v>
      </c>
      <c r="F912" s="13" t="s">
        <v>14</v>
      </c>
      <c r="H912" s="13">
        <v>2.0</v>
      </c>
      <c r="I912" s="4">
        <v>1.0</v>
      </c>
      <c r="K912" s="13">
        <v>1.0</v>
      </c>
      <c r="L912" s="13">
        <v>22000.0</v>
      </c>
    </row>
    <row r="913">
      <c r="C913" s="4" t="s">
        <v>113</v>
      </c>
      <c r="D913" s="4" t="s">
        <v>304</v>
      </c>
      <c r="E913" s="4" t="s">
        <v>57</v>
      </c>
      <c r="F913" s="13" t="s">
        <v>15</v>
      </c>
      <c r="H913" s="4">
        <v>30.0</v>
      </c>
      <c r="I913" s="4">
        <v>16.0</v>
      </c>
      <c r="K913" s="13">
        <v>14.0</v>
      </c>
      <c r="L913" s="13">
        <v>280000.0</v>
      </c>
    </row>
    <row r="914">
      <c r="C914" s="4" t="s">
        <v>114</v>
      </c>
      <c r="D914" s="4" t="s">
        <v>304</v>
      </c>
      <c r="E914" s="13"/>
      <c r="F914" s="13" t="s">
        <v>4</v>
      </c>
      <c r="G914" s="13">
        <f t="shared" ref="G914:G925" si="19">I902</f>
        <v>1</v>
      </c>
      <c r="K914" s="13">
        <v>1.0</v>
      </c>
      <c r="L914" s="13">
        <v>20000.0</v>
      </c>
    </row>
    <row r="915">
      <c r="C915" s="4" t="s">
        <v>114</v>
      </c>
      <c r="D915" s="4" t="s">
        <v>304</v>
      </c>
      <c r="E915" s="13"/>
      <c r="F915" s="13" t="s">
        <v>5</v>
      </c>
      <c r="G915" s="13" t="str">
        <f t="shared" si="19"/>
        <v/>
      </c>
      <c r="K915" s="13">
        <v>0.0</v>
      </c>
      <c r="L915" s="13">
        <v>0.0</v>
      </c>
    </row>
    <row r="916">
      <c r="C916" s="4" t="s">
        <v>114</v>
      </c>
      <c r="D916" s="4" t="s">
        <v>304</v>
      </c>
      <c r="E916" s="13"/>
      <c r="F916" s="13" t="s">
        <v>6</v>
      </c>
      <c r="G916" s="13">
        <f t="shared" si="19"/>
        <v>2</v>
      </c>
      <c r="K916" s="13">
        <v>2.0</v>
      </c>
      <c r="L916" s="13">
        <v>40000.0</v>
      </c>
    </row>
    <row r="917">
      <c r="C917" s="4" t="s">
        <v>114</v>
      </c>
      <c r="D917" s="4" t="s">
        <v>304</v>
      </c>
      <c r="E917" s="13"/>
      <c r="F917" s="13" t="s">
        <v>7</v>
      </c>
      <c r="G917" s="13">
        <f t="shared" si="19"/>
        <v>1</v>
      </c>
      <c r="K917" s="13">
        <v>1.0</v>
      </c>
      <c r="L917" s="13">
        <v>20000.0</v>
      </c>
    </row>
    <row r="918">
      <c r="C918" s="4" t="s">
        <v>114</v>
      </c>
      <c r="D918" s="4" t="s">
        <v>304</v>
      </c>
      <c r="E918" s="13"/>
      <c r="F918" s="13" t="s">
        <v>8</v>
      </c>
      <c r="G918" s="13">
        <f t="shared" si="19"/>
        <v>2</v>
      </c>
      <c r="K918" s="13">
        <v>2.0</v>
      </c>
      <c r="L918" s="13">
        <v>40000.0</v>
      </c>
    </row>
    <row r="919">
      <c r="C919" s="4" t="s">
        <v>114</v>
      </c>
      <c r="D919" s="4" t="s">
        <v>304</v>
      </c>
      <c r="E919" s="13"/>
      <c r="F919" s="13" t="s">
        <v>9</v>
      </c>
      <c r="G919" s="13">
        <f t="shared" si="19"/>
        <v>2</v>
      </c>
      <c r="K919" s="13">
        <v>2.0</v>
      </c>
      <c r="L919" s="13">
        <v>40000.0</v>
      </c>
    </row>
    <row r="920">
      <c r="C920" s="4" t="s">
        <v>114</v>
      </c>
      <c r="D920" s="4" t="s">
        <v>304</v>
      </c>
      <c r="E920" s="13"/>
      <c r="F920" s="13" t="s">
        <v>10</v>
      </c>
      <c r="G920" s="13" t="str">
        <f t="shared" si="19"/>
        <v/>
      </c>
      <c r="K920" s="13">
        <v>0.0</v>
      </c>
      <c r="L920" s="13">
        <v>0.0</v>
      </c>
    </row>
    <row r="921">
      <c r="C921" s="4" t="s">
        <v>114</v>
      </c>
      <c r="D921" s="4" t="s">
        <v>304</v>
      </c>
      <c r="E921" s="13"/>
      <c r="F921" s="13" t="s">
        <v>11</v>
      </c>
      <c r="G921" s="13" t="str">
        <f t="shared" si="19"/>
        <v/>
      </c>
      <c r="K921" s="13">
        <v>0.0</v>
      </c>
      <c r="L921" s="13">
        <v>0.0</v>
      </c>
    </row>
    <row r="922">
      <c r="C922" s="4" t="s">
        <v>114</v>
      </c>
      <c r="D922" s="4" t="s">
        <v>304</v>
      </c>
      <c r="E922" s="13"/>
      <c r="F922" s="13" t="s">
        <v>12</v>
      </c>
      <c r="G922" s="13" t="str">
        <f t="shared" si="19"/>
        <v/>
      </c>
      <c r="K922" s="13">
        <v>0.0</v>
      </c>
      <c r="L922" s="13">
        <v>0.0</v>
      </c>
    </row>
    <row r="923">
      <c r="C923" s="4" t="s">
        <v>114</v>
      </c>
      <c r="D923" s="4" t="s">
        <v>304</v>
      </c>
      <c r="E923" s="13"/>
      <c r="F923" s="13" t="s">
        <v>13</v>
      </c>
      <c r="G923" s="13">
        <f t="shared" si="19"/>
        <v>1</v>
      </c>
      <c r="K923" s="13">
        <v>1.0</v>
      </c>
      <c r="L923" s="13">
        <v>20000.0</v>
      </c>
    </row>
    <row r="924">
      <c r="C924" s="4" t="s">
        <v>114</v>
      </c>
      <c r="D924" s="4" t="s">
        <v>304</v>
      </c>
      <c r="E924" s="13"/>
      <c r="F924" s="13" t="s">
        <v>14</v>
      </c>
      <c r="G924" s="13">
        <f t="shared" si="19"/>
        <v>1</v>
      </c>
      <c r="K924" s="13">
        <v>1.0</v>
      </c>
      <c r="L924" s="13">
        <v>22000.0</v>
      </c>
    </row>
    <row r="925">
      <c r="C925" s="4" t="s">
        <v>114</v>
      </c>
      <c r="D925" s="4" t="s">
        <v>304</v>
      </c>
      <c r="E925" s="13"/>
      <c r="F925" s="13" t="s">
        <v>15</v>
      </c>
      <c r="G925" s="13">
        <f t="shared" si="19"/>
        <v>16</v>
      </c>
      <c r="K925" s="13">
        <v>16.0</v>
      </c>
      <c r="L925" s="13">
        <v>320000.0</v>
      </c>
    </row>
    <row r="926">
      <c r="C926" s="4" t="s">
        <v>113</v>
      </c>
      <c r="D926" s="4" t="s">
        <v>80</v>
      </c>
      <c r="E926" s="4" t="s">
        <v>53</v>
      </c>
      <c r="F926" s="13" t="s">
        <v>4</v>
      </c>
      <c r="H926" s="4">
        <v>7.0</v>
      </c>
      <c r="K926" s="13">
        <v>7.0</v>
      </c>
      <c r="L926" s="13">
        <v>140000.0</v>
      </c>
      <c r="M926" s="13">
        <f>sum(L926:L937)+500000</f>
        <v>2024000</v>
      </c>
    </row>
    <row r="927">
      <c r="C927" s="4" t="s">
        <v>113</v>
      </c>
      <c r="D927" s="4" t="s">
        <v>80</v>
      </c>
      <c r="E927" s="4" t="s">
        <v>53</v>
      </c>
      <c r="F927" s="13" t="s">
        <v>5</v>
      </c>
      <c r="H927" s="4">
        <v>5.0</v>
      </c>
      <c r="K927" s="13">
        <v>5.0</v>
      </c>
      <c r="L927" s="13">
        <v>100000.0</v>
      </c>
    </row>
    <row r="928">
      <c r="C928" s="4" t="s">
        <v>113</v>
      </c>
      <c r="D928" s="4" t="s">
        <v>80</v>
      </c>
      <c r="E928" s="4" t="s">
        <v>53</v>
      </c>
      <c r="F928" s="13" t="s">
        <v>6</v>
      </c>
      <c r="H928" s="4">
        <v>4.0</v>
      </c>
      <c r="K928" s="13">
        <v>4.0</v>
      </c>
      <c r="L928" s="13">
        <v>80000.0</v>
      </c>
    </row>
    <row r="929">
      <c r="C929" s="4" t="s">
        <v>113</v>
      </c>
      <c r="D929" s="4" t="s">
        <v>80</v>
      </c>
      <c r="E929" s="4" t="s">
        <v>53</v>
      </c>
      <c r="F929" s="13" t="s">
        <v>7</v>
      </c>
      <c r="H929" s="4">
        <v>3.0</v>
      </c>
      <c r="K929" s="13">
        <v>3.0</v>
      </c>
      <c r="L929" s="13">
        <v>60000.0</v>
      </c>
    </row>
    <row r="930">
      <c r="C930" s="4" t="s">
        <v>113</v>
      </c>
      <c r="D930" s="4" t="s">
        <v>80</v>
      </c>
      <c r="E930" s="4" t="s">
        <v>53</v>
      </c>
      <c r="F930" s="13" t="s">
        <v>8</v>
      </c>
      <c r="H930" s="4">
        <v>6.0</v>
      </c>
      <c r="K930" s="13">
        <v>6.0</v>
      </c>
      <c r="L930" s="13">
        <v>120000.0</v>
      </c>
    </row>
    <row r="931">
      <c r="C931" s="4" t="s">
        <v>113</v>
      </c>
      <c r="D931" s="4" t="s">
        <v>80</v>
      </c>
      <c r="E931" s="4" t="s">
        <v>53</v>
      </c>
      <c r="F931" s="13" t="s">
        <v>9</v>
      </c>
      <c r="H931" s="4">
        <v>6.0</v>
      </c>
      <c r="K931" s="13">
        <v>6.0</v>
      </c>
      <c r="L931" s="13">
        <v>120000.0</v>
      </c>
    </row>
    <row r="932">
      <c r="C932" s="4" t="s">
        <v>113</v>
      </c>
      <c r="D932" s="4" t="s">
        <v>80</v>
      </c>
      <c r="E932" s="4" t="s">
        <v>53</v>
      </c>
      <c r="F932" s="13" t="s">
        <v>10</v>
      </c>
      <c r="H932" s="4">
        <v>3.0</v>
      </c>
      <c r="K932" s="13">
        <v>3.0</v>
      </c>
      <c r="L932" s="13">
        <v>60000.0</v>
      </c>
    </row>
    <row r="933">
      <c r="C933" s="4" t="s">
        <v>113</v>
      </c>
      <c r="D933" s="4" t="s">
        <v>80</v>
      </c>
      <c r="E933" s="4" t="s">
        <v>53</v>
      </c>
      <c r="F933" s="13" t="s">
        <v>11</v>
      </c>
      <c r="H933" s="4">
        <v>3.0</v>
      </c>
      <c r="K933" s="13">
        <v>3.0</v>
      </c>
      <c r="L933" s="13">
        <v>60000.0</v>
      </c>
    </row>
    <row r="934">
      <c r="C934" s="4" t="s">
        <v>113</v>
      </c>
      <c r="D934" s="4" t="s">
        <v>80</v>
      </c>
      <c r="E934" s="4" t="s">
        <v>53</v>
      </c>
      <c r="F934" s="13" t="s">
        <v>12</v>
      </c>
      <c r="H934" s="4">
        <v>3.0</v>
      </c>
      <c r="K934" s="13">
        <v>3.0</v>
      </c>
      <c r="L934" s="13">
        <v>60000.0</v>
      </c>
    </row>
    <row r="935">
      <c r="C935" s="4" t="s">
        <v>113</v>
      </c>
      <c r="D935" s="4" t="s">
        <v>80</v>
      </c>
      <c r="E935" s="4" t="s">
        <v>53</v>
      </c>
      <c r="F935" s="13" t="s">
        <v>13</v>
      </c>
      <c r="H935" s="4">
        <v>4.0</v>
      </c>
      <c r="K935" s="13">
        <v>4.0</v>
      </c>
      <c r="L935" s="13">
        <v>80000.0</v>
      </c>
    </row>
    <row r="936">
      <c r="C936" s="4" t="s">
        <v>113</v>
      </c>
      <c r="D936" s="4" t="s">
        <v>80</v>
      </c>
      <c r="E936" s="4" t="s">
        <v>53</v>
      </c>
      <c r="F936" s="13" t="s">
        <v>14</v>
      </c>
      <c r="H936" s="4">
        <v>2.0</v>
      </c>
      <c r="K936" s="13">
        <v>2.0</v>
      </c>
      <c r="L936" s="13">
        <v>44000.0</v>
      </c>
    </row>
    <row r="937">
      <c r="C937" s="4" t="s">
        <v>113</v>
      </c>
      <c r="D937" s="4" t="s">
        <v>80</v>
      </c>
      <c r="E937" s="4" t="s">
        <v>53</v>
      </c>
      <c r="F937" s="13" t="s">
        <v>15</v>
      </c>
      <c r="H937" s="4">
        <v>30.0</v>
      </c>
      <c r="K937" s="13">
        <v>30.0</v>
      </c>
      <c r="L937" s="13">
        <v>600000.0</v>
      </c>
    </row>
    <row r="938">
      <c r="C938" s="4" t="s">
        <v>114</v>
      </c>
      <c r="D938" s="13"/>
      <c r="E938" s="13"/>
      <c r="F938" s="13" t="s">
        <v>4</v>
      </c>
      <c r="K938" s="13">
        <v>0.0</v>
      </c>
      <c r="L938" s="13">
        <v>0.0</v>
      </c>
    </row>
    <row r="939">
      <c r="C939" s="4" t="s">
        <v>114</v>
      </c>
      <c r="D939" s="13"/>
      <c r="E939" s="13"/>
      <c r="F939" s="13" t="s">
        <v>5</v>
      </c>
      <c r="K939" s="13">
        <v>0.0</v>
      </c>
      <c r="L939" s="13">
        <v>0.0</v>
      </c>
    </row>
    <row r="940">
      <c r="C940" s="4" t="s">
        <v>114</v>
      </c>
      <c r="D940" s="13"/>
      <c r="E940" s="13"/>
      <c r="F940" s="13" t="s">
        <v>6</v>
      </c>
      <c r="K940" s="13">
        <v>0.0</v>
      </c>
      <c r="L940" s="13">
        <v>0.0</v>
      </c>
    </row>
    <row r="941">
      <c r="C941" s="4" t="s">
        <v>114</v>
      </c>
      <c r="D941" s="13"/>
      <c r="E941" s="13"/>
      <c r="F941" s="13" t="s">
        <v>7</v>
      </c>
      <c r="K941" s="13">
        <v>0.0</v>
      </c>
      <c r="L941" s="13">
        <v>0.0</v>
      </c>
    </row>
    <row r="942">
      <c r="C942" s="4" t="s">
        <v>114</v>
      </c>
      <c r="D942" s="13"/>
      <c r="E942" s="13"/>
      <c r="F942" s="13" t="s">
        <v>8</v>
      </c>
      <c r="K942" s="13">
        <v>0.0</v>
      </c>
      <c r="L942" s="13">
        <v>0.0</v>
      </c>
    </row>
    <row r="943">
      <c r="C943" s="4" t="s">
        <v>114</v>
      </c>
      <c r="D943" s="13"/>
      <c r="E943" s="13"/>
      <c r="F943" s="13" t="s">
        <v>9</v>
      </c>
      <c r="K943" s="13">
        <v>0.0</v>
      </c>
      <c r="L943" s="13">
        <v>0.0</v>
      </c>
    </row>
    <row r="944">
      <c r="C944" s="4" t="s">
        <v>114</v>
      </c>
      <c r="D944" s="13"/>
      <c r="E944" s="13"/>
      <c r="F944" s="13" t="s">
        <v>10</v>
      </c>
      <c r="K944" s="13">
        <v>0.0</v>
      </c>
      <c r="L944" s="13">
        <v>0.0</v>
      </c>
    </row>
    <row r="945">
      <c r="C945" s="4" t="s">
        <v>114</v>
      </c>
      <c r="D945" s="13"/>
      <c r="E945" s="13"/>
      <c r="F945" s="13" t="s">
        <v>11</v>
      </c>
      <c r="K945" s="13">
        <v>0.0</v>
      </c>
      <c r="L945" s="13">
        <v>0.0</v>
      </c>
    </row>
    <row r="946">
      <c r="C946" s="4" t="s">
        <v>114</v>
      </c>
      <c r="D946" s="13"/>
      <c r="E946" s="13"/>
      <c r="F946" s="13" t="s">
        <v>12</v>
      </c>
      <c r="K946" s="13">
        <v>0.0</v>
      </c>
      <c r="L946" s="13">
        <v>0.0</v>
      </c>
    </row>
    <row r="947">
      <c r="C947" s="4" t="s">
        <v>114</v>
      </c>
      <c r="D947" s="13"/>
      <c r="E947" s="13"/>
      <c r="F947" s="13" t="s">
        <v>13</v>
      </c>
      <c r="K947" s="13">
        <v>0.0</v>
      </c>
      <c r="L947" s="13">
        <v>0.0</v>
      </c>
    </row>
    <row r="948">
      <c r="C948" s="4" t="s">
        <v>114</v>
      </c>
      <c r="D948" s="13"/>
      <c r="E948" s="13"/>
      <c r="F948" s="13" t="s">
        <v>14</v>
      </c>
      <c r="K948" s="13">
        <v>0.0</v>
      </c>
      <c r="L948" s="13">
        <v>0.0</v>
      </c>
    </row>
    <row r="949">
      <c r="C949" s="4" t="s">
        <v>114</v>
      </c>
      <c r="D949" s="13"/>
      <c r="E949" s="13"/>
      <c r="F949" s="13" t="s">
        <v>15</v>
      </c>
      <c r="K949" s="13">
        <v>0.0</v>
      </c>
      <c r="L949" s="13">
        <v>0.0</v>
      </c>
    </row>
    <row r="950">
      <c r="C950" s="13"/>
      <c r="D950" s="13"/>
      <c r="E950" s="13"/>
      <c r="K950" s="13"/>
      <c r="L950" s="13"/>
    </row>
    <row r="951">
      <c r="C951" s="13"/>
      <c r="D951" s="13"/>
      <c r="E951" s="13"/>
      <c r="K951" s="13"/>
      <c r="L951" s="13"/>
    </row>
    <row r="952">
      <c r="C952" s="13"/>
      <c r="D952" s="13"/>
      <c r="E952" s="13"/>
      <c r="K952" s="13"/>
      <c r="L952" s="13"/>
    </row>
    <row r="953">
      <c r="C953" s="13"/>
      <c r="D953" s="13"/>
      <c r="E953" s="13"/>
      <c r="K953" s="13"/>
      <c r="L953" s="13"/>
    </row>
    <row r="954">
      <c r="C954" s="13"/>
      <c r="D954" s="13"/>
      <c r="E954" s="13"/>
      <c r="K954" s="13"/>
      <c r="L954" s="13"/>
    </row>
    <row r="955">
      <c r="C955" s="13"/>
      <c r="D955" s="13"/>
      <c r="E955" s="13"/>
      <c r="K955" s="13"/>
      <c r="L955" s="13"/>
    </row>
    <row r="956">
      <c r="C956" s="13"/>
      <c r="D956" s="13"/>
      <c r="E956" s="13"/>
      <c r="K956" s="13"/>
      <c r="L956" s="13"/>
    </row>
    <row r="957">
      <c r="C957" s="13"/>
      <c r="D957" s="13"/>
      <c r="E957" s="13"/>
      <c r="K957" s="13"/>
      <c r="L957" s="13"/>
    </row>
    <row r="958">
      <c r="C958" s="13"/>
      <c r="D958" s="13"/>
      <c r="E958" s="13"/>
      <c r="K958" s="13"/>
      <c r="L958" s="13"/>
    </row>
    <row r="959">
      <c r="C959" s="13"/>
      <c r="D959" s="13"/>
      <c r="E959" s="13"/>
      <c r="K959" s="13"/>
      <c r="L959" s="13"/>
    </row>
    <row r="960">
      <c r="C960" s="13"/>
      <c r="D960" s="13"/>
      <c r="E960" s="13"/>
      <c r="K960" s="13"/>
      <c r="L960" s="13"/>
    </row>
    <row r="961">
      <c r="C961" s="13"/>
      <c r="D961" s="13"/>
      <c r="E961" s="13"/>
      <c r="K961" s="13"/>
      <c r="L961" s="13"/>
    </row>
    <row r="962">
      <c r="C962" s="13"/>
      <c r="D962" s="13"/>
      <c r="E962" s="13"/>
      <c r="K962" s="13"/>
      <c r="L962" s="13"/>
    </row>
    <row r="963">
      <c r="C963" s="13"/>
      <c r="D963" s="13"/>
      <c r="E963" s="13"/>
      <c r="K963" s="13"/>
      <c r="L963" s="13"/>
    </row>
    <row r="964">
      <c r="C964" s="13"/>
      <c r="D964" s="13"/>
      <c r="E964" s="13"/>
      <c r="K964" s="13"/>
      <c r="L964" s="13"/>
    </row>
    <row r="965">
      <c r="C965" s="13"/>
      <c r="D965" s="13"/>
      <c r="E965" s="13"/>
      <c r="K965" s="13"/>
      <c r="L965" s="13"/>
    </row>
    <row r="966">
      <c r="C966" s="13"/>
      <c r="D966" s="13"/>
      <c r="E966" s="13"/>
      <c r="K966" s="13"/>
      <c r="L966" s="13"/>
    </row>
    <row r="967">
      <c r="C967" s="13"/>
      <c r="D967" s="13"/>
      <c r="E967" s="13"/>
      <c r="K967" s="13"/>
      <c r="L967" s="13"/>
    </row>
    <row r="968">
      <c r="C968" s="13"/>
      <c r="D968" s="13"/>
      <c r="E968" s="13"/>
      <c r="K968" s="13"/>
      <c r="L968" s="13"/>
    </row>
    <row r="969">
      <c r="C969" s="13"/>
      <c r="D969" s="13"/>
      <c r="E969" s="13"/>
      <c r="K969" s="13"/>
      <c r="L969" s="13"/>
    </row>
    <row r="970">
      <c r="C970" s="13"/>
      <c r="D970" s="13"/>
      <c r="E970" s="13"/>
      <c r="K970" s="13"/>
      <c r="L970" s="13"/>
    </row>
    <row r="971">
      <c r="C971" s="13"/>
      <c r="D971" s="13"/>
      <c r="E971" s="13"/>
      <c r="K971" s="13"/>
      <c r="L971" s="13"/>
    </row>
    <row r="972">
      <c r="C972" s="13"/>
      <c r="D972" s="13"/>
      <c r="E972" s="13"/>
      <c r="K972" s="13"/>
      <c r="L972" s="13"/>
    </row>
    <row r="973">
      <c r="C973" s="13"/>
      <c r="D973" s="13"/>
      <c r="E973" s="13"/>
      <c r="K973" s="13"/>
      <c r="L973" s="13"/>
    </row>
    <row r="974">
      <c r="C974" s="13"/>
      <c r="D974" s="13"/>
      <c r="E974" s="13"/>
      <c r="K974" s="13"/>
      <c r="L974" s="13"/>
    </row>
    <row r="975">
      <c r="C975" s="13"/>
      <c r="D975" s="13"/>
      <c r="E975" s="13"/>
      <c r="K975" s="13"/>
      <c r="L975" s="13"/>
    </row>
    <row r="976">
      <c r="C976" s="13"/>
      <c r="D976" s="13"/>
      <c r="E976" s="13"/>
      <c r="K976" s="13"/>
      <c r="L976" s="13"/>
    </row>
    <row r="977">
      <c r="C977" s="13"/>
      <c r="D977" s="13"/>
      <c r="E977" s="13"/>
      <c r="K977" s="13"/>
      <c r="L977" s="13"/>
    </row>
    <row r="978">
      <c r="C978" s="13"/>
      <c r="D978" s="13"/>
      <c r="E978" s="13"/>
      <c r="K978" s="13"/>
      <c r="L978" s="13"/>
    </row>
    <row r="979">
      <c r="C979" s="13"/>
      <c r="D979" s="13"/>
      <c r="E979" s="13"/>
      <c r="K979" s="13"/>
      <c r="L979" s="13"/>
    </row>
    <row r="980">
      <c r="C980" s="13"/>
      <c r="D980" s="13"/>
      <c r="E980" s="13"/>
      <c r="K980" s="13"/>
      <c r="L980" s="13"/>
    </row>
    <row r="981">
      <c r="C981" s="13"/>
      <c r="D981" s="13"/>
      <c r="E981" s="13"/>
      <c r="K981" s="13"/>
      <c r="L981" s="13"/>
    </row>
    <row r="982">
      <c r="C982" s="13"/>
      <c r="D982" s="13"/>
      <c r="E982" s="13"/>
      <c r="K982" s="13"/>
      <c r="L982" s="13"/>
    </row>
    <row r="983">
      <c r="C983" s="13"/>
      <c r="D983" s="13"/>
      <c r="E983" s="13"/>
      <c r="K983" s="13"/>
      <c r="L983" s="13"/>
    </row>
    <row r="984">
      <c r="C984" s="13"/>
      <c r="D984" s="13"/>
      <c r="E984" s="13"/>
      <c r="K984" s="13"/>
      <c r="L984" s="13"/>
    </row>
    <row r="985">
      <c r="C985" s="13"/>
      <c r="D985" s="13"/>
      <c r="E985" s="13"/>
      <c r="K985" s="13"/>
      <c r="L985" s="13"/>
    </row>
    <row r="986">
      <c r="C986" s="13"/>
      <c r="D986" s="13"/>
      <c r="E986" s="13"/>
      <c r="K986" s="13"/>
      <c r="L986" s="13"/>
    </row>
    <row r="987">
      <c r="C987" s="13"/>
      <c r="D987" s="13"/>
      <c r="E987" s="13"/>
      <c r="K987" s="13"/>
      <c r="L987" s="13"/>
    </row>
    <row r="988">
      <c r="C988" s="13"/>
      <c r="D988" s="13"/>
      <c r="E988" s="13"/>
      <c r="K988" s="13"/>
      <c r="L988" s="13"/>
    </row>
    <row r="989">
      <c r="C989" s="13"/>
      <c r="D989" s="13"/>
      <c r="E989" s="13"/>
      <c r="K989" s="13"/>
      <c r="L989" s="13"/>
    </row>
    <row r="990">
      <c r="C990" s="13"/>
      <c r="D990" s="13"/>
      <c r="E990" s="13"/>
      <c r="K990" s="13"/>
      <c r="L990" s="13"/>
    </row>
    <row r="991">
      <c r="C991" s="13"/>
      <c r="D991" s="13"/>
      <c r="E991" s="13"/>
      <c r="K991" s="13"/>
      <c r="L991" s="13"/>
    </row>
    <row r="992">
      <c r="C992" s="13"/>
      <c r="D992" s="13"/>
      <c r="E992" s="13"/>
      <c r="K992" s="13"/>
      <c r="L992" s="13"/>
    </row>
    <row r="993">
      <c r="C993" s="13"/>
      <c r="D993" s="13"/>
      <c r="E993" s="13"/>
      <c r="K993" s="13"/>
      <c r="L993" s="13"/>
    </row>
    <row r="994">
      <c r="C994" s="13"/>
      <c r="D994" s="13"/>
      <c r="E994" s="13"/>
      <c r="K994" s="13"/>
      <c r="L994" s="13"/>
    </row>
    <row r="995">
      <c r="C995" s="13"/>
      <c r="D995" s="13"/>
      <c r="E995" s="13"/>
      <c r="K995" s="13"/>
      <c r="L995" s="13"/>
    </row>
    <row r="996">
      <c r="C996" s="13"/>
      <c r="D996" s="13"/>
      <c r="E996" s="13"/>
      <c r="K996" s="13"/>
      <c r="L996" s="13"/>
    </row>
    <row r="997">
      <c r="C997" s="13"/>
      <c r="D997" s="13"/>
      <c r="E997" s="13"/>
      <c r="K997" s="13"/>
      <c r="L997" s="13"/>
    </row>
    <row r="998">
      <c r="C998" s="13"/>
      <c r="D998" s="13"/>
      <c r="E998" s="13"/>
      <c r="K998" s="13"/>
      <c r="L998" s="13"/>
    </row>
    <row r="999">
      <c r="C999" s="13"/>
      <c r="D999" s="13"/>
      <c r="E999" s="13"/>
      <c r="K999" s="13"/>
      <c r="L999" s="13"/>
    </row>
    <row r="1000">
      <c r="C1000" s="13"/>
      <c r="D1000" s="13"/>
      <c r="E1000" s="13"/>
      <c r="K1000" s="13"/>
      <c r="L1000" s="13"/>
    </row>
    <row r="1001">
      <c r="C1001" s="13"/>
      <c r="D1001" s="13"/>
      <c r="E1001" s="13"/>
      <c r="K1001" s="13"/>
      <c r="L1001" s="13"/>
    </row>
    <row r="1002">
      <c r="C1002" s="13"/>
      <c r="D1002" s="13"/>
      <c r="E1002" s="13"/>
      <c r="K1002" s="13"/>
      <c r="L1002" s="13"/>
    </row>
    <row r="1003">
      <c r="C1003" s="13"/>
      <c r="D1003" s="13"/>
      <c r="E1003" s="13"/>
      <c r="K1003" s="13"/>
      <c r="L1003" s="13"/>
    </row>
    <row r="1004">
      <c r="C1004" s="13"/>
      <c r="D1004" s="13"/>
      <c r="E1004" s="13"/>
      <c r="K1004" s="13"/>
      <c r="L1004" s="13"/>
    </row>
    <row r="1005">
      <c r="C1005" s="13"/>
      <c r="D1005" s="13"/>
      <c r="E1005" s="13"/>
      <c r="K1005" s="13"/>
      <c r="L1005" s="13"/>
    </row>
    <row r="1006">
      <c r="C1006" s="13"/>
      <c r="D1006" s="13"/>
      <c r="E1006" s="13"/>
      <c r="K1006" s="13"/>
      <c r="L1006" s="13"/>
    </row>
    <row r="1007">
      <c r="C1007" s="13"/>
      <c r="D1007" s="13"/>
      <c r="E1007" s="13"/>
      <c r="K1007" s="13"/>
      <c r="L1007" s="13"/>
    </row>
    <row r="1008">
      <c r="C1008" s="13"/>
      <c r="D1008" s="13"/>
      <c r="E1008" s="13"/>
      <c r="K1008" s="13"/>
      <c r="L1008" s="13"/>
    </row>
    <row r="1009">
      <c r="C1009" s="13"/>
      <c r="D1009" s="13"/>
      <c r="E1009" s="13"/>
      <c r="K1009" s="13"/>
      <c r="L1009" s="13"/>
    </row>
    <row r="1010">
      <c r="C1010" s="13"/>
      <c r="D1010" s="13"/>
      <c r="E1010" s="13"/>
      <c r="K1010" s="13"/>
      <c r="L1010" s="13"/>
    </row>
    <row r="1011">
      <c r="C1011" s="13"/>
      <c r="D1011" s="13"/>
      <c r="E1011" s="13"/>
      <c r="K1011" s="13"/>
      <c r="L1011" s="13"/>
    </row>
    <row r="1012">
      <c r="C1012" s="13"/>
      <c r="D1012" s="13"/>
      <c r="E1012" s="13"/>
      <c r="K1012" s="13"/>
      <c r="L1012" s="13"/>
    </row>
    <row r="1013">
      <c r="C1013" s="13"/>
      <c r="D1013" s="13"/>
      <c r="E1013" s="13"/>
      <c r="K1013" s="13"/>
      <c r="L1013" s="13"/>
    </row>
    <row r="1014">
      <c r="C1014" s="13"/>
      <c r="D1014" s="13"/>
      <c r="E1014" s="13"/>
      <c r="K1014" s="13"/>
      <c r="L1014" s="13"/>
    </row>
    <row r="1015">
      <c r="C1015" s="13"/>
      <c r="D1015" s="13"/>
      <c r="E1015" s="13"/>
      <c r="K1015" s="13"/>
      <c r="L1015" s="13"/>
    </row>
    <row r="1016">
      <c r="C1016" s="13"/>
      <c r="D1016" s="13"/>
      <c r="E1016" s="13"/>
      <c r="K1016" s="13"/>
      <c r="L1016" s="13"/>
    </row>
    <row r="1017">
      <c r="C1017" s="13"/>
      <c r="D1017" s="13"/>
      <c r="E1017" s="13"/>
      <c r="K1017" s="13"/>
      <c r="L1017" s="13"/>
    </row>
    <row r="1018">
      <c r="C1018" s="13"/>
      <c r="D1018" s="13"/>
      <c r="E1018" s="13"/>
      <c r="K1018" s="13"/>
      <c r="L1018" s="13"/>
    </row>
    <row r="1019">
      <c r="C1019" s="13"/>
      <c r="D1019" s="13"/>
      <c r="E1019" s="13"/>
      <c r="K1019" s="13"/>
      <c r="L1019" s="13"/>
    </row>
    <row r="1020">
      <c r="C1020" s="13"/>
      <c r="D1020" s="13"/>
      <c r="E1020" s="13"/>
      <c r="K1020" s="13"/>
      <c r="L1020" s="13"/>
    </row>
    <row r="1021">
      <c r="C1021" s="13"/>
      <c r="D1021" s="13"/>
      <c r="E1021" s="13"/>
      <c r="K1021" s="13"/>
      <c r="L1021" s="13"/>
    </row>
    <row r="1022">
      <c r="C1022" s="13"/>
      <c r="D1022" s="13"/>
      <c r="E1022" s="13"/>
      <c r="K1022" s="13"/>
      <c r="L1022" s="13"/>
    </row>
    <row r="1023">
      <c r="C1023" s="13"/>
      <c r="D1023" s="13"/>
      <c r="E1023" s="13"/>
      <c r="K1023" s="13"/>
      <c r="L1023" s="13"/>
    </row>
    <row r="1024">
      <c r="C1024" s="13"/>
      <c r="D1024" s="13"/>
      <c r="E1024" s="13"/>
      <c r="K1024" s="13"/>
      <c r="L1024" s="13"/>
    </row>
    <row r="1025">
      <c r="C1025" s="13"/>
      <c r="D1025" s="13"/>
      <c r="E1025" s="13"/>
      <c r="K1025" s="13"/>
      <c r="L1025" s="13"/>
    </row>
    <row r="1026">
      <c r="C1026" s="13"/>
      <c r="D1026" s="13"/>
      <c r="E1026" s="13"/>
      <c r="K1026" s="13"/>
      <c r="L1026" s="13"/>
    </row>
    <row r="1027">
      <c r="C1027" s="13"/>
      <c r="D1027" s="13"/>
      <c r="E1027" s="13"/>
      <c r="K1027" s="13"/>
      <c r="L1027" s="13"/>
    </row>
    <row r="1028">
      <c r="C1028" s="13"/>
      <c r="D1028" s="13"/>
      <c r="E1028" s="13"/>
      <c r="K1028" s="13"/>
      <c r="L1028" s="13"/>
    </row>
    <row r="1029">
      <c r="C1029" s="13"/>
      <c r="D1029" s="13"/>
      <c r="E1029" s="13"/>
      <c r="K1029" s="13"/>
      <c r="L1029" s="13"/>
    </row>
    <row r="1030">
      <c r="C1030" s="13"/>
      <c r="D1030" s="13"/>
      <c r="E1030" s="13"/>
      <c r="K1030" s="13"/>
      <c r="L1030" s="13"/>
    </row>
    <row r="1031">
      <c r="C1031" s="13"/>
      <c r="D1031" s="13"/>
      <c r="E1031" s="13"/>
      <c r="K1031" s="13"/>
      <c r="L1031" s="13"/>
    </row>
    <row r="1032">
      <c r="C1032" s="13"/>
      <c r="D1032" s="13"/>
      <c r="E1032" s="13"/>
      <c r="K1032" s="13"/>
      <c r="L1032" s="13"/>
    </row>
    <row r="1033">
      <c r="C1033" s="13"/>
      <c r="D1033" s="13"/>
      <c r="E1033" s="13"/>
      <c r="K1033" s="13"/>
      <c r="L1033" s="13"/>
    </row>
    <row r="1034">
      <c r="C1034" s="13"/>
      <c r="D1034" s="13"/>
      <c r="E1034" s="13"/>
      <c r="K1034" s="13"/>
      <c r="L1034" s="13"/>
    </row>
    <row r="1035">
      <c r="C1035" s="13"/>
      <c r="D1035" s="13"/>
      <c r="E1035" s="13"/>
      <c r="K1035" s="13"/>
      <c r="L1035" s="13"/>
    </row>
    <row r="1036">
      <c r="C1036" s="13"/>
      <c r="D1036" s="13"/>
      <c r="E1036" s="13"/>
      <c r="K1036" s="13"/>
      <c r="L1036" s="13"/>
    </row>
    <row r="1037">
      <c r="C1037" s="13"/>
      <c r="D1037" s="13"/>
      <c r="E1037" s="13"/>
      <c r="K1037" s="13"/>
      <c r="L1037" s="13"/>
    </row>
    <row r="1038">
      <c r="C1038" s="13"/>
      <c r="D1038" s="13"/>
      <c r="E1038" s="13"/>
      <c r="K1038" s="13"/>
      <c r="L1038" s="13"/>
    </row>
    <row r="1039">
      <c r="C1039" s="13"/>
      <c r="D1039" s="13"/>
      <c r="E1039" s="13"/>
      <c r="K1039" s="13"/>
      <c r="L1039" s="13"/>
    </row>
    <row r="1040">
      <c r="C1040" s="13"/>
      <c r="D1040" s="13"/>
      <c r="E1040" s="13"/>
      <c r="K1040" s="13"/>
      <c r="L1040" s="13"/>
    </row>
    <row r="1041">
      <c r="C1041" s="13"/>
      <c r="D1041" s="13"/>
      <c r="E1041" s="13"/>
      <c r="K1041" s="13"/>
      <c r="L1041" s="13"/>
    </row>
    <row r="1042">
      <c r="C1042" s="13"/>
      <c r="D1042" s="13"/>
      <c r="E1042" s="13"/>
      <c r="K1042" s="13"/>
      <c r="L1042" s="13"/>
    </row>
    <row r="1043">
      <c r="C1043" s="13"/>
      <c r="D1043" s="13"/>
      <c r="E1043" s="13"/>
      <c r="K1043" s="13"/>
      <c r="L1043" s="13"/>
    </row>
    <row r="1044">
      <c r="C1044" s="13"/>
      <c r="D1044" s="13"/>
      <c r="E1044" s="13"/>
      <c r="K1044" s="13"/>
      <c r="L1044" s="13"/>
    </row>
    <row r="1045">
      <c r="C1045" s="13"/>
      <c r="D1045" s="13"/>
      <c r="E1045" s="13"/>
      <c r="K1045" s="13"/>
      <c r="L1045" s="13"/>
    </row>
    <row r="1046">
      <c r="C1046" s="13"/>
      <c r="D1046" s="13"/>
      <c r="E1046" s="13"/>
      <c r="K1046" s="13"/>
      <c r="L1046" s="13"/>
    </row>
    <row r="1047">
      <c r="C1047" s="13"/>
      <c r="D1047" s="13"/>
      <c r="E1047" s="13"/>
      <c r="K1047" s="13"/>
      <c r="L1047" s="13"/>
    </row>
    <row r="1048">
      <c r="C1048" s="13"/>
      <c r="D1048" s="13"/>
      <c r="E1048" s="13"/>
      <c r="K1048" s="13"/>
      <c r="L1048" s="13"/>
    </row>
    <row r="1049">
      <c r="C1049" s="13"/>
      <c r="D1049" s="13"/>
      <c r="E1049" s="13"/>
      <c r="K1049" s="13"/>
      <c r="L1049" s="13"/>
    </row>
    <row r="1050">
      <c r="C1050" s="13"/>
      <c r="D1050" s="13"/>
      <c r="E1050" s="13"/>
      <c r="K1050" s="13"/>
      <c r="L1050" s="13"/>
    </row>
    <row r="1051">
      <c r="C1051" s="13"/>
      <c r="D1051" s="13"/>
      <c r="E1051" s="13"/>
      <c r="K1051" s="13"/>
      <c r="L1051" s="13"/>
    </row>
    <row r="1052">
      <c r="C1052" s="13"/>
      <c r="D1052" s="13"/>
      <c r="E1052" s="13"/>
      <c r="K1052" s="13"/>
      <c r="L1052" s="13"/>
    </row>
    <row r="1053">
      <c r="C1053" s="13"/>
      <c r="D1053" s="13"/>
      <c r="E1053" s="13"/>
      <c r="K1053" s="13"/>
      <c r="L1053" s="13"/>
    </row>
    <row r="1054">
      <c r="C1054" s="13"/>
      <c r="D1054" s="13"/>
      <c r="E1054" s="13"/>
      <c r="K1054" s="13"/>
      <c r="L1054" s="13"/>
    </row>
    <row r="1055">
      <c r="C1055" s="13"/>
      <c r="D1055" s="13"/>
      <c r="E1055" s="13"/>
      <c r="K1055" s="13"/>
      <c r="L1055" s="13"/>
    </row>
    <row r="1056">
      <c r="C1056" s="13"/>
      <c r="D1056" s="13"/>
      <c r="E1056" s="13"/>
      <c r="K1056" s="13"/>
      <c r="L1056" s="13"/>
    </row>
    <row r="1057">
      <c r="C1057" s="13"/>
      <c r="D1057" s="13"/>
      <c r="E1057" s="13"/>
      <c r="K1057" s="13"/>
      <c r="L1057" s="13"/>
    </row>
    <row r="1058">
      <c r="C1058" s="13"/>
      <c r="D1058" s="13"/>
      <c r="E1058" s="13"/>
      <c r="K1058" s="13"/>
      <c r="L1058" s="13"/>
    </row>
    <row r="1059">
      <c r="C1059" s="13"/>
      <c r="D1059" s="13"/>
      <c r="E1059" s="13"/>
      <c r="K1059" s="13"/>
      <c r="L1059" s="13"/>
    </row>
    <row r="1060">
      <c r="C1060" s="13"/>
      <c r="D1060" s="13"/>
      <c r="E1060" s="13"/>
      <c r="K1060" s="13"/>
      <c r="L1060" s="13"/>
    </row>
    <row r="1061">
      <c r="C1061" s="13"/>
      <c r="D1061" s="13"/>
      <c r="E1061" s="13"/>
      <c r="K1061" s="13"/>
      <c r="L1061" s="13"/>
    </row>
    <row r="1062">
      <c r="C1062" s="13"/>
      <c r="D1062" s="13"/>
      <c r="E1062" s="13"/>
      <c r="K1062" s="13"/>
      <c r="L1062" s="13"/>
    </row>
    <row r="1063">
      <c r="C1063" s="13"/>
      <c r="D1063" s="13"/>
      <c r="E1063" s="13"/>
      <c r="K1063" s="13"/>
      <c r="L1063" s="13"/>
    </row>
    <row r="1064">
      <c r="C1064" s="13"/>
      <c r="D1064" s="13"/>
      <c r="E1064" s="13"/>
      <c r="K1064" s="13"/>
      <c r="L1064" s="13"/>
    </row>
    <row r="1065">
      <c r="C1065" s="13"/>
      <c r="D1065" s="13"/>
      <c r="E1065" s="13"/>
      <c r="K1065" s="13"/>
      <c r="L1065" s="13"/>
    </row>
    <row r="1066">
      <c r="C1066" s="13"/>
      <c r="D1066" s="13"/>
      <c r="E1066" s="13"/>
      <c r="K1066" s="13"/>
      <c r="L1066" s="13"/>
    </row>
    <row r="1067">
      <c r="C1067" s="13"/>
      <c r="D1067" s="13"/>
      <c r="E1067" s="13"/>
      <c r="K1067" s="13"/>
      <c r="L1067" s="13"/>
    </row>
    <row r="1068">
      <c r="C1068" s="13"/>
      <c r="D1068" s="13"/>
      <c r="E1068" s="13"/>
      <c r="K1068" s="13"/>
      <c r="L1068" s="13"/>
    </row>
    <row r="1069">
      <c r="C1069" s="13"/>
      <c r="D1069" s="13"/>
      <c r="E1069" s="13"/>
      <c r="K1069" s="13"/>
      <c r="L1069" s="13"/>
    </row>
    <row r="1070">
      <c r="C1070" s="13"/>
      <c r="D1070" s="13"/>
      <c r="E1070" s="13"/>
      <c r="K1070" s="13"/>
      <c r="L1070" s="13"/>
    </row>
    <row r="1071">
      <c r="C1071" s="13"/>
      <c r="D1071" s="13"/>
      <c r="E1071" s="13"/>
      <c r="K1071" s="13"/>
      <c r="L1071" s="13"/>
    </row>
    <row r="1072">
      <c r="C1072" s="13"/>
      <c r="D1072" s="13"/>
      <c r="E1072" s="13"/>
      <c r="K1072" s="13"/>
      <c r="L1072" s="13"/>
    </row>
  </sheetData>
  <autoFilter ref="$A$1:$L$949"/>
  <conditionalFormatting sqref="H182:H241 H590:H601">
    <cfRule type="expression" dxfId="6" priority="1">
      <formula>#REF!="NGHỈ BÁN"</formula>
    </cfRule>
  </conditionalFormatting>
  <conditionalFormatting sqref="A2:G1072 H2:H181 I2:I841 J2:AC1072 H194:H217 H242:H635 H650:H661 H674:H685 H746:H757 H770:H781 H818:H841 H854:H877 I854:I1072 H890:H925 H938:H1072">
    <cfRule type="expression" dxfId="6" priority="2">
      <formula>$E2="NGHỈ BÁN"</formula>
    </cfRule>
  </conditionalFormatting>
  <dataValidations>
    <dataValidation type="list" allowBlank="1" showErrorMessage="1" sqref="C2:C1072">
      <formula1>"Chiều,Sáng"</formula1>
    </dataValidation>
    <dataValidation type="list" allowBlank="1" showErrorMessage="1" sqref="E2:E1072">
      <formula1>"Phùng Hà My,Ninh Thị Diệu Anh,Hoàng Vân Anh,Ngọc Minh,Trịnh Thị Ngọc Minh, Lưu Quỳnh Nga,Ngọc Ánh,Tạ Thị Ngọc Hà,Lưu Thị Mỹ Duyên,CT,NGHỈ BÁN,ONLINE,Lưu Doãn Hoài Nam,Nguyễn Thị Kim Ngân,Nguyễn Thị Chúc An"</formula1>
    </dataValidation>
    <dataValidation type="list" allowBlank="1" showErrorMessage="1" sqref="D1:D1072">
      <formula1>"CN A,CN B,XĐ CS,VTD,XĐ CS,XĐ CT,XL,ĐN,ĐN A,ĐN B"</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s>
  <sheetData>
    <row r="1">
      <c r="A1" s="4" t="s">
        <v>35</v>
      </c>
      <c r="B1" s="4" t="s">
        <v>305</v>
      </c>
      <c r="C1" s="4" t="s">
        <v>306</v>
      </c>
      <c r="D1" s="4" t="s">
        <v>307</v>
      </c>
    </row>
    <row r="2">
      <c r="B2" s="30" t="s">
        <v>53</v>
      </c>
      <c r="C2" s="4" t="s">
        <v>71</v>
      </c>
      <c r="D2" s="13">
        <f>COUNTIF('Nhật ký bán hàng T3'!E:E, B2)</f>
        <v>59</v>
      </c>
    </row>
    <row r="3">
      <c r="B3" s="36" t="s">
        <v>56</v>
      </c>
      <c r="C3" s="4" t="s">
        <v>71</v>
      </c>
    </row>
    <row r="4">
      <c r="B4" s="38" t="s">
        <v>57</v>
      </c>
      <c r="C4" s="4" t="s">
        <v>71</v>
      </c>
    </row>
    <row r="5">
      <c r="B5" s="38" t="s">
        <v>58</v>
      </c>
      <c r="C5" s="4" t="s">
        <v>71</v>
      </c>
    </row>
    <row r="6">
      <c r="B6" s="38" t="s">
        <v>72</v>
      </c>
      <c r="C6" s="4" t="s">
        <v>71</v>
      </c>
    </row>
    <row r="7">
      <c r="B7" s="38" t="s">
        <v>60</v>
      </c>
      <c r="C7" s="4" t="s">
        <v>71</v>
      </c>
    </row>
    <row r="8">
      <c r="B8" s="38" t="s">
        <v>61</v>
      </c>
      <c r="C8" s="4" t="s">
        <v>71</v>
      </c>
    </row>
    <row r="9">
      <c r="B9" s="38" t="s">
        <v>62</v>
      </c>
      <c r="C9" s="4" t="s">
        <v>71</v>
      </c>
    </row>
    <row r="10">
      <c r="B10" s="38" t="s">
        <v>63</v>
      </c>
      <c r="C10" s="4" t="s">
        <v>71</v>
      </c>
    </row>
    <row r="11">
      <c r="B11" s="44" t="s">
        <v>73</v>
      </c>
      <c r="C11" s="4" t="s">
        <v>71</v>
      </c>
    </row>
    <row r="12">
      <c r="B12" s="44" t="s">
        <v>82</v>
      </c>
      <c r="C12" s="4" t="s">
        <v>308</v>
      </c>
    </row>
    <row r="13">
      <c r="B13" s="167" t="s">
        <v>85</v>
      </c>
      <c r="C13" s="4" t="s">
        <v>308</v>
      </c>
    </row>
    <row r="14">
      <c r="B14" s="4" t="s">
        <v>86</v>
      </c>
      <c r="C14" s="4" t="s">
        <v>308</v>
      </c>
    </row>
    <row r="15">
      <c r="B15" s="167"/>
    </row>
    <row r="17">
      <c r="B17" s="167"/>
    </row>
    <row r="19">
      <c r="B19" s="168"/>
    </row>
  </sheetData>
  <drawing r:id="rId1"/>
</worksheet>
</file>